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5b55fbafecf4ca3" /></Relationships>
</file>

<file path=xl/workbook.xml><?xml version="1.0" encoding="utf-8"?>
<x:workbook xmlns:x="http://schemas.openxmlformats.org/spreadsheetml/2006/main">
  <x:sheets>
    <x:sheet xmlns:r="http://schemas.openxmlformats.org/officeDocument/2006/relationships" name="START HERE" sheetId="1" r:id="R2799b19547a24d6b"/>
    <x:sheet xmlns:r="http://schemas.openxmlformats.org/officeDocument/2006/relationships" name="Setup" sheetId="2" r:id="R89b7d28236574868"/>
    <x:sheet xmlns:r="http://schemas.openxmlformats.org/officeDocument/2006/relationships" name="Program Overview" sheetId="3" r:id="R48c34e53f1a24ac5"/>
    <x:sheet xmlns:r="http://schemas.openxmlformats.org/officeDocument/2006/relationships" name="Dashboard" sheetId="4" r:id="R7a337da3ce704ea7"/>
    <x:sheet xmlns:r="http://schemas.openxmlformats.org/officeDocument/2006/relationships" name="Readiness" sheetId="5" r:id="R6f659b8d8213491e"/>
    <x:sheet xmlns:r="http://schemas.openxmlformats.org/officeDocument/2006/relationships" name="Training Log" sheetId="6" r:id="R7bf0d17b55ea4913"/>
    <x:sheet xmlns:r="http://schemas.openxmlformats.org/officeDocument/2006/relationships" name="Weekly Review" sheetId="7" r:id="R42d146e47c254148"/>
    <x:sheet xmlns:r="http://schemas.openxmlformats.org/officeDocument/2006/relationships" name="Exercise Library" sheetId="8" r:id="Rf4c1f1cdd59d43d2"/>
    <x:sheet xmlns:r="http://schemas.openxmlformats.org/officeDocument/2006/relationships" name="Rules &amp; Sources" sheetId="9" r:id="Rdd59d81ad8614cd4"/>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yyyy-mm-dd"/>
    <x:numFmt numFmtId="201" formatCode="0.0"/>
    <x:numFmt numFmtId="202" formatCode="0.0%"/>
    <x:numFmt numFmtId="203" formatCode="0"/>
    <x:numFmt numFmtId="204" formatCode="0%"/>
    <x:numFmt numFmtId="205" formatCode="0&quot;%&quot;"/>
  </x:numFmts>
  <x:fonts count="28">
    <x:font>
      <x:sz val="11"/>
      <x:name val="Carlito"/>
    </x:font>
    <x:font>
      <x:b/>
      <x:sz val="20"/>
      <x:color rgb="FFFFFFFF"/>
      <x:name val="Carlito"/>
    </x:font>
    <x:font>
      <x:i/>
      <x:sz val="10"/>
      <x:color rgb="FF243B53"/>
      <x:name val="Carlito"/>
    </x:font>
    <x:font>
      <x:b/>
      <x:sz val="12"/>
      <x:color rgb="FFFFFFFF"/>
      <x:name val="Carlito"/>
    </x:font>
    <x:font>
      <x:b/>
      <x:sz val="14"/>
      <x:color rgb="FFFFFFFF"/>
      <x:name val="Carlito"/>
    </x:font>
    <x:font>
      <x:b/>
      <x:sz val="11"/>
      <x:color rgb="FF243B53"/>
      <x:name val="Carlito"/>
    </x:font>
    <x:font>
      <x:b/>
      <x:sz val="9"/>
      <x:color rgb="FFFFFFFF"/>
      <x:name val="Carlito"/>
    </x:font>
    <x:font>
      <x:b/>
      <x:sz val="14"/>
      <x:color rgb="FFB91C1C"/>
      <x:name val="Carlito"/>
    </x:font>
    <x:font>
      <x:b/>
      <x:sz val="20"/>
      <x:color rgb="FFFFFFFF"/>
      <x:name val="Aptos"/>
    </x:font>
    <x:font>
      <x:i/>
      <x:sz val="10"/>
      <x:color rgb="FF243B53"/>
      <x:name val="Aptos"/>
    </x:font>
    <x:font>
      <x:sz val="11"/>
      <x:name val="Aptos"/>
    </x:font>
    <x:font>
      <x:b/>
      <x:sz val="12"/>
      <x:color rgb="FFFFFFFF"/>
      <x:name val="Aptos"/>
    </x:font>
    <x:font>
      <x:b/>
      <x:sz val="14"/>
      <x:color rgb="FFFFFFFF"/>
      <x:name val="Aptos"/>
    </x:font>
    <x:font>
      <x:b/>
      <x:sz val="11"/>
      <x:color rgb="FF243B53"/>
      <x:name val="Aptos"/>
    </x:font>
    <x:font>
      <x:b/>
      <x:sz val="9"/>
      <x:color rgb="FFFFFFFF"/>
      <x:name val="Aptos"/>
    </x:font>
    <x:font>
      <x:b/>
      <x:sz val="14"/>
      <x:color rgb="FFB91C1C"/>
      <x:name val="Aptos"/>
    </x:font>
    <x:font>
      <x:b/>
      <x:sz val="11"/>
      <x:color rgb="FF1D4ED8"/>
      <x:name val="Carlito"/>
    </x:font>
    <x:font>
      <x:sz val="9"/>
      <x:color rgb="FF627D98"/>
      <x:name val="Carlito"/>
    </x:font>
    <x:font>
      <x:i/>
      <x:sz val="11"/>
      <x:color rgb="FFB45309"/>
      <x:name val="Carlito"/>
    </x:font>
    <x:font>
      <x:b/>
      <x:sz val="11"/>
      <x:color rgb="FFFFFFFF"/>
      <x:name val="Carlito"/>
    </x:font>
    <x:font>
      <x:b/>
      <x:sz val="14"/>
      <x:color rgb="FF1D4ED8"/>
      <x:name val="Carlito"/>
    </x:font>
    <x:font>
      <x:sz val="9"/>
      <x:color rgb="FF1D4ED8"/>
      <x:name val="Carlito"/>
    </x:font>
    <x:font>
      <x:b/>
      <x:sz val="11"/>
      <x:color rgb="FF1D4ED8"/>
      <x:name val="Aptos"/>
    </x:font>
    <x:font>
      <x:sz val="9"/>
      <x:color rgb="FF627D98"/>
      <x:name val="Aptos"/>
    </x:font>
    <x:font>
      <x:b/>
      <x:sz val="14"/>
      <x:color rgb="FF1D4ED8"/>
      <x:name val="Aptos"/>
    </x:font>
    <x:font>
      <x:i/>
      <x:sz val="11"/>
      <x:color rgb="FFB45309"/>
      <x:name val="Aptos"/>
    </x:font>
    <x:font>
      <x:b/>
      <x:sz val="11"/>
      <x:color rgb="FFFFFFFF"/>
      <x:name val="Aptos"/>
    </x:font>
    <x:font>
      <x:sz val="9"/>
      <x:color rgb="FF1D4ED8"/>
      <x:name val="Aptos"/>
    </x:font>
  </x:fonts>
  <x:fills count="14">
    <x:fill>
      <x:patternFill patternType="none"/>
    </x:fill>
    <x:fill>
      <x:patternFill patternType="gray125"/>
    </x:fill>
    <x:fill>
      <x:patternFill patternType="solid">
        <x:fgColor rgb="FF102A43"/>
      </x:patternFill>
    </x:fill>
    <x:fill>
      <x:patternFill patternType="solid">
        <x:fgColor rgb="FFE2E8F0"/>
      </x:patternFill>
    </x:fill>
    <x:fill>
      <x:patternFill patternType="solid">
        <x:fgColor rgb="FF0E7490"/>
      </x:patternFill>
    </x:fill>
    <x:fill>
      <x:patternFill patternType="solid">
        <x:fgColor rgb="FF1D4ED8"/>
      </x:patternFill>
    </x:fill>
    <x:fill>
      <x:patternFill patternType="solid">
        <x:fgColor rgb="FFF8FAFC"/>
      </x:patternFill>
    </x:fill>
    <x:fill>
      <x:patternFill patternType="solid">
        <x:fgColor rgb="FF15803D"/>
      </x:patternFill>
    </x:fill>
    <x:fill>
      <x:patternFill patternType="solid">
        <x:fgColor rgb="FFB91C1C"/>
      </x:patternFill>
    </x:fill>
    <x:fill>
      <x:patternFill patternType="solid">
        <x:fgColor rgb="FFFEE2E2"/>
      </x:patternFill>
    </x:fill>
    <x:fill>
      <x:patternFill patternType="solid">
        <x:fgColor rgb="FFF1F5F9"/>
      </x:patternFill>
    </x:fill>
    <x:fill>
      <x:patternFill patternType="solid">
        <x:fgColor rgb="FFDBEAFE"/>
      </x:patternFill>
    </x:fill>
    <x:fill>
      <x:patternFill patternType="solid">
        <x:fgColor rgb="FFFEF3C7"/>
      </x:patternFill>
    </x:fill>
    <x:fill>
      <x:patternFill patternType="solid">
        <x:fgColor rgb="FFB45309"/>
      </x:patternFill>
    </x:fill>
  </x:fills>
  <x:borders count="15">
    <x:border/>
    <x:border>
      <x:right style="thin">
        <x:color rgb="FFCBD5E1"/>
      </x:right>
      <x:bottom style="thin">
        <x:color rgb="FFCBD5E1"/>
      </x:bottom>
    </x:border>
    <x:border>
      <x:left style="thin">
        <x:color rgb="FFCBD5E1"/>
      </x:left>
      <x:right style="thin">
        <x:color rgb="FFCBD5E1"/>
      </x:right>
      <x:bottom style="thin">
        <x:color rgb="FFCBD5E1"/>
      </x:bottom>
    </x:border>
    <x:border>
      <x:left style="thin">
        <x:color rgb="FFCBD5E1"/>
      </x:left>
      <x:bottom style="thin">
        <x:color rgb="FFCBD5E1"/>
      </x:bottom>
    </x:border>
    <x:border>
      <x:right style="thin">
        <x:color rgb="FFCBD5E1"/>
      </x:right>
      <x:top style="thin">
        <x:color rgb="FFCBD5E1"/>
      </x:top>
      <x:bottom style="thin">
        <x:color rgb="FFCBD5E1"/>
      </x:bottom>
    </x:border>
    <x:border>
      <x:left style="thin">
        <x:color rgb="FFCBD5E1"/>
      </x:left>
      <x:right style="thin">
        <x:color rgb="FFCBD5E1"/>
      </x:right>
      <x:top style="thin">
        <x:color rgb="FFCBD5E1"/>
      </x:top>
      <x:bottom style="thin">
        <x:color rgb="FFCBD5E1"/>
      </x:bottom>
    </x:border>
    <x:border>
      <x:left style="thin">
        <x:color rgb="FFCBD5E1"/>
      </x:left>
      <x:top style="thin">
        <x:color rgb="FFCBD5E1"/>
      </x:top>
      <x:bottom style="thin">
        <x:color rgb="FFCBD5E1"/>
      </x:bottom>
    </x:border>
    <x:border>
      <x:right style="thin">
        <x:color rgb="FFCBD5E1"/>
      </x:right>
      <x:top style="thin">
        <x:color rgb="FFCBD5E1"/>
      </x:top>
    </x:border>
    <x:border>
      <x:left style="thin">
        <x:color rgb="FFCBD5E1"/>
      </x:left>
      <x:right style="thin">
        <x:color rgb="FFCBD5E1"/>
      </x:right>
      <x:top style="thin">
        <x:color rgb="FFCBD5E1"/>
      </x:top>
    </x:border>
    <x:border>
      <x:left style="thin">
        <x:color rgb="FFCBD5E1"/>
      </x:left>
      <x:top style="thin">
        <x:color rgb="FFCBD5E1"/>
      </x:top>
    </x:border>
    <x:border>
      <x:top style="thin">
        <x:color rgb="FFCBD5E1"/>
      </x:top>
      <x:bottom style="thin">
        <x:color rgb="FFCBD5E1"/>
      </x:bottom>
    </x:border>
    <x:border>
      <x:left style="thin">
        <x:color rgb="FF1D4ED8"/>
      </x:left>
      <x:right style="thin">
        <x:color rgb="FF1D4ED8"/>
      </x:right>
      <x:top style="thin">
        <x:color rgb="FF1D4ED8"/>
      </x:top>
    </x:border>
    <x:border>
      <x:left style="thin">
        <x:color rgb="FF1D4ED8"/>
      </x:left>
      <x:right style="thin">
        <x:color rgb="FF1D4ED8"/>
      </x:right>
    </x:border>
    <x:border>
      <x:left style="thin">
        <x:color rgb="FF1D4ED8"/>
      </x:left>
      <x:right style="thin">
        <x:color rgb="FF1D4ED8"/>
      </x:right>
      <x:bottom style="thin">
        <x:color rgb="FF1D4ED8"/>
      </x:bottom>
    </x:border>
    <x:border>
      <x:left style="thin">
        <x:color rgb="FF1D4ED8"/>
      </x:left>
      <x:right style="thin">
        <x:color rgb="FF1D4ED8"/>
      </x:right>
      <x:top style="thin">
        <x:color rgb="FF1D4ED8"/>
      </x:top>
      <x:bottom style="thin">
        <x:color rgb="FF1D4ED8"/>
      </x:bottom>
    </x:border>
  </x:borders>
  <x:cellStyleXfs count="1">
    <x:xf numFmtId="0" fontId="0" fillId="0" borderId="0"/>
  </x:cellStyleXfs>
  <x:cellXfs count="34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5" fillId="0" borderId="0" xfId="0" applyNumberFormat="1" applyFont="1" applyFill="1" applyBorder="1"/>
    <x:xf numFmtId="0" fontId="5" fillId="0" borderId="0" xfId="0" applyNumberFormat="1" applyFont="1" applyFill="1" applyBorder="1" applyAlignment="1">
      <x:alignment vertical="center"/>
    </x:xf>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applyAlignment="1">
      <x:alignment vertical="center" wrapText="1"/>
    </x:xf>
    <x:xf numFmtId="0" fontId="4" fillId="5" borderId="1" xfId="0" applyNumberFormat="1" applyFont="1" applyFill="1" applyBorder="1" applyAlignment="1">
      <x:alignment horizontal="center" vertical="center"/>
    </x:xf>
    <x:xf numFmtId="0" fontId="5" fillId="0" borderId="2" xfId="0" applyNumberFormat="1" applyFont="1" applyFill="1" applyBorder="1" applyAlignment="1">
      <x:alignment vertical="center"/>
    </x:xf>
    <x:xf numFmtId="0" fontId="0" fillId="6" borderId="2" xfId="0" applyNumberFormat="1" applyFont="1" applyFill="1" applyBorder="1" applyAlignment="1">
      <x:alignment vertical="center" wrapText="1"/>
    </x:xf>
    <x:xf numFmtId="0" fontId="0" fillId="6" borderId="3" xfId="0" applyNumberFormat="1" applyFont="1" applyFill="1" applyBorder="1" applyAlignment="1">
      <x:alignment vertical="center" wrapText="1"/>
    </x:xf>
    <x:xf numFmtId="0" fontId="4" fillId="5" borderId="4" xfId="0" applyNumberFormat="1" applyFont="1" applyFill="1" applyBorder="1" applyAlignment="1">
      <x:alignment horizontal="center" vertical="center"/>
    </x:xf>
    <x:xf numFmtId="0" fontId="5" fillId="0" borderId="5" xfId="0" applyNumberFormat="1" applyFont="1" applyFill="1" applyBorder="1" applyAlignment="1">
      <x:alignment vertical="center"/>
    </x:xf>
    <x:xf numFmtId="0" fontId="0" fillId="6" borderId="5" xfId="0" applyNumberFormat="1" applyFont="1" applyFill="1" applyBorder="1" applyAlignment="1">
      <x:alignment vertical="center" wrapText="1"/>
    </x:xf>
    <x:xf numFmtId="0" fontId="0" fillId="6" borderId="6" xfId="0" applyNumberFormat="1" applyFont="1" applyFill="1" applyBorder="1" applyAlignment="1">
      <x:alignment vertical="center" wrapText="1"/>
    </x:xf>
    <x:xf numFmtId="0" fontId="4" fillId="5" borderId="7" xfId="0" applyNumberFormat="1" applyFont="1" applyFill="1" applyBorder="1" applyAlignment="1">
      <x:alignment horizontal="center" vertical="center"/>
    </x:xf>
    <x:xf numFmtId="0" fontId="5" fillId="0" borderId="8" xfId="0" applyNumberFormat="1" applyFont="1" applyFill="1" applyBorder="1" applyAlignment="1">
      <x:alignment vertical="center"/>
    </x:xf>
    <x:xf numFmtId="0" fontId="0" fillId="6" borderId="8" xfId="0" applyNumberFormat="1" applyFont="1" applyFill="1" applyBorder="1" applyAlignment="1">
      <x:alignment vertical="center" wrapText="1"/>
    </x:xf>
    <x:xf numFmtId="0" fontId="0" fillId="6" borderId="9" xfId="0" applyNumberFormat="1" applyFont="1" applyFill="1" applyBorder="1" applyAlignment="1">
      <x:alignment vertical="center"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vertical="center"/>
    </x:xf>
    <x:xf numFmtId="0" fontId="6" fillId="2" borderId="0" xfId="0" applyNumberFormat="1" applyFont="1" applyFill="1" applyBorder="1"/>
    <x:xf numFmtId="0" fontId="6" fillId="2" borderId="6" xfId="0" applyNumberFormat="1" applyFont="1" applyFill="1" applyBorder="1"/>
    <x:xf numFmtId="0" fontId="6" fillId="2" borderId="10" xfId="0" applyNumberFormat="1" applyFont="1" applyFill="1" applyBorder="1"/>
    <x:xf numFmtId="0" fontId="6" fillId="2" borderId="4" xfId="0" applyNumberFormat="1" applyFont="1" applyFill="1" applyBorder="1"/>
    <x:xf numFmtId="0" fontId="6" fillId="2" borderId="6" xfId="0" applyNumberFormat="1" applyFont="1" applyFill="1" applyBorder="1" applyAlignment="1">
      <x:alignment wrapText="1"/>
    </x:xf>
    <x:xf numFmtId="0" fontId="6" fillId="2" borderId="10" xfId="0" applyNumberFormat="1" applyFont="1" applyFill="1" applyBorder="1" applyAlignment="1">
      <x:alignment wrapText="1"/>
    </x:xf>
    <x:xf numFmtId="0" fontId="6" fillId="2" borderId="4" xfId="0" applyNumberFormat="1" applyFont="1" applyFill="1" applyBorder="1" applyAlignment="1">
      <x:alignment wrapText="1"/>
    </x:xf>
    <x:xf numFmtId="0" fontId="6" fillId="2" borderId="6" xfId="0" applyNumberFormat="1" applyFont="1" applyFill="1" applyBorder="1" applyAlignment="1">
      <x:alignment horizontal="center" wrapText="1"/>
    </x:xf>
    <x:xf numFmtId="0" fontId="6" fillId="2" borderId="10" xfId="0" applyNumberFormat="1" applyFont="1" applyFill="1" applyBorder="1" applyAlignment="1">
      <x:alignment horizontal="center" wrapText="1"/>
    </x:xf>
    <x:xf numFmtId="0" fontId="6" fillId="2" borderId="4" xfId="0" applyNumberFormat="1" applyFont="1" applyFill="1" applyBorder="1" applyAlignment="1">
      <x:alignment horizontal="center" wrapText="1"/>
    </x:xf>
    <x:xf numFmtId="0" fontId="6" fillId="2" borderId="6" xfId="0" applyNumberFormat="1" applyFont="1" applyFill="1" applyBorder="1" applyAlignment="1">
      <x:alignment horizontal="center" vertical="center" wrapText="1"/>
    </x:xf>
    <x:xf numFmtId="0" fontId="6" fillId="2" borderId="10" xfId="0" applyNumberFormat="1" applyFont="1" applyFill="1" applyBorder="1" applyAlignment="1">
      <x:alignment horizontal="center" vertical="center" wrapText="1"/>
    </x:xf>
    <x:xf numFmtId="0" fontId="6" fillId="2" borderId="4" xfId="0" applyNumberFormat="1" applyFont="1" applyFill="1" applyBorder="1" applyAlignment="1">
      <x:alignment horizontal="center" vertical="center" wrapText="1"/>
    </x:xf>
    <x:xf numFmtId="0" fontId="0" fillId="6" borderId="1" xfId="0" applyNumberFormat="1" applyFont="1" applyFill="1" applyBorder="1"/>
    <x:xf numFmtId="0" fontId="0" fillId="6" borderId="2" xfId="0" applyNumberFormat="1" applyFont="1" applyFill="1" applyBorder="1"/>
    <x:xf numFmtId="0" fontId="0" fillId="6" borderId="3" xfId="0" applyNumberFormat="1" applyFont="1" applyFill="1" applyBorder="1"/>
    <x:xf numFmtId="0" fontId="0" fillId="6" borderId="4" xfId="0" applyNumberFormat="1" applyFont="1" applyFill="1" applyBorder="1"/>
    <x:xf numFmtId="0" fontId="0" fillId="6" borderId="5" xfId="0" applyNumberFormat="1" applyFont="1" applyFill="1" applyBorder="1"/>
    <x:xf numFmtId="0" fontId="0" fillId="6" borderId="6" xfId="0" applyNumberFormat="1" applyFont="1" applyFill="1" applyBorder="1"/>
    <x:xf numFmtId="0" fontId="0" fillId="6" borderId="7" xfId="0" applyNumberFormat="1" applyFont="1" applyFill="1" applyBorder="1"/>
    <x:xf numFmtId="0" fontId="0" fillId="6" borderId="8" xfId="0" applyNumberFormat="1" applyFont="1" applyFill="1" applyBorder="1"/>
    <x:xf numFmtId="0" fontId="0" fillId="6" borderId="9" xfId="0" applyNumberFormat="1" applyFont="1" applyFill="1" applyBorder="1"/>
    <x:xf numFmtId="0" fontId="0" fillId="6" borderId="1" xfId="0" applyNumberFormat="1" applyFont="1" applyFill="1" applyBorder="1" applyAlignment="1">
      <x:alignment wrapText="1"/>
    </x:xf>
    <x:xf numFmtId="0" fontId="0" fillId="6" borderId="2" xfId="0" applyNumberFormat="1" applyFont="1" applyFill="1" applyBorder="1" applyAlignment="1">
      <x:alignment wrapText="1"/>
    </x:xf>
    <x:xf numFmtId="0" fontId="0" fillId="6" borderId="3" xfId="0" applyNumberFormat="1" applyFont="1" applyFill="1" applyBorder="1" applyAlignment="1">
      <x:alignment wrapText="1"/>
    </x:xf>
    <x:xf numFmtId="0" fontId="0" fillId="6" borderId="4" xfId="0" applyNumberFormat="1" applyFont="1" applyFill="1" applyBorder="1" applyAlignment="1">
      <x:alignment wrapText="1"/>
    </x:xf>
    <x:xf numFmtId="0" fontId="0" fillId="6" borderId="5" xfId="0" applyNumberFormat="1" applyFont="1" applyFill="1" applyBorder="1" applyAlignment="1">
      <x:alignment wrapText="1"/>
    </x:xf>
    <x:xf numFmtId="0" fontId="0" fillId="6" borderId="6" xfId="0" applyNumberFormat="1" applyFont="1" applyFill="1" applyBorder="1" applyAlignment="1">
      <x:alignment wrapText="1"/>
    </x:xf>
    <x:xf numFmtId="0" fontId="0" fillId="6" borderId="7" xfId="0" applyNumberFormat="1" applyFont="1" applyFill="1" applyBorder="1" applyAlignment="1">
      <x:alignment wrapText="1"/>
    </x:xf>
    <x:xf numFmtId="0" fontId="0" fillId="6" borderId="8" xfId="0" applyNumberFormat="1" applyFont="1" applyFill="1" applyBorder="1" applyAlignment="1">
      <x:alignment wrapText="1"/>
    </x:xf>
    <x:xf numFmtId="0" fontId="0" fillId="6" borderId="9" xfId="0" applyNumberFormat="1" applyFont="1" applyFill="1" applyBorder="1" applyAlignment="1">
      <x:alignment wrapText="1"/>
    </x:xf>
    <x:xf numFmtId="0" fontId="0" fillId="6" borderId="1" xfId="0" applyNumberFormat="1" applyFont="1" applyFill="1" applyBorder="1" applyAlignment="1">
      <x:alignment vertical="center" wrapText="1"/>
    </x:xf>
    <x:xf numFmtId="0" fontId="0" fillId="6" borderId="4" xfId="0" applyNumberFormat="1" applyFont="1" applyFill="1" applyBorder="1" applyAlignment="1">
      <x:alignment vertical="center" wrapText="1"/>
    </x:xf>
    <x:xf numFmtId="0" fontId="0" fillId="6" borderId="7" xfId="0" applyNumberFormat="1" applyFont="1" applyFill="1" applyBorder="1" applyAlignment="1">
      <x:alignment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vertical="center"/>
    </x:xf>
    <x:xf numFmtId="0" fontId="7" fillId="0" borderId="0" xfId="0" applyNumberFormat="1" applyFont="1" applyFill="1" applyBorder="1"/>
    <x:xf numFmtId="0" fontId="7" fillId="0" borderId="0" xfId="0" applyNumberFormat="1" applyFont="1" applyFill="1" applyBorder="1" applyAlignment="1">
      <x:alignment horizontal="center"/>
    </x:xf>
    <x:xf numFmtId="0" fontId="0" fillId="9" borderId="0" xfId="0" applyNumberFormat="1" applyFont="1" applyFill="1" applyBorder="1"/>
    <x:xf numFmtId="0" fontId="0" fillId="9" borderId="0" xfId="0" applyNumberFormat="1" applyFont="1" applyFill="1" applyBorder="1" applyAlignment="1">
      <x:alignment wrapText="1"/>
    </x:xf>
    <x:xf numFmtId="0" fontId="0" fillId="9" borderId="0" xfId="0" applyNumberFormat="1" applyFont="1" applyFill="1" applyBorder="1" applyAlignment="1">
      <x:alignment vertical="center" wrapText="1"/>
    </x:xf>
    <x:xf numFmtId="0" fontId="8" fillId="2" borderId="0" xfId="0" applyNumberFormat="1" applyFont="1" applyFill="1" applyBorder="1" applyAlignment="1">
      <x:alignment horizontal="left" vertical="center"/>
    </x:xf>
    <x:xf numFmtId="0" fontId="9" fillId="3" borderId="0" xfId="0" applyNumberFormat="1" applyFont="1" applyFill="1" applyBorder="1" applyAlignment="1">
      <x:alignment vertical="center" wrapText="1"/>
    </x:xf>
    <x:xf numFmtId="0" fontId="10" fillId="0" borderId="0" xfId="0" applyNumberFormat="1" applyFont="1" applyFill="1" applyBorder="1"/>
    <x:xf numFmtId="0" fontId="11" fillId="4" borderId="0" xfId="0" applyNumberFormat="1" applyFont="1" applyFill="1" applyBorder="1" applyAlignment="1">
      <x:alignment vertical="center"/>
    </x:xf>
    <x:xf numFmtId="0" fontId="12" fillId="5" borderId="1" xfId="0" applyNumberFormat="1" applyFont="1" applyFill="1" applyBorder="1" applyAlignment="1">
      <x:alignment horizontal="center" vertical="center"/>
    </x:xf>
    <x:xf numFmtId="0" fontId="13" fillId="0" borderId="2" xfId="0" applyNumberFormat="1" applyFont="1" applyFill="1" applyBorder="1" applyAlignment="1">
      <x:alignment vertical="center"/>
    </x:xf>
    <x:xf numFmtId="0" fontId="10" fillId="6" borderId="2" xfId="0" applyNumberFormat="1" applyFont="1" applyFill="1" applyBorder="1" applyAlignment="1">
      <x:alignment vertical="center" wrapText="1"/>
    </x:xf>
    <x:xf numFmtId="0" fontId="10" fillId="6" borderId="3" xfId="0" applyNumberFormat="1" applyFont="1" applyFill="1" applyBorder="1" applyAlignment="1">
      <x:alignment vertical="center" wrapText="1"/>
    </x:xf>
    <x:xf numFmtId="0" fontId="12" fillId="5" borderId="4" xfId="0" applyNumberFormat="1" applyFont="1" applyFill="1" applyBorder="1" applyAlignment="1">
      <x:alignment horizontal="center" vertical="center"/>
    </x:xf>
    <x:xf numFmtId="0" fontId="13" fillId="0" borderId="5" xfId="0" applyNumberFormat="1" applyFont="1" applyFill="1" applyBorder="1" applyAlignment="1">
      <x:alignment vertical="center"/>
    </x:xf>
    <x:xf numFmtId="0" fontId="10" fillId="6" borderId="5" xfId="0" applyNumberFormat="1" applyFont="1" applyFill="1" applyBorder="1" applyAlignment="1">
      <x:alignment vertical="center" wrapText="1"/>
    </x:xf>
    <x:xf numFmtId="0" fontId="10" fillId="6" borderId="6" xfId="0" applyNumberFormat="1" applyFont="1" applyFill="1" applyBorder="1" applyAlignment="1">
      <x:alignment vertical="center" wrapText="1"/>
    </x:xf>
    <x:xf numFmtId="0" fontId="12" fillId="5" borderId="7" xfId="0" applyNumberFormat="1" applyFont="1" applyFill="1" applyBorder="1" applyAlignment="1">
      <x:alignment horizontal="center" vertical="center"/>
    </x:xf>
    <x:xf numFmtId="0" fontId="13" fillId="0" borderId="8" xfId="0" applyNumberFormat="1" applyFont="1" applyFill="1" applyBorder="1" applyAlignment="1">
      <x:alignment vertical="center"/>
    </x:xf>
    <x:xf numFmtId="0" fontId="10" fillId="6" borderId="8" xfId="0" applyNumberFormat="1" applyFont="1" applyFill="1" applyBorder="1" applyAlignment="1">
      <x:alignment vertical="center" wrapText="1"/>
    </x:xf>
    <x:xf numFmtId="0" fontId="10" fillId="6" borderId="9" xfId="0" applyNumberFormat="1" applyFont="1" applyFill="1" applyBorder="1" applyAlignment="1">
      <x:alignment vertical="center" wrapText="1"/>
    </x:xf>
    <x:xf numFmtId="0" fontId="11" fillId="7" borderId="0" xfId="0" applyNumberFormat="1" applyFont="1" applyFill="1" applyBorder="1" applyAlignment="1">
      <x:alignment vertical="center"/>
    </x:xf>
    <x:xf numFmtId="0" fontId="14" fillId="2" borderId="6" xfId="0" applyNumberFormat="1" applyFont="1" applyFill="1" applyBorder="1" applyAlignment="1">
      <x:alignment horizontal="center" vertical="center" wrapText="1"/>
    </x:xf>
    <x:xf numFmtId="0" fontId="14" fillId="2" borderId="10" xfId="0" applyNumberFormat="1" applyFont="1" applyFill="1" applyBorder="1" applyAlignment="1">
      <x:alignment horizontal="center" vertical="center" wrapText="1"/>
    </x:xf>
    <x:xf numFmtId="0" fontId="14" fillId="2" borderId="4" xfId="0" applyNumberFormat="1" applyFont="1" applyFill="1" applyBorder="1" applyAlignment="1">
      <x:alignment horizontal="center" vertical="center" wrapText="1"/>
    </x:xf>
    <x:xf numFmtId="0" fontId="10" fillId="6" borderId="1" xfId="0" applyNumberFormat="1" applyFont="1" applyFill="1" applyBorder="1" applyAlignment="1">
      <x:alignment vertical="center" wrapText="1"/>
    </x:xf>
    <x:xf numFmtId="0" fontId="10" fillId="6" borderId="4" xfId="0" applyNumberFormat="1" applyFont="1" applyFill="1" applyBorder="1" applyAlignment="1">
      <x:alignment vertical="center" wrapText="1"/>
    </x:xf>
    <x:xf numFmtId="0" fontId="10" fillId="6" borderId="7" xfId="0" applyNumberFormat="1" applyFont="1" applyFill="1" applyBorder="1" applyAlignment="1">
      <x:alignment vertical="center" wrapText="1"/>
    </x:xf>
    <x:xf numFmtId="0" fontId="11" fillId="8" borderId="0" xfId="0" applyNumberFormat="1" applyFont="1" applyFill="1" applyBorder="1" applyAlignment="1">
      <x:alignment vertical="center"/>
    </x:xf>
    <x:xf numFmtId="0" fontId="15" fillId="0" borderId="0" xfId="0" applyNumberFormat="1" applyFont="1" applyFill="1" applyBorder="1" applyAlignment="1">
      <x:alignment horizontal="center"/>
    </x:xf>
    <x:xf numFmtId="0" fontId="10" fillId="9" borderId="0" xfId="0" applyNumberFormat="1" applyFont="1" applyFill="1" applyBorder="1" applyAlignment="1">
      <x:alignment vertical="center" wrapText="1"/>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xf numFmtId="0" fontId="0" fillId="11" borderId="0" xfId="0" applyNumberFormat="1" applyFont="1" applyFill="1" applyBorder="1"/>
    <x:xf numFmtId="0" fontId="16" fillId="11" borderId="0" xfId="0" applyNumberFormat="1" applyFont="1" applyFill="1" applyBorder="1"/>
    <x:xf numFmtId="0" fontId="16" fillId="11" borderId="11" xfId="0" applyNumberFormat="1" applyFont="1" applyFill="1" applyBorder="1"/>
    <x:xf numFmtId="0" fontId="16" fillId="11" borderId="12" xfId="0" applyNumberFormat="1" applyFont="1" applyFill="1" applyBorder="1"/>
    <x:xf numFmtId="0" fontId="16" fillId="11" borderId="13" xfId="0" applyNumberFormat="1" applyFont="1" applyFill="1" applyBorder="1"/>
    <x:xf numFmtId="0" fontId="16" fillId="11" borderId="11" xfId="0" applyNumberFormat="1" applyFont="1" applyFill="1" applyBorder="1" applyAlignment="1">
      <x:alignment horizontal="center"/>
    </x:xf>
    <x:xf numFmtId="0" fontId="16" fillId="11" borderId="12" xfId="0" applyNumberFormat="1" applyFont="1" applyFill="1" applyBorder="1" applyAlignment="1">
      <x:alignment horizontal="center"/>
    </x:xf>
    <x:xf numFmtId="0" fontId="16" fillId="11" borderId="13" xfId="0" applyNumberFormat="1" applyFont="1" applyFill="1" applyBorder="1" applyAlignment="1">
      <x:alignment horizontal="center"/>
    </x:xf>
    <x:xf numFmtId="200" fontId="16" fillId="11" borderId="11" xfId="0" applyNumberFormat="1" applyFont="1" applyFill="1" applyBorder="1" applyAlignment="1">
      <x:alignment horizontal="center"/>
    </x:xf>
    <x:xf numFmtId="201" fontId="16" fillId="11" borderId="12" xfId="0" applyNumberFormat="1" applyFont="1" applyFill="1" applyBorder="1" applyAlignment="1">
      <x:alignment horizontal="center"/>
    </x:xf>
    <x:xf numFmtId="202" fontId="16" fillId="11" borderId="12" xfId="0" applyNumberFormat="1" applyFont="1" applyFill="1" applyBorder="1" applyAlignment="1">
      <x:alignment horizontal="center"/>
    </x:xf>
    <x:xf numFmtId="203" fontId="16" fillId="11" borderId="12" xfId="0" applyNumberFormat="1" applyFont="1" applyFill="1" applyBorder="1" applyAlignment="1">
      <x:alignment horizontal="center"/>
    </x:xf>
    <x:xf numFmtId="203" fontId="16" fillId="11" borderId="13" xfId="0" applyNumberFormat="1" applyFont="1" applyFill="1" applyBorder="1" applyAlignment="1">
      <x:alignment horizontal="center"/>
    </x:xf>
    <x:xf numFmtId="0" fontId="0" fillId="10" borderId="1" xfId="0" applyNumberFormat="1" applyFont="1" applyFill="1" applyBorder="1"/>
    <x:xf numFmtId="0" fontId="0" fillId="10" borderId="2" xfId="0" applyNumberFormat="1" applyFont="1" applyFill="1" applyBorder="1"/>
    <x:xf numFmtId="0" fontId="0" fillId="10" borderId="3" xfId="0" applyNumberFormat="1" applyFont="1" applyFill="1" applyBorder="1"/>
    <x:xf numFmtId="0" fontId="0" fillId="10" borderId="4" xfId="0" applyNumberFormat="1" applyFont="1" applyFill="1" applyBorder="1"/>
    <x:xf numFmtId="0" fontId="0" fillId="10" borderId="5" xfId="0" applyNumberFormat="1" applyFont="1" applyFill="1" applyBorder="1"/>
    <x:xf numFmtId="0" fontId="0" fillId="10" borderId="6" xfId="0" applyNumberFormat="1" applyFont="1" applyFill="1" applyBorder="1"/>
    <x:xf numFmtId="0" fontId="0" fillId="10" borderId="7" xfId="0" applyNumberFormat="1" applyFont="1" applyFill="1" applyBorder="1"/>
    <x:xf numFmtId="0" fontId="0" fillId="10" borderId="8" xfId="0" applyNumberFormat="1" applyFont="1" applyFill="1" applyBorder="1"/>
    <x:xf numFmtId="0" fontId="0" fillId="10" borderId="9" xfId="0" applyNumberFormat="1" applyFont="1" applyFill="1" applyBorder="1"/>
    <x:xf numFmtId="0" fontId="0" fillId="10" borderId="1" xfId="0" applyNumberFormat="1" applyFont="1" applyFill="1" applyBorder="1" applyAlignment="1">
      <x:alignment wrapText="1"/>
    </x:xf>
    <x:xf numFmtId="0" fontId="0" fillId="10" borderId="2" xfId="0" applyNumberFormat="1" applyFont="1" applyFill="1" applyBorder="1" applyAlignment="1">
      <x:alignment wrapText="1"/>
    </x:xf>
    <x:xf numFmtId="0" fontId="0" fillId="10" borderId="3" xfId="0" applyNumberFormat="1" applyFont="1" applyFill="1" applyBorder="1" applyAlignment="1">
      <x:alignment wrapText="1"/>
    </x:xf>
    <x:xf numFmtId="0" fontId="0" fillId="10" borderId="4" xfId="0" applyNumberFormat="1" applyFont="1" applyFill="1" applyBorder="1" applyAlignment="1">
      <x:alignment wrapText="1"/>
    </x:xf>
    <x:xf numFmtId="0" fontId="0" fillId="10" borderId="5" xfId="0" applyNumberFormat="1" applyFont="1" applyFill="1" applyBorder="1" applyAlignment="1">
      <x:alignment wrapText="1"/>
    </x:xf>
    <x:xf numFmtId="0" fontId="0" fillId="10" borderId="6" xfId="0" applyNumberFormat="1" applyFont="1" applyFill="1" applyBorder="1" applyAlignment="1">
      <x:alignment wrapText="1"/>
    </x:xf>
    <x:xf numFmtId="0" fontId="0" fillId="10" borderId="7" xfId="0" applyNumberFormat="1" applyFont="1" applyFill="1" applyBorder="1" applyAlignment="1">
      <x:alignment wrapText="1"/>
    </x:xf>
    <x:xf numFmtId="0" fontId="0" fillId="10" borderId="8" xfId="0" applyNumberFormat="1" applyFont="1" applyFill="1" applyBorder="1" applyAlignment="1">
      <x:alignment wrapText="1"/>
    </x:xf>
    <x:xf numFmtId="0" fontId="0" fillId="10" borderId="9" xfId="0" applyNumberFormat="1" applyFont="1" applyFill="1" applyBorder="1" applyAlignment="1">
      <x:alignment wrapText="1"/>
    </x:xf>
    <x:xf numFmtId="204" fontId="0" fillId="10" borderId="2" xfId="0" applyNumberFormat="1" applyFont="1" applyFill="1" applyBorder="1" applyAlignment="1">
      <x:alignment wrapText="1"/>
    </x:xf>
    <x:xf numFmtId="204" fontId="0" fillId="10" borderId="5" xfId="0" applyNumberFormat="1" applyFont="1" applyFill="1" applyBorder="1" applyAlignment="1">
      <x:alignment wrapText="1"/>
    </x:xf>
    <x:xf numFmtId="204" fontId="0" fillId="10" borderId="8" xfId="0" applyNumberFormat="1" applyFont="1" applyFill="1" applyBorder="1" applyAlignment="1">
      <x:alignment wrapText="1"/>
    </x:xf>
    <x:xf numFmtId="0" fontId="17" fillId="10" borderId="0" xfId="0" applyNumberFormat="1" applyFont="1" applyFill="1" applyBorder="1"/>
    <x:xf numFmtId="0" fontId="17" fillId="10" borderId="0" xfId="0" applyNumberFormat="1" applyFont="1" applyFill="1" applyBorder="1" applyAlignment="1">
      <x:alignment wrapText="1"/>
    </x:xf>
    <x:xf numFmtId="0" fontId="16" fillId="11" borderId="2" xfId="0" applyNumberFormat="1" applyFont="1" applyFill="1" applyBorder="1"/>
    <x:xf numFmtId="0" fontId="17" fillId="10" borderId="2" xfId="0" applyNumberFormat="1" applyFont="1" applyFill="1" applyBorder="1" applyAlignment="1">
      <x:alignment wrapText="1"/>
    </x:xf>
    <x:xf numFmtId="0" fontId="17" fillId="10" borderId="3" xfId="0" applyNumberFormat="1" applyFont="1" applyFill="1" applyBorder="1" applyAlignment="1">
      <x:alignment wrapText="1"/>
    </x:xf>
    <x:xf numFmtId="0" fontId="16" fillId="11" borderId="5" xfId="0" applyNumberFormat="1" applyFont="1" applyFill="1" applyBorder="1"/>
    <x:xf numFmtId="0" fontId="17" fillId="10" borderId="5" xfId="0" applyNumberFormat="1" applyFont="1" applyFill="1" applyBorder="1" applyAlignment="1">
      <x:alignment wrapText="1"/>
    </x:xf>
    <x:xf numFmtId="0" fontId="17" fillId="10" borderId="6" xfId="0" applyNumberFormat="1" applyFont="1" applyFill="1" applyBorder="1" applyAlignment="1">
      <x:alignment wrapText="1"/>
    </x:xf>
    <x:xf numFmtId="0" fontId="16" fillId="11" borderId="8" xfId="0" applyNumberFormat="1" applyFont="1" applyFill="1" applyBorder="1"/>
    <x:xf numFmtId="0" fontId="17" fillId="10" borderId="8" xfId="0" applyNumberFormat="1" applyFont="1" applyFill="1" applyBorder="1" applyAlignment="1">
      <x:alignment wrapText="1"/>
    </x:xf>
    <x:xf numFmtId="0" fontId="17" fillId="10" borderId="9"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 xfId="0" applyNumberFormat="1" applyFont="1" applyFill="1" applyBorder="1" applyAlignment="1">
      <x:alignment vertical="center" wrapText="1"/>
    </x:xf>
    <x:xf numFmtId="0" fontId="0" fillId="0" borderId="2" xfId="0" applyNumberFormat="1" applyFont="1" applyFill="1" applyBorder="1" applyAlignment="1">
      <x:alignment vertical="center" wrapText="1"/>
    </x:xf>
    <x:xf numFmtId="0" fontId="0" fillId="0" borderId="3" xfId="0" applyNumberFormat="1" applyFont="1" applyFill="1" applyBorder="1" applyAlignment="1">
      <x:alignment vertical="center" wrapText="1"/>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12" borderId="0" xfId="0" applyNumberFormat="1" applyFont="1" applyFill="1" applyBorder="1"/>
    <x:xf numFmtId="0" fontId="18" fillId="12" borderId="0" xfId="0" applyNumberFormat="1" applyFont="1" applyFill="1" applyBorder="1"/>
    <x:xf numFmtId="0" fontId="18" fillId="12" borderId="0" xfId="0" applyNumberFormat="1" applyFont="1" applyFill="1" applyBorder="1" applyAlignment="1">
      <x:alignment wrapText="1"/>
    </x:xf>
    <x:xf numFmtId="0" fontId="0" fillId="11" borderId="2" xfId="0" applyNumberFormat="1" applyFont="1" applyFill="1" applyBorder="1"/>
    <x:xf numFmtId="0" fontId="17" fillId="10" borderId="2" xfId="0" applyNumberFormat="1" applyFont="1" applyFill="1" applyBorder="1"/>
    <x:xf numFmtId="0" fontId="17" fillId="10" borderId="3" xfId="0" applyNumberFormat="1" applyFont="1" applyFill="1" applyBorder="1"/>
    <x:xf numFmtId="0" fontId="0" fillId="11" borderId="5" xfId="0" applyNumberFormat="1" applyFont="1" applyFill="1" applyBorder="1"/>
    <x:xf numFmtId="0" fontId="17" fillId="10" borderId="5" xfId="0" applyNumberFormat="1" applyFont="1" applyFill="1" applyBorder="1"/>
    <x:xf numFmtId="0" fontId="17" fillId="10" borderId="6" xfId="0" applyNumberFormat="1" applyFont="1" applyFill="1" applyBorder="1"/>
    <x:xf numFmtId="0" fontId="0" fillId="11" borderId="8" xfId="0" applyNumberFormat="1" applyFont="1" applyFill="1" applyBorder="1"/>
    <x:xf numFmtId="0" fontId="17" fillId="10" borderId="8" xfId="0" applyNumberFormat="1" applyFont="1" applyFill="1" applyBorder="1"/>
    <x:xf numFmtId="0" fontId="17" fillId="10" borderId="9" xfId="0" applyNumberFormat="1" applyFont="1" applyFill="1" applyBorder="1"/>
    <x:xf numFmtId="200" fontId="0" fillId="0" borderId="1" xfId="0" applyNumberFormat="1" applyFont="1" applyFill="1" applyBorder="1"/>
    <x:xf numFmtId="200" fontId="0" fillId="0" borderId="4" xfId="0" applyNumberFormat="1" applyFont="1" applyFill="1" applyBorder="1"/>
    <x:xf numFmtId="200" fontId="0" fillId="0" borderId="7" xfId="0" applyNumberFormat="1" applyFont="1" applyFill="1" applyBorder="1"/>
    <x:xf numFmtId="205" fontId="0" fillId="10" borderId="2" xfId="0" applyNumberFormat="1" applyFont="1" applyFill="1" applyBorder="1"/>
    <x:xf numFmtId="205" fontId="0" fillId="10" borderId="5" xfId="0" applyNumberFormat="1" applyFont="1" applyFill="1" applyBorder="1"/>
    <x:xf numFmtId="205" fontId="0" fillId="10" borderId="8" xfId="0" applyNumberFormat="1" applyFont="1" applyFill="1" applyBorder="1"/>
    <x:xf numFmtId="204" fontId="0" fillId="10" borderId="2" xfId="0" applyNumberFormat="1" applyFont="1" applyFill="1" applyBorder="1"/>
    <x:xf numFmtId="204" fontId="0" fillId="10" borderId="5" xfId="0" applyNumberFormat="1" applyFont="1" applyFill="1" applyBorder="1"/>
    <x:xf numFmtId="204" fontId="0" fillId="10" borderId="8" xfId="0" applyNumberFormat="1" applyFont="1" applyFill="1" applyBorder="1"/>
    <x:xf numFmtId="0" fontId="19" fillId="4" borderId="0" xfId="0" applyNumberFormat="1" applyFont="1" applyFill="1" applyBorder="1"/>
    <x:xf numFmtId="0" fontId="19" fillId="4" borderId="0" xfId="0" applyNumberFormat="1" applyFont="1" applyFill="1" applyBorder="1" applyAlignment="1">
      <x:alignment horizontal="center"/>
    </x:xf>
    <x:xf numFmtId="0" fontId="19" fillId="4" borderId="0" xfId="0" applyNumberFormat="1" applyFont="1" applyFill="1" applyBorder="1" applyAlignment="1">
      <x:alignment horizontal="center" vertical="center"/>
    </x:xf>
    <x:xf numFmtId="0" fontId="0" fillId="11" borderId="3" xfId="0" applyNumberFormat="1" applyFont="1" applyFill="1" applyBorder="1"/>
    <x:xf numFmtId="0" fontId="0" fillId="11" borderId="6" xfId="0" applyNumberFormat="1" applyFont="1" applyFill="1" applyBorder="1"/>
    <x:xf numFmtId="0" fontId="0" fillId="11" borderId="9" xfId="0" applyNumberFormat="1" applyFont="1" applyFill="1" applyBorder="1"/>
    <x:xf numFmtId="204" fontId="0" fillId="0" borderId="2" xfId="0" applyNumberFormat="1" applyFont="1" applyFill="1" applyBorder="1"/>
    <x:xf numFmtId="204" fontId="0" fillId="0" borderId="5" xfId="0" applyNumberFormat="1" applyFont="1" applyFill="1" applyBorder="1"/>
    <x:xf numFmtId="204" fontId="0" fillId="0" borderId="8" xfId="0" applyNumberFormat="1" applyFont="1" applyFill="1" applyBorder="1"/>
    <x:xf numFmtId="205" fontId="0" fillId="10" borderId="1" xfId="0" applyNumberFormat="1" applyFont="1" applyFill="1" applyBorder="1"/>
    <x:xf numFmtId="205" fontId="0" fillId="10" borderId="4" xfId="0" applyNumberFormat="1" applyFont="1" applyFill="1" applyBorder="1"/>
    <x:xf numFmtId="205" fontId="0" fillId="10" borderId="7" xfId="0" applyNumberFormat="1" applyFont="1" applyFill="1" applyBorder="1"/>
    <x:xf numFmtId="201" fontId="0" fillId="10" borderId="2" xfId="0" applyNumberFormat="1" applyFont="1" applyFill="1" applyBorder="1"/>
    <x:xf numFmtId="201" fontId="0" fillId="10" borderId="5" xfId="0" applyNumberFormat="1" applyFont="1" applyFill="1" applyBorder="1"/>
    <x:xf numFmtId="201" fontId="0" fillId="10" borderId="8" xfId="0" applyNumberFormat="1" applyFont="1" applyFill="1" applyBorder="1"/>
    <x:xf numFmtId="201" fontId="0" fillId="11" borderId="2" xfId="0" applyNumberFormat="1" applyFont="1" applyFill="1" applyBorder="1"/>
    <x:xf numFmtId="201" fontId="0" fillId="11" borderId="5" xfId="0" applyNumberFormat="1" applyFont="1" applyFill="1" applyBorder="1"/>
    <x:xf numFmtId="201" fontId="0" fillId="11" borderId="8" xfId="0" applyNumberFormat="1" applyFont="1" applyFill="1" applyBorder="1"/>
    <x:xf numFmtId="202" fontId="0" fillId="10" borderId="2" xfId="0" applyNumberFormat="1" applyFont="1" applyFill="1" applyBorder="1"/>
    <x:xf numFmtId="202" fontId="0" fillId="10" borderId="5" xfId="0" applyNumberFormat="1" applyFont="1" applyFill="1" applyBorder="1"/>
    <x:xf numFmtId="202" fontId="0" fillId="10" borderId="8" xfId="0" applyNumberFormat="1" applyFont="1" applyFill="1" applyBorder="1"/>
    <x:xf numFmtId="0" fontId="20" fillId="11" borderId="0" xfId="0" applyNumberFormat="1" applyFont="1" applyFill="1" applyBorder="1"/>
    <x:xf numFmtId="0" fontId="20" fillId="11" borderId="14" xfId="0" applyNumberFormat="1" applyFont="1" applyFill="1" applyBorder="1"/>
    <x:xf numFmtId="0" fontId="20" fillId="11" borderId="14" xfId="0" applyNumberFormat="1" applyFont="1" applyFill="1" applyBorder="1" applyAlignment="1">
      <x:alignment horizontal="center"/>
    </x:xf>
    <x:xf numFmtId="204" fontId="0" fillId="6" borderId="0" xfId="0" applyNumberFormat="1" applyFont="1" applyFill="1" applyBorder="1" applyAlignment="1">
      <x:alignment vertical="center" wrapText="1"/>
    </x:xf>
    <x:xf numFmtId="0" fontId="17" fillId="10" borderId="1" xfId="0" applyNumberFormat="1" applyFont="1" applyFill="1" applyBorder="1"/>
    <x:xf numFmtId="0" fontId="17" fillId="10" borderId="4" xfId="0" applyNumberFormat="1" applyFont="1" applyFill="1" applyBorder="1"/>
    <x:xf numFmtId="0" fontId="17" fillId="10" borderId="7" xfId="0" applyNumberFormat="1" applyFont="1" applyFill="1" applyBorder="1"/>
    <x:xf numFmtId="201" fontId="0" fillId="6" borderId="2" xfId="0" applyNumberFormat="1" applyFont="1" applyFill="1" applyBorder="1" applyAlignment="1">
      <x:alignment vertical="center" wrapText="1"/>
    </x:xf>
    <x:xf numFmtId="201" fontId="0" fillId="6" borderId="5" xfId="0" applyNumberFormat="1" applyFont="1" applyFill="1" applyBorder="1" applyAlignment="1">
      <x:alignment vertical="center" wrapText="1"/>
    </x:xf>
    <x:xf numFmtId="201" fontId="0" fillId="6" borderId="8" xfId="0" applyNumberFormat="1" applyFont="1" applyFill="1" applyBorder="1" applyAlignment="1">
      <x:alignment vertical="center"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vertical="center"/>
    </x:xf>
    <x:xf numFmtId="0" fontId="3" fillId="2" borderId="0" xfId="0" applyNumberFormat="1" applyFont="1" applyFill="1" applyBorder="1"/>
    <x:xf numFmtId="0" fontId="3" fillId="2" borderId="0" xfId="0" applyNumberFormat="1" applyFont="1" applyFill="1" applyBorder="1" applyAlignment="1">
      <x:alignment vertical="center"/>
    </x:xf>
    <x:xf numFmtId="0" fontId="0" fillId="6" borderId="0" xfId="0" applyNumberFormat="1" applyFont="1" applyFill="1" applyBorder="1" applyAlignment="1">
      <x:alignment vertical="top" wrapText="1"/>
    </x:xf>
    <x:xf numFmtId="0" fontId="21" fillId="10" borderId="0" xfId="0" applyNumberFormat="1" applyFont="1" applyFill="1" applyBorder="1"/>
    <x:xf numFmtId="0" fontId="21" fillId="10" borderId="0" xfId="0" applyNumberFormat="1" applyFont="1" applyFill="1" applyBorder="1" applyAlignment="1">
      <x:alignment wrapText="1"/>
    </x:xf>
    <x:xf numFmtId="0" fontId="21" fillId="10" borderId="0" xfId="0" applyNumberFormat="1" applyFont="1" applyFill="1" applyBorder="1" applyAlignment="1">
      <x:alignment vertical="top" wrapText="1"/>
    </x:xf>
    <x:xf numFmtId="0" fontId="13" fillId="10" borderId="0" xfId="0" applyNumberFormat="1" applyFont="1" applyFill="1" applyBorder="1" applyAlignment="1">
      <x:alignment wrapText="1"/>
    </x:xf>
    <x:xf numFmtId="200" fontId="22" fillId="11" borderId="11" xfId="0" applyNumberFormat="1" applyFont="1" applyFill="1" applyBorder="1" applyAlignment="1">
      <x:alignment horizontal="center"/>
    </x:xf>
    <x:xf numFmtId="0" fontId="22" fillId="11" borderId="12" xfId="0" applyNumberFormat="1" applyFont="1" applyFill="1" applyBorder="1" applyAlignment="1">
      <x:alignment horizontal="center"/>
    </x:xf>
    <x:xf numFmtId="0" fontId="10" fillId="10" borderId="1" xfId="0" applyNumberFormat="1" applyFont="1" applyFill="1" applyBorder="1" applyAlignment="1">
      <x:alignment wrapText="1"/>
    </x:xf>
    <x:xf numFmtId="204" fontId="10" fillId="10" borderId="2" xfId="0" applyNumberFormat="1" applyFont="1" applyFill="1" applyBorder="1" applyAlignment="1">
      <x:alignment wrapText="1"/>
    </x:xf>
    <x:xf numFmtId="0" fontId="10" fillId="10" borderId="3" xfId="0" applyNumberFormat="1" applyFont="1" applyFill="1" applyBorder="1" applyAlignment="1">
      <x:alignment wrapText="1"/>
    </x:xf>
    <x:xf numFmtId="201" fontId="22" fillId="11" borderId="12" xfId="0" applyNumberFormat="1" applyFont="1" applyFill="1" applyBorder="1" applyAlignment="1">
      <x:alignment horizontal="center"/>
    </x:xf>
    <x:xf numFmtId="0" fontId="10" fillId="10" borderId="4" xfId="0" applyNumberFormat="1" applyFont="1" applyFill="1" applyBorder="1" applyAlignment="1">
      <x:alignment wrapText="1"/>
    </x:xf>
    <x:xf numFmtId="204" fontId="10" fillId="10" borderId="5" xfId="0" applyNumberFormat="1" applyFont="1" applyFill="1" applyBorder="1" applyAlignment="1">
      <x:alignment wrapText="1"/>
    </x:xf>
    <x:xf numFmtId="0" fontId="10" fillId="10" borderId="6" xfId="0" applyNumberFormat="1" applyFont="1" applyFill="1" applyBorder="1" applyAlignment="1">
      <x:alignment wrapText="1"/>
    </x:xf>
    <x:xf numFmtId="0" fontId="10" fillId="10" borderId="7" xfId="0" applyNumberFormat="1" applyFont="1" applyFill="1" applyBorder="1" applyAlignment="1">
      <x:alignment wrapText="1"/>
    </x:xf>
    <x:xf numFmtId="204" fontId="10" fillId="10" borderId="8" xfId="0" applyNumberFormat="1" applyFont="1" applyFill="1" applyBorder="1" applyAlignment="1">
      <x:alignment wrapText="1"/>
    </x:xf>
    <x:xf numFmtId="0" fontId="10" fillId="10" borderId="9" xfId="0" applyNumberFormat="1" applyFont="1" applyFill="1" applyBorder="1" applyAlignment="1">
      <x:alignment wrapText="1"/>
    </x:xf>
    <x:xf numFmtId="202" fontId="22" fillId="11" borderId="12" xfId="0" applyNumberFormat="1" applyFont="1" applyFill="1" applyBorder="1" applyAlignment="1">
      <x:alignment horizontal="center"/>
    </x:xf>
    <x:xf numFmtId="203" fontId="22" fillId="11" borderId="12" xfId="0" applyNumberFormat="1" applyFont="1" applyFill="1" applyBorder="1" applyAlignment="1">
      <x:alignment horizontal="center"/>
    </x:xf>
    <x:xf numFmtId="203" fontId="22" fillId="11" borderId="13" xfId="0" applyNumberFormat="1" applyFont="1" applyFill="1" applyBorder="1" applyAlignment="1">
      <x:alignment horizontal="center"/>
    </x:xf>
    <x:xf numFmtId="0" fontId="10" fillId="6" borderId="1" xfId="0" applyNumberFormat="1" applyFont="1" applyFill="1" applyBorder="1"/>
    <x:xf numFmtId="0" fontId="10" fillId="6" borderId="2" xfId="0" applyNumberFormat="1" applyFont="1" applyFill="1" applyBorder="1"/>
    <x:xf numFmtId="0" fontId="22" fillId="11" borderId="2" xfId="0" applyNumberFormat="1" applyFont="1" applyFill="1" applyBorder="1"/>
    <x:xf numFmtId="0" fontId="23" fillId="10" borderId="2" xfId="0" applyNumberFormat="1" applyFont="1" applyFill="1" applyBorder="1" applyAlignment="1">
      <x:alignment wrapText="1"/>
    </x:xf>
    <x:xf numFmtId="0" fontId="23" fillId="10" borderId="3" xfId="0" applyNumberFormat="1" applyFont="1" applyFill="1" applyBorder="1" applyAlignment="1">
      <x:alignment wrapText="1"/>
    </x:xf>
    <x:xf numFmtId="0" fontId="10" fillId="6" borderId="4" xfId="0" applyNumberFormat="1" applyFont="1" applyFill="1" applyBorder="1"/>
    <x:xf numFmtId="0" fontId="10" fillId="6" borderId="5" xfId="0" applyNumberFormat="1" applyFont="1" applyFill="1" applyBorder="1"/>
    <x:xf numFmtId="0" fontId="22" fillId="11" borderId="5" xfId="0" applyNumberFormat="1" applyFont="1" applyFill="1" applyBorder="1"/>
    <x:xf numFmtId="0" fontId="23" fillId="10" borderId="5" xfId="0" applyNumberFormat="1" applyFont="1" applyFill="1" applyBorder="1" applyAlignment="1">
      <x:alignment wrapText="1"/>
    </x:xf>
    <x:xf numFmtId="0" fontId="23" fillId="10" borderId="6" xfId="0" applyNumberFormat="1" applyFont="1" applyFill="1" applyBorder="1" applyAlignment="1">
      <x:alignment wrapText="1"/>
    </x:xf>
    <x:xf numFmtId="0" fontId="10" fillId="6" borderId="7" xfId="0" applyNumberFormat="1" applyFont="1" applyFill="1" applyBorder="1"/>
    <x:xf numFmtId="0" fontId="10" fillId="6" borderId="8" xfId="0" applyNumberFormat="1" applyFont="1" applyFill="1" applyBorder="1"/>
    <x:xf numFmtId="0" fontId="22" fillId="11" borderId="8" xfId="0" applyNumberFormat="1" applyFont="1" applyFill="1" applyBorder="1"/>
    <x:xf numFmtId="0" fontId="23" fillId="10" borderId="8" xfId="0" applyNumberFormat="1" applyFont="1" applyFill="1" applyBorder="1" applyAlignment="1">
      <x:alignment wrapText="1"/>
    </x:xf>
    <x:xf numFmtId="0" fontId="23" fillId="10" borderId="9" xfId="0" applyNumberFormat="1" applyFont="1" applyFill="1" applyBorder="1" applyAlignment="1">
      <x:alignment wrapText="1"/>
    </x:xf>
    <x:xf numFmtId="0" fontId="10" fillId="0" borderId="1" xfId="0" applyNumberFormat="1" applyFont="1" applyFill="1" applyBorder="1" applyAlignment="1">
      <x:alignment vertical="center" wrapText="1"/>
    </x:xf>
    <x:xf numFmtId="0" fontId="10" fillId="0" borderId="2" xfId="0" applyNumberFormat="1" applyFont="1" applyFill="1" applyBorder="1" applyAlignment="1">
      <x:alignment vertical="center" wrapText="1"/>
    </x:xf>
    <x:xf numFmtId="0" fontId="10" fillId="0" borderId="3" xfId="0" applyNumberFormat="1" applyFont="1" applyFill="1" applyBorder="1" applyAlignment="1">
      <x:alignment vertical="center" wrapText="1"/>
    </x:xf>
    <x:xf numFmtId="0" fontId="10" fillId="0" borderId="4" xfId="0" applyNumberFormat="1" applyFont="1" applyFill="1" applyBorder="1" applyAlignment="1">
      <x:alignment vertical="center" wrapText="1"/>
    </x:xf>
    <x:xf numFmtId="0" fontId="10" fillId="0" borderId="5" xfId="0" applyNumberFormat="1" applyFont="1" applyFill="1" applyBorder="1" applyAlignment="1">
      <x:alignment vertical="center" wrapText="1"/>
    </x:xf>
    <x:xf numFmtId="0" fontId="10" fillId="0" borderId="6" xfId="0" applyNumberFormat="1" applyFont="1" applyFill="1" applyBorder="1" applyAlignment="1">
      <x:alignment vertical="center" wrapText="1"/>
    </x:xf>
    <x:xf numFmtId="0" fontId="10" fillId="0" borderId="7" xfId="0" applyNumberFormat="1" applyFont="1" applyFill="1" applyBorder="1" applyAlignment="1">
      <x:alignment vertical="center" wrapText="1"/>
    </x:xf>
    <x:xf numFmtId="0" fontId="10" fillId="0" borderId="8" xfId="0" applyNumberFormat="1" applyFont="1" applyFill="1" applyBorder="1" applyAlignment="1">
      <x:alignment vertical="center" wrapText="1"/>
    </x:xf>
    <x:xf numFmtId="0" fontId="10" fillId="0" borderId="9" xfId="0" applyNumberFormat="1" applyFont="1" applyFill="1" applyBorder="1" applyAlignment="1">
      <x:alignment vertical="center" wrapText="1"/>
    </x:xf>
    <x:xf numFmtId="0" fontId="13" fillId="0" borderId="0" xfId="0" applyNumberFormat="1" applyFont="1" applyFill="1" applyBorder="1"/>
    <x:xf numFmtId="0" fontId="24" fillId="11" borderId="14" xfId="0" applyNumberFormat="1" applyFont="1" applyFill="1" applyBorder="1" applyAlignment="1">
      <x:alignment horizontal="center"/>
    </x:xf>
    <x:xf numFmtId="0" fontId="23" fillId="10" borderId="1" xfId="0" applyNumberFormat="1" applyFont="1" applyFill="1" applyBorder="1"/>
    <x:xf numFmtId="0" fontId="23" fillId="10" borderId="2" xfId="0" applyNumberFormat="1" applyFont="1" applyFill="1" applyBorder="1"/>
    <x:xf numFmtId="0" fontId="23" fillId="10" borderId="3" xfId="0" applyNumberFormat="1" applyFont="1" applyFill="1" applyBorder="1"/>
    <x:xf numFmtId="0" fontId="23" fillId="10" borderId="4" xfId="0" applyNumberFormat="1" applyFont="1" applyFill="1" applyBorder="1"/>
    <x:xf numFmtId="0" fontId="23" fillId="10" borderId="5" xfId="0" applyNumberFormat="1" applyFont="1" applyFill="1" applyBorder="1"/>
    <x:xf numFmtId="0" fontId="23" fillId="10" borderId="6" xfId="0" applyNumberFormat="1" applyFont="1" applyFill="1" applyBorder="1"/>
    <x:xf numFmtId="0" fontId="13" fillId="10" borderId="0" xfId="0" applyNumberFormat="1" applyFont="1" applyFill="1" applyBorder="1"/>
    <x:xf numFmtId="0" fontId="10" fillId="6" borderId="0" xfId="0" applyNumberFormat="1" applyFont="1" applyFill="1" applyBorder="1" applyAlignment="1">
      <x:alignment vertical="center" wrapText="1"/>
    </x:xf>
    <x:xf numFmtId="204" fontId="10" fillId="6" borderId="0" xfId="0" applyNumberFormat="1" applyFont="1" applyFill="1" applyBorder="1" applyAlignment="1">
      <x:alignment vertical="center" wrapText="1"/>
    </x:xf>
    <x:xf numFmtId="201" fontId="10" fillId="6" borderId="2" xfId="0" applyNumberFormat="1" applyFont="1" applyFill="1" applyBorder="1" applyAlignment="1">
      <x:alignment vertical="center" wrapText="1"/>
    </x:xf>
    <x:xf numFmtId="201" fontId="10" fillId="6" borderId="5" xfId="0" applyNumberFormat="1" applyFont="1" applyFill="1" applyBorder="1" applyAlignment="1">
      <x:alignment vertical="center" wrapText="1"/>
    </x:xf>
    <x:xf numFmtId="0" fontId="10" fillId="10" borderId="1" xfId="0" applyNumberFormat="1" applyFont="1" applyFill="1" applyBorder="1"/>
    <x:xf numFmtId="0" fontId="10" fillId="10" borderId="3" xfId="0" applyNumberFormat="1" applyFont="1" applyFill="1" applyBorder="1"/>
    <x:xf numFmtId="0" fontId="10" fillId="10" borderId="4" xfId="0" applyNumberFormat="1" applyFont="1" applyFill="1" applyBorder="1"/>
    <x:xf numFmtId="0" fontId="10" fillId="10" borderId="6" xfId="0" applyNumberFormat="1" applyFont="1" applyFill="1" applyBorder="1"/>
    <x:xf numFmtId="201" fontId="10" fillId="6" borderId="8" xfId="0" applyNumberFormat="1" applyFont="1" applyFill="1" applyBorder="1" applyAlignment="1">
      <x:alignment vertical="center" wrapText="1"/>
    </x:xf>
    <x:xf numFmtId="0" fontId="10" fillId="10" borderId="7" xfId="0" applyNumberFormat="1" applyFont="1" applyFill="1" applyBorder="1"/>
    <x:xf numFmtId="0" fontId="10" fillId="10" borderId="9" xfId="0" applyNumberFormat="1" applyFont="1" applyFill="1" applyBorder="1"/>
    <x:xf numFmtId="0" fontId="23" fillId="10" borderId="7" xfId="0" applyNumberFormat="1" applyFont="1" applyFill="1" applyBorder="1"/>
    <x:xf numFmtId="0" fontId="23" fillId="10" borderId="8" xfId="0" applyNumberFormat="1" applyFont="1" applyFill="1" applyBorder="1"/>
    <x:xf numFmtId="0" fontId="23" fillId="10" borderId="9" xfId="0" applyNumberFormat="1" applyFont="1" applyFill="1" applyBorder="1"/>
    <x:xf numFmtId="0" fontId="25" fillId="12" borderId="0" xfId="0" applyNumberFormat="1" applyFont="1" applyFill="1" applyBorder="1" applyAlignment="1">
      <x:alignment wrapText="1"/>
    </x:xf>
    <x:xf numFmtId="200" fontId="10" fillId="0" borderId="1" xfId="0" applyNumberFormat="1" applyFont="1" applyFill="1" applyBorder="1"/>
    <x:xf numFmtId="0" fontId="10" fillId="0" borderId="2" xfId="0" applyNumberFormat="1" applyFont="1" applyFill="1" applyBorder="1"/>
    <x:xf numFmtId="0" fontId="10" fillId="11" borderId="2" xfId="0" applyNumberFormat="1" applyFont="1" applyFill="1" applyBorder="1"/>
    <x:xf numFmtId="205" fontId="10" fillId="10" borderId="2" xfId="0" applyNumberFormat="1" applyFont="1" applyFill="1" applyBorder="1"/>
    <x:xf numFmtId="204" fontId="10" fillId="10" borderId="2" xfId="0" applyNumberFormat="1" applyFont="1" applyFill="1" applyBorder="1"/>
    <x:xf numFmtId="0" fontId="10" fillId="10" borderId="2" xfId="0" applyNumberFormat="1" applyFont="1" applyFill="1" applyBorder="1"/>
    <x:xf numFmtId="200" fontId="10" fillId="0" borderId="4" xfId="0" applyNumberFormat="1" applyFont="1" applyFill="1" applyBorder="1"/>
    <x:xf numFmtId="0" fontId="10" fillId="0" borderId="5" xfId="0" applyNumberFormat="1" applyFont="1" applyFill="1" applyBorder="1"/>
    <x:xf numFmtId="0" fontId="10" fillId="11" borderId="5" xfId="0" applyNumberFormat="1" applyFont="1" applyFill="1" applyBorder="1"/>
    <x:xf numFmtId="205" fontId="10" fillId="10" borderId="5" xfId="0" applyNumberFormat="1" applyFont="1" applyFill="1" applyBorder="1"/>
    <x:xf numFmtId="204" fontId="10" fillId="10" borderId="5" xfId="0" applyNumberFormat="1" applyFont="1" applyFill="1" applyBorder="1"/>
    <x:xf numFmtId="0" fontId="10" fillId="10" borderId="5" xfId="0" applyNumberFormat="1" applyFont="1" applyFill="1" applyBorder="1"/>
    <x:xf numFmtId="200" fontId="10" fillId="0" borderId="7" xfId="0" applyNumberFormat="1" applyFont="1" applyFill="1" applyBorder="1"/>
    <x:xf numFmtId="0" fontId="10" fillId="0" borderId="8" xfId="0" applyNumberFormat="1" applyFont="1" applyFill="1" applyBorder="1"/>
    <x:xf numFmtId="0" fontId="10" fillId="11" borderId="8" xfId="0" applyNumberFormat="1" applyFont="1" applyFill="1" applyBorder="1"/>
    <x:xf numFmtId="205" fontId="10" fillId="10" borderId="8" xfId="0" applyNumberFormat="1" applyFont="1" applyFill="1" applyBorder="1"/>
    <x:xf numFmtId="204" fontId="10" fillId="10" borderId="8" xfId="0" applyNumberFormat="1" applyFont="1" applyFill="1" applyBorder="1"/>
    <x:xf numFmtId="0" fontId="10" fillId="10" borderId="8" xfId="0" applyNumberFormat="1" applyFont="1" applyFill="1" applyBorder="1"/>
    <x:xf numFmtId="0" fontId="26" fillId="4" borderId="0" xfId="0" applyNumberFormat="1" applyFont="1" applyFill="1" applyBorder="1" applyAlignment="1">
      <x:alignment horizontal="center" vertical="center"/>
    </x:xf>
    <x:xf numFmtId="204" fontId="10" fillId="0" borderId="2" xfId="0" applyNumberFormat="1" applyFont="1" applyFill="1" applyBorder="1"/>
    <x:xf numFmtId="0" fontId="10" fillId="0" borderId="3" xfId="0" applyNumberFormat="1" applyFont="1" applyFill="1" applyBorder="1"/>
    <x:xf numFmtId="205" fontId="10" fillId="10" borderId="1" xfId="0" applyNumberFormat="1" applyFont="1" applyFill="1" applyBorder="1"/>
    <x:xf numFmtId="201" fontId="10" fillId="10" borderId="2" xfId="0" applyNumberFormat="1" applyFont="1" applyFill="1" applyBorder="1"/>
    <x:xf numFmtId="201" fontId="10" fillId="11" borderId="2" xfId="0" applyNumberFormat="1" applyFont="1" applyFill="1" applyBorder="1"/>
    <x:xf numFmtId="202" fontId="10" fillId="10" borderId="2" xfId="0" applyNumberFormat="1" applyFont="1" applyFill="1" applyBorder="1"/>
    <x:xf numFmtId="0" fontId="10" fillId="11" borderId="3" xfId="0" applyNumberFormat="1" applyFont="1" applyFill="1" applyBorder="1"/>
    <x:xf numFmtId="204" fontId="10" fillId="0" borderId="5" xfId="0" applyNumberFormat="1" applyFont="1" applyFill="1" applyBorder="1"/>
    <x:xf numFmtId="0" fontId="10" fillId="0" borderId="6" xfId="0" applyNumberFormat="1" applyFont="1" applyFill="1" applyBorder="1"/>
    <x:xf numFmtId="205" fontId="10" fillId="10" borderId="4" xfId="0" applyNumberFormat="1" applyFont="1" applyFill="1" applyBorder="1"/>
    <x:xf numFmtId="201" fontId="10" fillId="10" borderId="5" xfId="0" applyNumberFormat="1" applyFont="1" applyFill="1" applyBorder="1"/>
    <x:xf numFmtId="201" fontId="10" fillId="11" borderId="5" xfId="0" applyNumberFormat="1" applyFont="1" applyFill="1" applyBorder="1"/>
    <x:xf numFmtId="202" fontId="10" fillId="10" borderId="5" xfId="0" applyNumberFormat="1" applyFont="1" applyFill="1" applyBorder="1"/>
    <x:xf numFmtId="0" fontId="10" fillId="11" borderId="6" xfId="0" applyNumberFormat="1" applyFont="1" applyFill="1" applyBorder="1"/>
    <x:xf numFmtId="204" fontId="10" fillId="0" borderId="8" xfId="0" applyNumberFormat="1" applyFont="1" applyFill="1" applyBorder="1"/>
    <x:xf numFmtId="0" fontId="10" fillId="0" borderId="9" xfId="0" applyNumberFormat="1" applyFont="1" applyFill="1" applyBorder="1"/>
    <x:xf numFmtId="205" fontId="10" fillId="10" borderId="7" xfId="0" applyNumberFormat="1" applyFont="1" applyFill="1" applyBorder="1"/>
    <x:xf numFmtId="201" fontId="10" fillId="10" borderId="8" xfId="0" applyNumberFormat="1" applyFont="1" applyFill="1" applyBorder="1"/>
    <x:xf numFmtId="201" fontId="10" fillId="11" borderId="8" xfId="0" applyNumberFormat="1" applyFont="1" applyFill="1" applyBorder="1"/>
    <x:xf numFmtId="202" fontId="10" fillId="10" borderId="8" xfId="0" applyNumberFormat="1" applyFont="1" applyFill="1" applyBorder="1"/>
    <x:xf numFmtId="0" fontId="10" fillId="11" borderId="9" xfId="0" applyNumberFormat="1" applyFont="1" applyFill="1" applyBorder="1"/>
    <x:xf numFmtId="0" fontId="11" fillId="13" borderId="0" xfId="0" applyNumberFormat="1" applyFont="1" applyFill="1" applyBorder="1" applyAlignment="1">
      <x:alignment vertical="center"/>
    </x:xf>
    <x:xf numFmtId="0" fontId="11" fillId="2" borderId="0" xfId="0" applyNumberFormat="1" applyFont="1" applyFill="1" applyBorder="1" applyAlignment="1">
      <x:alignment vertical="center"/>
    </x:xf>
    <x:xf numFmtId="0" fontId="10" fillId="6" borderId="0" xfId="0" applyNumberFormat="1" applyFont="1" applyFill="1" applyBorder="1" applyAlignment="1">
      <x:alignment vertical="top" wrapText="1"/>
    </x:xf>
    <x:xf numFmtId="0" fontId="27" fillId="10" borderId="0" xfId="0" applyNumberFormat="1" applyFont="1" applyFill="1" applyBorder="1" applyAlignment="1">
      <x:alignment vertical="top" wrapText="1"/>
    </x:xf>
  </x:cellXfs>
  <x:cellStyles count="1">
    <x:cellStyle name="Normal" xfId="0"/>
  </x:cellStyles>
  <x:dxfs count="13">
    <x:dxf>
      <x:font>
        <x:b/>
        <x:color rgb="FFB45309"/>
      </x:font>
      <x:fill>
        <x:patternFill>
          <x:bgColor rgb="FFFEF3C7"/>
        </x:patternFill>
      </x:fill>
    </x:dxf>
    <x:dxf>
      <x:font>
        <x:b/>
        <x:color rgb="FFB91C1C"/>
      </x:font>
      <x:fill>
        <x:patternFill>
          <x:bgColor rgb="FFFEE2E2"/>
        </x:patternFill>
      </x:fill>
    </x:dxf>
    <x:dxf>
      <x:font>
        <x:b/>
        <x:color rgb="FF15803D"/>
      </x:font>
      <x:fill>
        <x:patternFill>
          <x:bgColor rgb="FFDCFCE7"/>
        </x:patternFill>
      </x:fill>
    </x:dxf>
    <x:dxf>
      <x:font>
        <x:b/>
        <x:color rgb="FFB91C1C"/>
      </x:font>
      <x:fill>
        <x:patternFill>
          <x:bgColor rgb="FFFEE2E2"/>
        </x:patternFill>
      </x:fill>
    </x:dxf>
    <x:dxf>
      <x:font>
        <x:b/>
        <x:color rgb="FFB91C1C"/>
      </x:font>
      <x:fill>
        <x:patternFill>
          <x:bgColor rgb="FFFEE2E2"/>
        </x:patternFill>
      </x:fill>
    </x:dxf>
    <x:dxf>
      <x:font>
        <x:b/>
        <x:color rgb="FFB91C1C"/>
      </x:font>
      <x:fill>
        <x:patternFill>
          <x:bgColor rgb="FFFEE2E2"/>
        </x:patternFill>
      </x:fill>
    </x:dxf>
    <x:dxf>
      <x:font>
        <x:b/>
        <x:color rgb="FF15803D"/>
      </x:font>
      <x:fill>
        <x:patternFill>
          <x:bgColor rgb="FFDCFCE7"/>
        </x:patternFill>
      </x:fill>
    </x:dxf>
    <x:dxf>
      <x:font>
        <x:b/>
        <x:color rgb="FF15803D"/>
      </x:font>
      <x:fill>
        <x:patternFill>
          <x:bgColor rgb="FFDCFCE7"/>
        </x:patternFill>
      </x:fill>
    </x:dxf>
    <x:dxf>
      <x:font>
        <x:b/>
        <x:color rgb="FFB45309"/>
      </x:font>
      <x:fill>
        <x:patternFill>
          <x:bgColor rgb="FFFEF3C7"/>
        </x:patternFill>
      </x:fill>
    </x:dxf>
    <x:dxf>
      <x:font>
        <x:b/>
        <x:color rgb="FFB91C1C"/>
      </x:font>
      <x:fill>
        <x:patternFill>
          <x:bgColor rgb="FFFEE2E2"/>
        </x:patternFill>
      </x:fill>
    </x:dxf>
    <x:dxf>
      <x:font>
        <x:b/>
        <x:color rgb="FF1D4ED8"/>
      </x:font>
      <x:fill>
        <x:patternFill>
          <x:bgColor rgb="FFDBEAFE"/>
        </x:patternFill>
      </x:fill>
    </x:dxf>
    <x:dxf>
      <x:fill>
        <x:patternFill>
          <x:bgColor rgb="FFDCFCE7"/>
        </x:patternFill>
      </x:fill>
    </x:dxf>
    <x:dxf>
      <x:fill>
        <x:patternFill>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f5d576e967d485d" /><Relationship Type="http://schemas.openxmlformats.org/officeDocument/2006/relationships/theme" Target="/xl/theme/theme1.xml" Id="R5675bb44b9654f61" /><Relationship Type="http://schemas.openxmlformats.org/officeDocument/2006/relationships/sharedStrings" Target="/xl/sharedStrings.xml" Id="R5b6989070b9a4927" /><Relationship Type="http://schemas.openxmlformats.org/officeDocument/2006/relationships/worksheet" Target="/xl/worksheets/sheet1.xml" Id="R2799b19547a24d6b" /><Relationship Type="http://schemas.openxmlformats.org/officeDocument/2006/relationships/worksheet" Target="/xl/worksheets/sheet2.xml" Id="R89b7d28236574868" /><Relationship Type="http://schemas.openxmlformats.org/officeDocument/2006/relationships/worksheet" Target="/xl/worksheets/sheet3.xml" Id="R48c34e53f1a24ac5" /><Relationship Type="http://schemas.openxmlformats.org/officeDocument/2006/relationships/worksheet" Target="/xl/worksheets/sheet4.xml" Id="R7a337da3ce704ea7" /><Relationship Type="http://schemas.openxmlformats.org/officeDocument/2006/relationships/worksheet" Target="/xl/worksheets/sheet5.xml" Id="R6f659b8d8213491e" /><Relationship Type="http://schemas.openxmlformats.org/officeDocument/2006/relationships/worksheet" Target="/xl/worksheets/sheet6.xml" Id="R7bf0d17b55ea4913" /><Relationship Type="http://schemas.openxmlformats.org/officeDocument/2006/relationships/worksheet" Target="/xl/worksheets/sheet7.xml" Id="R42d146e47c254148" /><Relationship Type="http://schemas.openxmlformats.org/officeDocument/2006/relationships/worksheet" Target="/xl/worksheets/sheet8.xml" Id="Rf4c1f1cdd59d43d2" /><Relationship Type="http://schemas.openxmlformats.org/officeDocument/2006/relationships/worksheet" Target="/xl/worksheets/sheet9.xml" Id="Rdd59d81ad8614cd4" /></Relationships>
</file>

<file path=xl/drawings/_rels/drawing1.xml.rels>&#65279;<?xml version="1.0" encoding="utf-8"?><Relationships xmlns="http://schemas.openxmlformats.org/package/2006/relationships"><Relationship Type="http://schemas.openxmlformats.org/officeDocument/2006/relationships/chart" Target="/xl/drawings/charts/chart1.xml" Id="R93ccf2cb16b340d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Selected Week: Planned Hard Sets by Primary Muscle</a:t>
            </a:r>
          </a:p>
        </c:rich>
      </c:tx>
      <c:overlay val="0"/>
    </c:title>
    <c:plotArea>
      <c:barChart>
        <c:barDir val="col"/>
        <c:varyColors val="0"/>
        <c:ser>
          <c:idx val="0"/>
          <c:order val="0"/>
          <c:tx>
            <c:v>Planned hard sets</c:v>
          </c:tx>
          <c:cat>
            <c:strRef>
              <c:f>'Dashboard'!$J$24:$J$33</c:f>
              <c:strCache>
                <c:ptCount val="0"/>
              </c:strCache>
            </c:strRef>
          </c:cat>
          <c:val>
            <c:numRef>
              <c:f>'Dashboard'!$K$24:$K$33</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2</xdr:row>
      <xdr:rowOff>0</xdr:rowOff>
    </xdr:from>
    <xdr:to>
      <xdr:col>17</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3ccf2cb16b340dd"/>
        </a:graphicData>
      </a:graphic>
    </xdr:graphicFrame>
    <xdr:clientData/>
  </xdr:twoCellAnchor>
</xdr:wsDr>
</file>

<file path=xl/tables/table1.xml><?xml version="1.0" encoding="utf-8"?>
<x:table xmlns:x="http://schemas.openxmlformats.org/spreadsheetml/2006/main" id="1" name="StartingLoadsTable" displayName="StartingLoadsTable" ref="A17:F94" headerRowCount="1" totalsRowCount="0" totalsRowShown="0">
  <x:tableColumns count="6">
    <x:tableColumn id="1" name="Exercise"/>
    <x:tableColumn id="2" name="Pattern"/>
    <x:tableColumn id="3" name="Metric"/>
    <x:tableColumn id="4" name="Initial working load"/>
    <x:tableColumn id="5" name="What happens if blank/zero"/>
    <x:tableColumn id="6" name="Notes"/>
  </x:tableColumns>
  <x:tableStyleInfo name="TableStyleMedium2" showFirstColumn="0" showLastColumn="0" showRowStripes="1" showColumnStripes="0"/>
</x:table>
</file>

<file path=xl/tables/table2.xml><?xml version="1.0" encoding="utf-8"?>
<x:table xmlns:x="http://schemas.openxmlformats.org/spreadsheetml/2006/main" id="2" name="ReadinessTable" displayName="ReadinessTable" ref="A6:U78" headerRowCount="1" totalsRowCount="0" totalsRowShown="0">
  <x:tableColumns count="21">
    <x:tableColumn id="1" name="Date"/>
    <x:tableColumn id="2" name="Week"/>
    <x:tableColumn id="3" name="Day"/>
    <x:tableColumn id="4" name="Session"/>
    <x:tableColumn id="5" name="Sleep 1–5"/>
    <x:tableColumn id="6" name="Energy 1–5"/>
    <x:tableColumn id="7" name="Soreness 1–5"/>
    <x:tableColumn id="8" name="Stress 1–5"/>
    <x:tableColumn id="9" name="Motivation 1–5"/>
    <x:tableColumn id="10" name="Pain 0–10"/>
    <x:tableColumn id="11" name="Readiness %"/>
    <x:tableColumn id="12" name="Volume modifier"/>
    <x:tableColumn id="13" name="Today’s action"/>
    <x:tableColumn id="14" name="Session RPE"/>
    <x:tableColumn id="15" name="Minutes"/>
    <x:tableColumn id="16" name="Completed?"/>
    <x:tableColumn id="17" name="Session notes"/>
    <x:tableColumn id="18" name="Check-in logged?"/>
    <x:tableColumn id="19" name="Base score"/>
    <x:tableColumn id="20" name="Raw score"/>
    <x:tableColumn id="21" name="Status code"/>
  </x:tableColumns>
  <x:tableStyleInfo name="TableStyleMedium2" showFirstColumn="0" showLastColumn="0" showRowStripes="1" showColumnStripes="0"/>
</x:table>
</file>

<file path=xl/tables/table3.xml><?xml version="1.0" encoding="utf-8"?>
<x:table xmlns:x="http://schemas.openxmlformats.org/spreadsheetml/2006/main" id="3" name="TrainingLogTable" displayName="TrainingLogTable" ref="A9:AV669" headerRowCount="1" totalsRowCount="0" totalsRowShown="0">
  <x:tableColumns count="48">
    <x:tableColumn id="1" name="Date"/>
    <x:tableColumn id="2" name="Lookup Key"/>
    <x:tableColumn id="3" name="Week"/>
    <x:tableColumn id="4" name="Day"/>
    <x:tableColumn id="5" name="Phase"/>
    <x:tableColumn id="6" name="Session"/>
    <x:tableColumn id="7" name="Focus"/>
    <x:tableColumn id="8" name="Slot"/>
    <x:tableColumn id="9" name="Exercise"/>
    <x:tableColumn id="10" name="Category"/>
    <x:tableColumn id="11" name="Primary Muscle"/>
    <x:tableColumn id="12" name="Method"/>
    <x:tableColumn id="13" name="Pair"/>
    <x:tableColumn id="14" name="Planned Sets"/>
    <x:tableColumn id="15" name="Rep Low"/>
    <x:tableColumn id="16" name="Rep High"/>
    <x:tableColumn id="17" name="Target RIR"/>
    <x:tableColumn id="18" name="Rest sec"/>
    <x:tableColumn id="19" name="Tempo"/>
    <x:tableColumn id="20" name="Load Factor"/>
    <x:tableColumn id="21" name="%1RM"/>
    <x:tableColumn id="22" name="Metric"/>
    <x:tableColumn id="23" name="Readiness %"/>
    <x:tableColumn id="24" name="Volume Mod"/>
    <x:tableColumn id="25" name="Sets Today"/>
    <x:tableColumn id="26" name="Recommended Load"/>
    <x:tableColumn id="27" name="Set 1 Load"/>
    <x:tableColumn id="28" name="Set 1 Reps"/>
    <x:tableColumn id="29" name="Set 2 Load"/>
    <x:tableColumn id="30" name="Set 2 Reps"/>
    <x:tableColumn id="31" name="Set 3 Load"/>
    <x:tableColumn id="32" name="Set 3 Reps"/>
    <x:tableColumn id="33" name="Set 4 Load"/>
    <x:tableColumn id="34" name="Set 4 Reps"/>
    <x:tableColumn id="35" name="Set 5 Load"/>
    <x:tableColumn id="36" name="Set 5 Reps"/>
    <x:tableColumn id="37" name="Final RIR"/>
    <x:tableColumn id="38" name="Pain"/>
    <x:tableColumn id="39" name="Metric Result"/>
    <x:tableColumn id="40" name="Completed?"/>
    <x:tableColumn id="41" name="Performed Sets"/>
    <x:tableColumn id="42" name="Total Reps"/>
    <x:tableColumn id="43" name="Tonnage"/>
    <x:tableColumn id="44" name="Best e1RM"/>
    <x:tableColumn id="45" name="Performance Flag"/>
    <x:tableColumn id="46" name="Adjustment %"/>
    <x:tableColumn id="47" name="Next Load"/>
    <x:tableColumn id="48" name="Notes"/>
  </x:tableColumns>
  <x:tableStyleInfo name="TableStyleMedium2" showFirstColumn="0" showLastColumn="0" showRowStripes="1" showColumnStripes="0"/>
</x:table>
</file>

<file path=xl/tables/table4.xml><?xml version="1.0" encoding="utf-8"?>
<x:table xmlns:x="http://schemas.openxmlformats.org/spreadsheetml/2006/main" id="4" name="WeeklyReviewTable" displayName="WeeklyReviewTable" ref="A5:R17" headerRowCount="1" totalsRowCount="0" totalsRowShown="0">
  <x:tableColumns count="18">
    <x:tableColumn id="1" name="Week"/>
    <x:tableColumn id="2" name="Phase"/>
    <x:tableColumn id="3" name="Planned Sessions"/>
    <x:tableColumn id="4" name="Completed Sessions"/>
    <x:tableColumn id="5" name="Adherence"/>
    <x:tableColumn id="6" name="Readiness Check-ins"/>
    <x:tableColumn id="7" name="Avg Readiness"/>
    <x:tableColumn id="8" name="Avg Session RPE"/>
    <x:tableColumn id="9" name="Planned Sets"/>
    <x:tableColumn id="10" name="Adjusted Sets"/>
    <x:tableColumn id="11" name="Performed Sets"/>
    <x:tableColumn id="12" name="Tonnage"/>
    <x:tableColumn id="13" name="Max Pain"/>
    <x:tableColumn id="14" name="Strength Index"/>
    <x:tableColumn id="15" name="Recovery Flag"/>
    <x:tableColumn id="16" name="Bodyweight"/>
    <x:tableColumn id="17" name="Waist"/>
    <x:tableColumn id="18" name="Notes"/>
  </x:tableColumns>
  <x:tableStyleInfo name="TableStyleMedium2" showFirstColumn="0" showLastColumn="0" showRowStripes="1" showColumnStripes="0"/>
</x:table>
</file>

<file path=xl/tables/table5.xml><?xml version="1.0" encoding="utf-8"?>
<x:table xmlns:x="http://schemas.openxmlformats.org/spreadsheetml/2006/main" id="5" name="ExerciseLibraryTable" displayName="ExerciseLibraryTable" ref="A5:H82" headerRowCount="1" totalsRowCount="0" totalsRowShown="0">
  <x:tableColumns count="8">
    <x:tableColumn id="1" name="Exercise"/>
    <x:tableColumn id="2" name="Category"/>
    <x:tableColumn id="3" name="Primary Muscle"/>
    <x:tableColumn id="4" name="Pattern"/>
    <x:tableColumn id="5" name="Metric"/>
    <x:tableColumn id="6" name="Substitute 1"/>
    <x:tableColumn id="7" name="Substitute 2"/>
    <x:tableColumn id="8" name="Key execution cu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52a6ad96cb84f69" /></Relationships>
</file>

<file path=xl/worksheets/_rels/sheet4.xml.rels>&#65279;<?xml version="1.0" encoding="utf-8"?><Relationships xmlns="http://schemas.openxmlformats.org/package/2006/relationships"><Relationship Type="http://schemas.openxmlformats.org/officeDocument/2006/relationships/drawing" Target="/xl/drawings/drawing1.xml" Id="R0cbe350ac0f046da" /></Relationships>
</file>

<file path=xl/worksheets/_rels/sheet5.xml.rels>&#65279;<?xml version="1.0" encoding="utf-8"?><Relationships xmlns="http://schemas.openxmlformats.org/package/2006/relationships"><Relationship Type="http://schemas.openxmlformats.org/officeDocument/2006/relationships/table" Target="/xl/tables/table2.xml" Id="Rc5d5512535ca45c2" /></Relationships>
</file>

<file path=xl/worksheets/_rels/sheet6.xml.rels>&#65279;<?xml version="1.0" encoding="utf-8"?><Relationships xmlns="http://schemas.openxmlformats.org/package/2006/relationships"><Relationship Type="http://schemas.openxmlformats.org/officeDocument/2006/relationships/table" Target="/xl/tables/table3.xml" Id="R15e63ef218144662" /></Relationships>
</file>

<file path=xl/worksheets/_rels/sheet7.xml.rels>&#65279;<?xml version="1.0" encoding="utf-8"?><Relationships xmlns="http://schemas.openxmlformats.org/package/2006/relationships"><Relationship Type="http://schemas.openxmlformats.org/officeDocument/2006/relationships/table" Target="/xl/tables/table4.xml" Id="R9462e4f6afdc4183" /></Relationships>
</file>

<file path=xl/worksheets/_rels/sheet8.xml.rels>&#65279;<?xml version="1.0" encoding="utf-8"?><Relationships xmlns="http://schemas.openxmlformats.org/package/2006/relationships"><Relationship Type="http://schemas.openxmlformats.org/officeDocument/2006/relationships/table" Target="/xl/tables/table5.xml" Id="Rd954420238d946ee" /></Relationships>
</file>

<file path=xl/worksheets/sheet1.xml><?xml version="1.0" encoding="utf-8"?>
<x:worksheet xmlns:x="http://schemas.openxmlformats.org/spreadsheetml/2006/main">
  <x:sheetViews>
    <x:sheetView showGridLines="0" workbookViewId="0"/>
  </x:sheetViews>
  <x:sheetFormatPr defaultRowHeight="15"/>
  <x:cols>
    <x:col min="1" max="1" width="5" hidden="0" customWidth="1"/>
    <x:col min="2" max="2" width="22"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34" customHeight="1">
      <x:c r="A1" s="78" t="str">
        <x:v>12-Week Autoregulated Hypertrophy System</x:v>
      </x:c>
      <x:c r="B1" s="78" t="str">
        <x:v>12-Week Autoregulated Hypertrophy System</x:v>
      </x:c>
      <x:c r="C1" s="78" t="str">
        <x:v>12-Week Autoregulated Hypertrophy System</x:v>
      </x:c>
      <x:c r="D1" s="78" t="str">
        <x:v>12-Week Autoregulated Hypertrophy System</x:v>
      </x:c>
      <x:c r="E1" s="78" t="str">
        <x:v>12-Week Autoregulated Hypertrophy System</x:v>
      </x:c>
      <x:c r="F1" s="78" t="str">
        <x:v>12-Week Autoregulated Hypertrophy System</x:v>
      </x:c>
      <x:c r="G1" s="78" t="str">
        <x:v>12-Week Autoregulated Hypertrophy System</x:v>
      </x:c>
      <x:c r="H1" s="78" t="str">
        <x:v>12-Week Autoregulated Hypertrophy System</x:v>
      </x:c>
    </x:row>
    <x:row r="2" ht="28" customHeight="1">
      <x:c r="A2" s="79" t="str">
        <x:v>Six training days per week, with strength, power, athleticism, mobility, flexibility, and fatigue management built in.</x:v>
      </x:c>
      <x:c r="B2" s="79" t="str">
        <x:v>Six training days per week, with strength, power, athleticism, mobility, flexibility, and fatigue management built in.</x:v>
      </x:c>
      <x:c r="C2" s="79" t="str">
        <x:v>Six training days per week, with strength, power, athleticism, mobility, flexibility, and fatigue management built in.</x:v>
      </x:c>
      <x:c r="D2" s="79" t="str">
        <x:v>Six training days per week, with strength, power, athleticism, mobility, flexibility, and fatigue management built in.</x:v>
      </x:c>
      <x:c r="E2" s="79" t="str">
        <x:v>Six training days per week, with strength, power, athleticism, mobility, flexibility, and fatigue management built in.</x:v>
      </x:c>
      <x:c r="F2" s="79" t="str">
        <x:v>Six training days per week, with strength, power, athleticism, mobility, flexibility, and fatigue management built in.</x:v>
      </x:c>
      <x:c r="G2" s="79" t="str">
        <x:v>Six training days per week, with strength, power, athleticism, mobility, flexibility, and fatigue management built in.</x:v>
      </x:c>
      <x:c r="H2" s="79" t="str">
        <x:v>Six training days per week, with strength, power, athleticism, mobility, flexibility, and fatigue management built in.</x:v>
      </x:c>
    </x:row>
    <x:row r="3">
      <x:c r="A3" s="80"/>
      <x:c r="B3" s="80"/>
      <x:c r="C3" s="80"/>
      <x:c r="D3" s="80"/>
      <x:c r="E3" s="80"/>
      <x:c r="F3" s="80"/>
      <x:c r="G3" s="80"/>
      <x:c r="H3" s="80"/>
    </x:row>
    <x:row r="4" ht="24" customHeight="1">
      <x:c r="A4" s="81" t="str">
        <x:v>How to use the workbook</x:v>
      </x:c>
      <x:c r="B4" s="81" t="str">
        <x:v>How to use the workbook</x:v>
      </x:c>
      <x:c r="C4" s="81" t="str">
        <x:v>How to use the workbook</x:v>
      </x:c>
      <x:c r="D4" s="81" t="str">
        <x:v>How to use the workbook</x:v>
      </x:c>
      <x:c r="E4" s="81" t="str">
        <x:v>How to use the workbook</x:v>
      </x:c>
      <x:c r="F4" s="81" t="str">
        <x:v>How to use the workbook</x:v>
      </x:c>
      <x:c r="G4" s="81" t="str">
        <x:v>How to use the workbook</x:v>
      </x:c>
      <x:c r="H4" s="81" t="str">
        <x:v>How to use the workbook</x:v>
      </x:c>
    </x:row>
    <x:row r="5" ht="38" customHeight="1">
      <x:c r="A5" s="82" t="str">
        <x:v>1</x:v>
      </x:c>
      <x:c r="B5" s="83" t="str">
        <x:v>Setup</x:v>
      </x:c>
      <x:c r="C5" s="84" t="str">
        <x:v>Enter your start date, units, estimated 1RMs, load increment, and starting loads for exercises you know.</x:v>
      </x:c>
      <x:c r="D5" s="84" t="str"/>
      <x:c r="E5" s="84" t="str"/>
      <x:c r="F5" s="84" t="str"/>
      <x:c r="G5" s="84" t="str"/>
      <x:c r="H5" s="85" t="str"/>
    </x:row>
    <x:row r="6" ht="38" customHeight="1">
      <x:c r="A6" s="86" t="str">
        <x:v>2</x:v>
      </x:c>
      <x:c r="B6" s="87" t="str">
        <x:v>Readiness</x:v>
      </x:c>
      <x:c r="C6" s="88" t="str">
        <x:v>Before training, score sleep, energy, soreness, stress, motivation, and pain. The day’s set count updates automatically.</x:v>
      </x:c>
      <x:c r="D6" s="88" t="str"/>
      <x:c r="E6" s="88" t="str"/>
      <x:c r="F6" s="88" t="str"/>
      <x:c r="G6" s="88" t="str"/>
      <x:c r="H6" s="89" t="str"/>
    </x:row>
    <x:row r="7" ht="38" customHeight="1">
      <x:c r="A7" s="86" t="str">
        <x:v>3</x:v>
      </x:c>
      <x:c r="B7" s="87" t="str">
        <x:v>Training Log</x:v>
      </x:c>
      <x:c r="C7" s="88" t="str">
        <x:v>Filter to the current week and day. Enter each set’s load and reps, final RIR, pain, metric result, and Completed = Yes.</x:v>
      </x:c>
      <x:c r="D7" s="88" t="str"/>
      <x:c r="E7" s="88" t="str"/>
      <x:c r="F7" s="88" t="str"/>
      <x:c r="G7" s="88" t="str"/>
      <x:c r="H7" s="89" t="str"/>
    </x:row>
    <x:row r="8" ht="38" customHeight="1">
      <x:c r="A8" s="86" t="str">
        <x:v>4</x:v>
      </x:c>
      <x:c r="B8" s="87" t="str">
        <x:v>Next load</x:v>
      </x:c>
      <x:c r="C8" s="88" t="str">
        <x:v>The program progresses, holds, or reduces the next occurrence of that exercise based on reps, RIR, pain, and your rounding increment.</x:v>
      </x:c>
      <x:c r="D8" s="88" t="str"/>
      <x:c r="E8" s="88" t="str"/>
      <x:c r="F8" s="88" t="str"/>
      <x:c r="G8" s="88" t="str"/>
      <x:c r="H8" s="89" t="str"/>
    </x:row>
    <x:row r="9" ht="38" customHeight="1">
      <x:c r="A9" s="86" t="str">
        <x:v>5</x:v>
      </x:c>
      <x:c r="B9" s="87" t="str">
        <x:v>Weekly Review</x:v>
      </x:c>
      <x:c r="C9" s="88" t="str">
        <x:v>Track adherence, readiness, performed sets, tonnage, pain, strength index, bodyweight, waist, and recovery flags.</x:v>
      </x:c>
      <x:c r="D9" s="88" t="str"/>
      <x:c r="E9" s="88" t="str"/>
      <x:c r="F9" s="88" t="str"/>
      <x:c r="G9" s="88" t="str"/>
      <x:c r="H9" s="89" t="str"/>
    </x:row>
    <x:row r="10" ht="38" customHeight="1">
      <x:c r="A10" s="90" t="str">
        <x:v>6</x:v>
      </x:c>
      <x:c r="B10" s="91" t="str">
        <x:v>Dashboard</x:v>
      </x:c>
      <x:c r="C10" s="92" t="str">
        <x:v>Choose a week and day for a compact workout view and a muscle-volume chart.</x:v>
      </x:c>
      <x:c r="D10" s="92" t="str"/>
      <x:c r="E10" s="92" t="str"/>
      <x:c r="F10" s="92" t="str"/>
      <x:c r="G10" s="92" t="str"/>
      <x:c r="H10" s="93" t="str"/>
    </x:row>
    <x:row r="11">
      <x:c r="A11" s="80"/>
      <x:c r="B11" s="80"/>
      <x:c r="C11" s="80"/>
      <x:c r="D11" s="80"/>
      <x:c r="E11" s="80"/>
      <x:c r="F11" s="80"/>
      <x:c r="G11" s="80"/>
      <x:c r="H11" s="80"/>
    </x:row>
    <x:row r="12" ht="24" customHeight="1">
      <x:c r="A12" s="94" t="str">
        <x:v>Periodization map</x:v>
      </x:c>
      <x:c r="B12" s="94" t="str">
        <x:v>Periodization map</x:v>
      </x:c>
      <x:c r="C12" s="94" t="str">
        <x:v>Periodization map</x:v>
      </x:c>
      <x:c r="D12" s="94" t="str">
        <x:v>Periodization map</x:v>
      </x:c>
      <x:c r="E12" s="94" t="str">
        <x:v>Periodization map</x:v>
      </x:c>
      <x:c r="F12" s="94" t="str">
        <x:v>Periodization map</x:v>
      </x:c>
      <x:c r="G12" s="94" t="str">
        <x:v>Periodization map</x:v>
      </x:c>
      <x:c r="H12" s="94" t="str">
        <x:v>Periodization map</x:v>
      </x:c>
    </x:row>
    <x:row r="13" ht="30" customHeight="1">
      <x:c r="A13" s="95" t="str">
        <x:v>Weeks</x:v>
      </x:c>
      <x:c r="B13" s="96" t="str">
        <x:v>Block</x:v>
      </x:c>
      <x:c r="C13" s="96" t="str">
        <x:v>Split</x:v>
      </x:c>
      <x:c r="D13" s="96" t="str">
        <x:v>Primary objective</x:v>
      </x:c>
      <x:c r="E13" s="96" t="str">
        <x:v>RIR trend</x:v>
      </x:c>
      <x:c r="F13" s="96" t="str">
        <x:v>Volume</x:v>
      </x:c>
      <x:c r="G13" s="96" t="str">
        <x:v>Advanced methods</x:v>
      </x:c>
      <x:c r="H13" s="97" t="str">
        <x:v>Recovery</x:v>
      </x:c>
    </x:row>
    <x:row r="14">
      <x:c r="A14" s="98" t="str">
        <x:v>1–3</x:v>
      </x:c>
      <x:c r="B14" s="84" t="str">
        <x:v>Accumulation</x:v>
      </x:c>
      <x:c r="C14" s="84" t="str">
        <x:v>Pull / Legs / Push × 2</x:v>
      </x:c>
      <x:c r="D14" s="84" t="str">
        <x:v>Hypertrophy base + technical strength</x:v>
      </x:c>
      <x:c r="E14" s="84" t="str">
        <x:v>3 → 1</x:v>
      </x:c>
      <x:c r="F14" s="84" t="str">
        <x:v>Moderate → high</x:v>
      </x:c>
      <x:c r="G14" s="84" t="str">
        <x:v>Supersets, final-set methods</x:v>
      </x:c>
      <x:c r="H14" s="85" t="str">
        <x:v>Readiness-adjusted</x:v>
      </x:c>
    </x:row>
    <x:row r="15">
      <x:c r="A15" s="99" t="str">
        <x:v>4</x:v>
      </x:c>
      <x:c r="B15" s="88" t="str">
        <x:v>Deload 1</x:v>
      </x:c>
      <x:c r="C15" s="88" t="str">
        <x:v>Pull-first PPL</x:v>
      </x:c>
      <x:c r="D15" s="88" t="str">
        <x:v>Reduce fatigue, preserve skill</x:v>
      </x:c>
      <x:c r="E15" s="88" t="str">
        <x:v>4</x:v>
      </x:c>
      <x:c r="F15" s="88" t="str">
        <x:v>~50–60%</x:v>
      </x:c>
      <x:c r="G15" s="88" t="str">
        <x:v>None</x:v>
      </x:c>
      <x:c r="H15" s="89" t="str">
        <x:v>Planned</x:v>
      </x:c>
    </x:row>
    <x:row r="16">
      <x:c r="A16" s="99" t="str">
        <x:v>5–7</x:v>
      </x:c>
      <x:c r="B16" s="88" t="str">
        <x:v>Intensification</x:v>
      </x:c>
      <x:c r="C16" s="88" t="str">
        <x:v>Lower / Upper / L / P / P / Athletic</x:v>
      </x:c>
      <x:c r="D16" s="88" t="str">
        <x:v>Strength emphasis + hypertrophy</x:v>
      </x:c>
      <x:c r="E16" s="88" t="str">
        <x:v>3 → 1</x:v>
      </x:c>
      <x:c r="F16" s="88" t="str">
        <x:v>Moderate → high</x:v>
      </x:c>
      <x:c r="G16" s="88" t="str">
        <x:v>Top sets, clusters, final-set methods</x:v>
      </x:c>
      <x:c r="H16" s="89" t="str">
        <x:v>Readiness-adjusted</x:v>
      </x:c>
    </x:row>
    <x:row r="17">
      <x:c r="A17" s="100" t="str">
        <x:v>8</x:v>
      </x:c>
      <x:c r="B17" s="92" t="str">
        <x:v>Deload 2</x:v>
      </x:c>
      <x:c r="C17" s="92" t="str">
        <x:v>Lower-first technique</x:v>
      </x:c>
      <x:c r="D17" s="92" t="str">
        <x:v>Reduce fatigue, prepare to realize</x:v>
      </x:c>
      <x:c r="E17" s="92" t="str">
        <x:v>4</x:v>
      </x:c>
      <x:c r="F17" s="92" t="str">
        <x:v>~50–60%</x:v>
      </x:c>
      <x:c r="G17" s="92" t="str">
        <x:v>None</x:v>
      </x:c>
      <x:c r="H17" s="93" t="str">
        <x:v>Planned</x:v>
      </x:c>
    </x:row>
    <x:row r="18">
      <x:c r="A18" s="98" t="str">
        <x:v>9–11</x:v>
      </x:c>
      <x:c r="B18" s="84" t="str">
        <x:v>Realization</x:v>
      </x:c>
      <x:c r="C18" s="84" t="str">
        <x:v>Lower-first powerbuilding</x:v>
      </x:c>
      <x:c r="D18" s="84" t="str">
        <x:v>Strength/power expression + hypertrophy specialization</x:v>
      </x:c>
      <x:c r="E18" s="84" t="str">
        <x:v>3 → 1</x:v>
      </x:c>
      <x:c r="F18" s="84" t="str">
        <x:v>Moderate → high</x:v>
      </x:c>
      <x:c r="G18" s="84" t="str">
        <x:v>Clusters, myo-reps, drop sets</x:v>
      </x:c>
      <x:c r="H18" s="85" t="str">
        <x:v>Readiness-adjusted</x:v>
      </x:c>
    </x:row>
    <x:row r="19">
      <x:c r="A19" s="100" t="str">
        <x:v>12</x:v>
      </x:c>
      <x:c r="B19" s="92" t="str">
        <x:v>Taper + performance</x:v>
      </x:c>
      <x:c r="C19" s="92" t="str">
        <x:v>Low-fatigue performance</x:v>
      </x:c>
      <x:c r="D19" s="92" t="str">
        <x:v>3–5RM checks, no grinders, athletic retests</x:v>
      </x:c>
      <x:c r="E19" s="92" t="str">
        <x:v>4, main lifts 2</x:v>
      </x:c>
      <x:c r="F19" s="92" t="str">
        <x:v>Low</x:v>
      </x:c>
      <x:c r="G19" s="92" t="str">
        <x:v>None</x:v>
      </x:c>
      <x:c r="H19" s="93" t="str">
        <x:v>Planned taper</x:v>
      </x:c>
    </x:row>
    <x:row r="20">
      <x:c r="A20" s="80"/>
      <x:c r="B20" s="80"/>
      <x:c r="C20" s="80"/>
      <x:c r="D20" s="80"/>
      <x:c r="E20" s="80"/>
      <x:c r="F20" s="80"/>
      <x:c r="G20" s="80"/>
      <x:c r="H20" s="80"/>
    </x:row>
    <x:row r="21" ht="24" customHeight="1">
      <x:c r="A21" s="101" t="str">
        <x:v>Important guardrails</x:v>
      </x:c>
      <x:c r="B21" s="101" t="str">
        <x:v>Important guardrails</x:v>
      </x:c>
      <x:c r="C21" s="101" t="str">
        <x:v>Important guardrails</x:v>
      </x:c>
      <x:c r="D21" s="101" t="str">
        <x:v>Important guardrails</x:v>
      </x:c>
      <x:c r="E21" s="101" t="str">
        <x:v>Important guardrails</x:v>
      </x:c>
      <x:c r="F21" s="101" t="str">
        <x:v>Important guardrails</x:v>
      </x:c>
      <x:c r="G21" s="101" t="str">
        <x:v>Important guardrails</x:v>
      </x:c>
      <x:c r="H21" s="101" t="str">
        <x:v>Important guardrails</x:v>
      </x:c>
    </x:row>
    <x:row r="22" ht="34" customHeight="1">
      <x:c r="A22" s="102" t="str">
        <x:v>•</x:v>
      </x:c>
      <x:c r="B22" s="103" t="str">
        <x:v>This template assumes an experienced, healthy adult with sound exercise technique. It is not injury rehabilitation or medical care.</x:v>
      </x:c>
      <x:c r="C22" s="103" t="str"/>
      <x:c r="D22" s="103" t="str"/>
      <x:c r="E22" s="103" t="str"/>
      <x:c r="F22" s="103" t="str"/>
      <x:c r="G22" s="103" t="str"/>
      <x:c r="H22" s="103" t="str"/>
    </x:row>
    <x:row r="23" ht="34" customHeight="1">
      <x:c r="A23" s="102" t="str">
        <x:v>•</x:v>
      </x:c>
      <x:c r="B23" s="103" t="str">
        <x:v>Stop a set for sharp, radiating, or escalating pain. A pain entry at or above the Setup threshold triggers a modification flag and a load reduction.</x:v>
      </x:c>
      <x:c r="C23" s="103" t="str"/>
      <x:c r="D23" s="103" t="str"/>
      <x:c r="E23" s="103" t="str"/>
      <x:c r="F23" s="103" t="str"/>
      <x:c r="G23" s="103" t="str"/>
      <x:c r="H23" s="103" t="str"/>
    </x:row>
    <x:row r="24" ht="34" customHeight="1">
      <x:c r="A24" s="102" t="str">
        <x:v>•</x:v>
      </x:c>
      <x:c r="B24" s="103" t="str">
        <x:v>Use drop sets, rest-pause, and myo-reps only where programmed, primarily on stable isolation work. Never add them to heavy compound lifts.</x:v>
      </x:c>
      <x:c r="C24" s="103" t="str"/>
      <x:c r="D24" s="103" t="str"/>
      <x:c r="E24" s="103" t="str"/>
      <x:c r="F24" s="103" t="str"/>
      <x:c r="G24" s="103" t="str"/>
      <x:c r="H24" s="103" t="str"/>
    </x:row>
    <x:row r="25" ht="34" customHeight="1">
      <x:c r="A25" s="102" t="str">
        <x:v>•</x:v>
      </x:c>
      <x:c r="B25" s="103" t="str">
        <x:v>Power and sprint work ends when speed, jump height, landing control, or mechanics clearly deteriorate. Quality is the goal.</x:v>
      </x:c>
      <x:c r="C25" s="103" t="str"/>
      <x:c r="D25" s="103" t="str"/>
      <x:c r="E25" s="103" t="str"/>
      <x:c r="F25" s="103" t="str"/>
      <x:c r="G25" s="103" t="str"/>
      <x:c r="H25" s="103" t="str"/>
    </x:row>
    <x:row r="26" ht="34" customHeight="1">
      <x:c r="A26" s="102" t="str">
        <x:v>•</x:v>
      </x:c>
      <x:c r="B26" s="103" t="str">
        <x:v>Week 12 uses 3–5RM checks at about RPE 8, not true one-repetition maximum attempts and not grinders.</x:v>
      </x:c>
      <x:c r="C26" s="103" t="str"/>
      <x:c r="D26" s="103" t="str"/>
      <x:c r="E26" s="103" t="str"/>
      <x:c r="F26" s="103" t="str"/>
      <x:c r="G26" s="103" t="str"/>
      <x:c r="H26" s="103" t="str"/>
    </x:row>
    <x:row r="27" ht="34" customHeight="1">
      <x:c r="A27" s="102" t="str">
        <x:v>•</x:v>
      </x:c>
      <x:c r="B27" s="103" t="str">
        <x:v>If you have a condition, recent injury, surgery, unexplained symptoms, or are returning after a long layoff, get individualized clearance and coaching.</x:v>
      </x:c>
      <x:c r="C27" s="103" t="str"/>
      <x:c r="D27" s="103" t="str"/>
      <x:c r="E27" s="103" t="str"/>
      <x:c r="F27" s="103" t="str"/>
      <x:c r="G27" s="103" t="str"/>
      <x:c r="H27" s="103" t="str"/>
    </x:row>
  </x:sheetData>
  <x:mergeCells>
    <x:mergeCell ref="A1:H1"/>
    <x:mergeCell ref="A2:H2"/>
    <x:mergeCell ref="A4:H4"/>
    <x:mergeCell ref="C5:H5"/>
    <x:mergeCell ref="C6:H6"/>
    <x:mergeCell ref="C7:H7"/>
    <x:mergeCell ref="C8:H8"/>
    <x:mergeCell ref="C9:H9"/>
    <x:mergeCell ref="C10:H10"/>
    <x:mergeCell ref="A12:H12"/>
    <x:mergeCell ref="A21:H21"/>
    <x:mergeCell ref="B22:H22"/>
    <x:mergeCell ref="B23:H23"/>
    <x:mergeCell ref="B24:H24"/>
    <x:mergeCell ref="B25:H25"/>
    <x:mergeCell ref="B26:H26"/>
    <x:mergeCell ref="B27:H2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2" hidden="0" customWidth="1"/>
    <x:col min="2" max="2" width="20" hidden="0" customWidth="1"/>
    <x:col min="3" max="3" width="18" hidden="0" customWidth="1"/>
    <x:col min="4" max="4" width="18" hidden="0" customWidth="1"/>
    <x:col min="5" max="5" width="30" hidden="0" customWidth="1"/>
    <x:col min="6" max="6" width="34" hidden="0" customWidth="1"/>
    <x:col min="8" max="8" width="12" hidden="0" customWidth="1"/>
    <x:col min="9" max="9" width="15" hidden="0" customWidth="1"/>
    <x:col min="10" max="10" width="46" hidden="0" customWidth="1"/>
  </x:cols>
  <x:sheetData>
    <x:row r="1" ht="34" customHeight="1">
      <x:c r="A1" s="78" t="str">
        <x:v>Setup &amp; Progression Inputs</x:v>
      </x:c>
      <x:c r="B1" s="78" t="str">
        <x:v>Setup &amp; Progression Inputs</x:v>
      </x:c>
      <x:c r="C1" s="78" t="str">
        <x:v>Setup &amp; Progression Inputs</x:v>
      </x:c>
      <x:c r="D1" s="78" t="str">
        <x:v>Setup &amp; Progression Inputs</x:v>
      </x:c>
      <x:c r="E1" s="78" t="str">
        <x:v>Setup &amp; Progression Inputs</x:v>
      </x:c>
      <x:c r="F1" s="78" t="str">
        <x:v>Setup &amp; Progression Inputs</x:v>
      </x:c>
      <x:c r="G1" s="80"/>
      <x:c r="H1" s="80"/>
      <x:c r="I1" s="80"/>
      <x:c r="J1" s="80"/>
    </x:row>
    <x:row r="2" ht="28" customHeight="1">
      <x:c r="A2" s="79" t="str">
        <x:v>Blue cells are user inputs. Set estimated 1RMs to zero if unknown, then enter starting working loads below.</x:v>
      </x:c>
      <x:c r="B2" s="79" t="str">
        <x:v>Blue cells are user inputs. Set estimated 1RMs to zero if unknown, then enter starting working loads below.</x:v>
      </x:c>
      <x:c r="C2" s="79" t="str">
        <x:v>Blue cells are user inputs. Set estimated 1RMs to zero if unknown, then enter starting working loads below.</x:v>
      </x:c>
      <x:c r="D2" s="79" t="str">
        <x:v>Blue cells are user inputs. Set estimated 1RMs to zero if unknown, then enter starting working loads below.</x:v>
      </x:c>
      <x:c r="E2" s="79" t="str">
        <x:v>Blue cells are user inputs. Set estimated 1RMs to zero if unknown, then enter starting working loads below.</x:v>
      </x:c>
      <x:c r="F2" s="79" t="str">
        <x:v>Blue cells are user inputs. Set estimated 1RMs to zero if unknown, then enter starting working loads below.</x:v>
      </x:c>
      <x:c r="G2" s="80"/>
      <x:c r="H2" s="80"/>
      <x:c r="I2" s="80"/>
      <x:c r="J2" s="80"/>
    </x:row>
    <x:row r="3" ht="30" customHeight="1">
      <x:c r="A3" s="240" t="str">
        <x:v>Program start date</x:v>
      </x:c>
      <x:c r="B3" s="241" t="n">
        <x:v>46244</x:v>
      </x:c>
      <x:c r="C3" s="80"/>
      <x:c r="D3" s="80"/>
      <x:c r="E3" s="80"/>
      <x:c r="F3" s="80"/>
      <x:c r="G3" s="80"/>
      <x:c r="H3" s="95" t="str">
        <x:v>Status code</x:v>
      </x:c>
      <x:c r="I3" s="96" t="str">
        <x:v>Volume modifier</x:v>
      </x:c>
      <x:c r="J3" s="97" t="str">
        <x:v>Readiness action</x:v>
      </x:c>
    </x:row>
    <x:row r="4">
      <x:c r="A4" s="240" t="str">
        <x:v>Units</x:v>
      </x:c>
      <x:c r="B4" s="242" t="str">
        <x:v>lb</x:v>
      </x:c>
      <x:c r="C4" s="80"/>
      <x:c r="D4" s="80"/>
      <x:c r="E4" s="80"/>
      <x:c r="F4" s="80"/>
      <x:c r="G4" s="80"/>
      <x:c r="H4" s="243" t="n">
        <x:v>0</x:v>
      </x:c>
      <x:c r="I4" s="244" t="n">
        <x:v>1</x:v>
      </x:c>
      <x:c r="J4" s="245" t="str">
        <x:v>Enter readiness</x:v>
      </x:c>
    </x:row>
    <x:row r="5">
      <x:c r="A5" s="240" t="str">
        <x:v>Bench Press estimated 1RM</x:v>
      </x:c>
      <x:c r="B5" s="246" t="n">
        <x:v>0</x:v>
      </x:c>
      <x:c r="C5" s="80"/>
      <x:c r="D5" s="80"/>
      <x:c r="E5" s="80"/>
      <x:c r="F5" s="80"/>
      <x:c r="G5" s="80"/>
      <x:c r="H5" s="247" t="n">
        <x:v>1</x:v>
      </x:c>
      <x:c r="I5" s="248" t="n">
        <x:v>1</x:v>
      </x:c>
      <x:c r="J5" s="249" t="str">
        <x:v>Run session as written</x:v>
      </x:c>
    </x:row>
    <x:row r="6">
      <x:c r="A6" s="240" t="str">
        <x:v>Back Squat estimated 1RM</x:v>
      </x:c>
      <x:c r="B6" s="246" t="n">
        <x:v>0</x:v>
      </x:c>
      <x:c r="C6" s="80"/>
      <x:c r="D6" s="80"/>
      <x:c r="E6" s="80"/>
      <x:c r="F6" s="80"/>
      <x:c r="G6" s="80"/>
      <x:c r="H6" s="247" t="n">
        <x:v>2</x:v>
      </x:c>
      <x:c r="I6" s="248" t="n">
        <x:v>0.85</x:v>
      </x:c>
      <x:c r="J6" s="249" t="str">
        <x:v>Moderate reduction: leave 3+ RIR</x:v>
      </x:c>
    </x:row>
    <x:row r="7">
      <x:c r="A7" s="240" t="str">
        <x:v>Conventional Deadlift estimated 1RM</x:v>
      </x:c>
      <x:c r="B7" s="246" t="n">
        <x:v>0</x:v>
      </x:c>
      <x:c r="C7" s="80"/>
      <x:c r="D7" s="80"/>
      <x:c r="E7" s="80"/>
      <x:c r="F7" s="80"/>
      <x:c r="G7" s="80"/>
      <x:c r="H7" s="247" t="n">
        <x:v>3</x:v>
      </x:c>
      <x:c r="I7" s="248" t="n">
        <x:v>0.7</x:v>
      </x:c>
      <x:c r="J7" s="249" t="str">
        <x:v>Recovery mode: reduce sets and skip intensity techniques</x:v>
      </x:c>
    </x:row>
    <x:row r="8">
      <x:c r="A8" s="240" t="str">
        <x:v>Overhead Press estimated 1RM</x:v>
      </x:c>
      <x:c r="B8" s="246" t="n">
        <x:v>0</x:v>
      </x:c>
      <x:c r="C8" s="80"/>
      <x:c r="D8" s="80"/>
      <x:c r="E8" s="80"/>
      <x:c r="F8" s="80"/>
      <x:c r="G8" s="80"/>
      <x:c r="H8" s="250" t="n">
        <x:v>4</x:v>
      </x:c>
      <x:c r="I8" s="251" t="n">
        <x:v>0.6</x:v>
      </x:c>
      <x:c r="J8" s="252" t="str">
        <x:v>Stop or substitute painful work</x:v>
      </x:c>
    </x:row>
    <x:row r="9">
      <x:c r="A9" s="240" t="str">
        <x:v>Load rounding increment</x:v>
      </x:c>
      <x:c r="B9" s="246" t="n">
        <x:v>5</x:v>
      </x:c>
      <x:c r="C9" s="80"/>
      <x:c r="D9" s="80"/>
      <x:c r="E9" s="80"/>
      <x:c r="F9" s="80"/>
      <x:c r="G9" s="80"/>
      <x:c r="H9" s="80"/>
      <x:c r="I9" s="80"/>
      <x:c r="J9" s="80"/>
    </x:row>
    <x:row r="10">
      <x:c r="A10" s="240" t="str">
        <x:v>Progression step</x:v>
      </x:c>
      <x:c r="B10" s="253" t="n">
        <x:v>0.025</x:v>
      </x:c>
      <x:c r="C10" s="80"/>
      <x:c r="D10" s="80"/>
      <x:c r="E10" s="80"/>
      <x:c r="F10" s="80"/>
      <x:c r="G10" s="80"/>
      <x:c r="H10" s="80"/>
      <x:c r="I10" s="80"/>
      <x:c r="J10" s="80"/>
    </x:row>
    <x:row r="11">
      <x:c r="A11" s="240" t="str">
        <x:v>Regression step</x:v>
      </x:c>
      <x:c r="B11" s="253" t="n">
        <x:v>0.05</x:v>
      </x:c>
      <x:c r="C11" s="80"/>
      <x:c r="D11" s="80"/>
      <x:c r="E11" s="80"/>
      <x:c r="F11" s="80"/>
      <x:c r="G11" s="80"/>
      <x:c r="H11" s="80"/>
      <x:c r="I11" s="80"/>
      <x:c r="J11" s="80"/>
    </x:row>
    <x:row r="12">
      <x:c r="A12" s="240" t="str">
        <x:v>Green readiness threshold</x:v>
      </x:c>
      <x:c r="B12" s="254" t="n">
        <x:v>75</x:v>
      </x:c>
      <x:c r="C12" s="80"/>
      <x:c r="D12" s="80"/>
      <x:c r="E12" s="80"/>
      <x:c r="F12" s="80"/>
      <x:c r="G12" s="80"/>
      <x:c r="H12" s="80"/>
      <x:c r="I12" s="80"/>
      <x:c r="J12" s="80"/>
    </x:row>
    <x:row r="13">
      <x:c r="A13" s="240" t="str">
        <x:v>Red readiness threshold</x:v>
      </x:c>
      <x:c r="B13" s="254" t="n">
        <x:v>60</x:v>
      </x:c>
      <x:c r="C13" s="80"/>
      <x:c r="D13" s="80"/>
      <x:c r="E13" s="80"/>
      <x:c r="F13" s="80"/>
      <x:c r="G13" s="80"/>
      <x:c r="H13" s="80"/>
      <x:c r="I13" s="80"/>
      <x:c r="J13" s="80"/>
    </x:row>
    <x:row r="14">
      <x:c r="A14" s="240" t="str">
        <x:v>Pain stop/modify threshold</x:v>
      </x:c>
      <x:c r="B14" s="255" t="n">
        <x:v>4</x:v>
      </x:c>
      <x:c r="C14" s="80"/>
      <x:c r="D14" s="80"/>
      <x:c r="E14" s="80"/>
      <x:c r="F14" s="80"/>
      <x:c r="G14" s="80"/>
      <x:c r="H14" s="80"/>
      <x:c r="I14" s="80"/>
      <x:c r="J14" s="80"/>
    </x:row>
    <x:row r="15">
      <x:c r="A15" s="80"/>
      <x:c r="B15" s="80"/>
      <x:c r="C15" s="80"/>
      <x:c r="D15" s="80"/>
      <x:c r="E15" s="80"/>
      <x:c r="F15" s="80"/>
      <x:c r="G15" s="80"/>
      <x:c r="H15" s="80"/>
      <x:c r="I15" s="80"/>
      <x:c r="J15" s="80"/>
    </x:row>
    <x:row r="16" ht="24" customHeight="1">
      <x:c r="A16" s="81" t="str">
        <x:v>Starting load table</x:v>
      </x:c>
      <x:c r="B16" s="81" t="str">
        <x:v>Starting load table</x:v>
      </x:c>
      <x:c r="C16" s="81" t="str">
        <x:v>Starting load table</x:v>
      </x:c>
      <x:c r="D16" s="81" t="str">
        <x:v>Starting load table</x:v>
      </x:c>
      <x:c r="E16" s="81" t="str">
        <x:v>Starting load table</x:v>
      </x:c>
      <x:c r="F16" s="81" t="str">
        <x:v>Starting load table</x:v>
      </x:c>
      <x:c r="G16" s="80"/>
      <x:c r="H16" s="80"/>
      <x:c r="I16" s="80"/>
      <x:c r="J16" s="80"/>
    </x:row>
    <x:row r="17" ht="30" customHeight="1">
      <x:c r="A17" s="95" t="str">
        <x:v>Exercise</x:v>
      </x:c>
      <x:c r="B17" s="96" t="str">
        <x:v>Pattern</x:v>
      </x:c>
      <x:c r="C17" s="96" t="str">
        <x:v>Metric</x:v>
      </x:c>
      <x:c r="D17" s="96" t="str">
        <x:v>Initial working load</x:v>
      </x:c>
      <x:c r="E17" s="96" t="str">
        <x:v>What happens if blank/zero</x:v>
      </x:c>
      <x:c r="F17" s="97" t="str">
        <x:v>Notes</x:v>
      </x:c>
      <x:c r="G17" s="80"/>
      <x:c r="H17" s="80"/>
      <x:c r="I17" s="80"/>
      <x:c r="J17" s="80"/>
    </x:row>
    <x:row r="18">
      <x:c r="A18" s="256" t="str">
        <x:v>45-Degree Back Extension</x:v>
      </x:c>
      <x:c r="B18" s="257" t="str">
        <x:v>Hinge / knee flexion</x:v>
      </x:c>
      <x:c r="C18" s="257" t="str">
        <x:v>load × reps</x:v>
      </x:c>
      <x:c r="D18" s="258" t="n">
        <x:v>0</x:v>
      </x:c>
      <x:c r="E18" s="259" t="str">
        <x:v>Uses 1RM % when available, otherwise enter before first use</x:v>
      </x:c>
      <x:c r="F18" s="260" t="str">
        <x:v>Editable load only; exercise choices live in Exercise Library</x:v>
      </x:c>
      <x:c r="G18" s="80"/>
      <x:c r="H18" s="80"/>
      <x:c r="I18" s="80"/>
      <x:c r="J18" s="80"/>
    </x:row>
    <x:row r="19">
      <x:c r="A19" s="261" t="str">
        <x:v>90/90 Hip Switch</x:v>
      </x:c>
      <x:c r="B19" s="262" t="str">
        <x:v>Mobility</x:v>
      </x:c>
      <x:c r="C19" s="262" t="str">
        <x:v>reps</x:v>
      </x:c>
      <x:c r="D19" s="263" t="str"/>
      <x:c r="E19" s="264" t="str">
        <x:v>Not load-autoregulated</x:v>
      </x:c>
      <x:c r="F19" s="265" t="str">
        <x:v>Editable load only; exercise choices live in Exercise Library</x:v>
      </x:c>
      <x:c r="G19" s="80"/>
      <x:c r="H19" s="80"/>
      <x:c r="I19" s="80"/>
      <x:c r="J19" s="80"/>
    </x:row>
    <x:row r="20">
      <x:c r="A20" s="261" t="str">
        <x:v>Ab Wheel Rollout</x:v>
      </x:c>
      <x:c r="B20" s="262" t="str">
        <x:v>Trunk control</x:v>
      </x:c>
      <x:c r="C20" s="262" t="str">
        <x:v>reps</x:v>
      </x:c>
      <x:c r="D20" s="263" t="str"/>
      <x:c r="E20" s="264" t="str">
        <x:v>Not load-autoregulated</x:v>
      </x:c>
      <x:c r="F20" s="265" t="str">
        <x:v>Editable load only; exercise choices live in Exercise Library</x:v>
      </x:c>
      <x:c r="G20" s="80"/>
      <x:c r="H20" s="80"/>
      <x:c r="I20" s="80"/>
      <x:c r="J20" s="80"/>
    </x:row>
    <x:row r="21">
      <x:c r="A21" s="261" t="str">
        <x:v>Acceleration Sprint</x:v>
      </x:c>
      <x:c r="B21" s="262" t="str">
        <x:v>Acceleration</x:v>
      </x:c>
      <x:c r="C21" s="262" t="str">
        <x:v>20 m time</x:v>
      </x:c>
      <x:c r="D21" s="263" t="str"/>
      <x:c r="E21" s="264" t="str">
        <x:v>Not load-autoregulated</x:v>
      </x:c>
      <x:c r="F21" s="265" t="str">
        <x:v>Editable load only; exercise choices live in Exercise Library</x:v>
      </x:c>
      <x:c r="G21" s="80"/>
      <x:c r="H21" s="80"/>
      <x:c r="I21" s="80"/>
      <x:c r="J21" s="80"/>
    </x:row>
    <x:row r="22">
      <x:c r="A22" s="261" t="str">
        <x:v>Ankle Dorsiflexion Mobilization</x:v>
      </x:c>
      <x:c r="B22" s="262" t="str">
        <x:v>Mobility</x:v>
      </x:c>
      <x:c r="C22" s="262" t="str">
        <x:v>reps</x:v>
      </x:c>
      <x:c r="D22" s="263" t="str"/>
      <x:c r="E22" s="264" t="str">
        <x:v>Not load-autoregulated</x:v>
      </x:c>
      <x:c r="F22" s="265" t="str">
        <x:v>Editable load only; exercise choices live in Exercise Library</x:v>
      </x:c>
      <x:c r="G22" s="80"/>
      <x:c r="H22" s="80"/>
      <x:c r="I22" s="80"/>
      <x:c r="J22" s="80"/>
    </x:row>
    <x:row r="23">
      <x:c r="A23" s="261" t="str">
        <x:v>Back Squat</x:v>
      </x:c>
      <x:c r="B23" s="262" t="str">
        <x:v>Squat</x:v>
      </x:c>
      <x:c r="C23" s="262" t="str">
        <x:v>load × reps</x:v>
      </x:c>
      <x:c r="D23" s="263" t="n">
        <x:v>0</x:v>
      </x:c>
      <x:c r="E23" s="264" t="str">
        <x:v>Uses 1RM % when available, otherwise enter before first use</x:v>
      </x:c>
      <x:c r="F23" s="265" t="str">
        <x:v>Editable load only; exercise choices live in Exercise Library</x:v>
      </x:c>
      <x:c r="G23" s="80"/>
      <x:c r="H23" s="80"/>
      <x:c r="I23" s="80"/>
      <x:c r="J23" s="80"/>
    </x:row>
    <x:row r="24">
      <x:c r="A24" s="261" t="str">
        <x:v>Backward Sled Drag</x:v>
      </x:c>
      <x:c r="B24" s="262" t="str">
        <x:v>Loaded locomotion</x:v>
      </x:c>
      <x:c r="C24" s="262" t="str">
        <x:v>load + meters</x:v>
      </x:c>
      <x:c r="D24" s="263" t="str"/>
      <x:c r="E24" s="264" t="str">
        <x:v>Not load-autoregulated</x:v>
      </x:c>
      <x:c r="F24" s="265" t="str">
        <x:v>Editable load only; exercise choices live in Exercise Library</x:v>
      </x:c>
      <x:c r="G24" s="80"/>
      <x:c r="H24" s="80"/>
      <x:c r="I24" s="80"/>
      <x:c r="J24" s="80"/>
    </x:row>
    <x:row r="25">
      <x:c r="A25" s="261" t="str">
        <x:v>Barbell Hip Thrust</x:v>
      </x:c>
      <x:c r="B25" s="262" t="str">
        <x:v>Hypertrophy</x:v>
      </x:c>
      <x:c r="C25" s="262" t="str">
        <x:v>load × reps</x:v>
      </x:c>
      <x:c r="D25" s="263" t="n">
        <x:v>0</x:v>
      </x:c>
      <x:c r="E25" s="264" t="str">
        <x:v>Uses 1RM % when available, otherwise enter before first use</x:v>
      </x:c>
      <x:c r="F25" s="265" t="str">
        <x:v>Editable load only; exercise choices live in Exercise Library</x:v>
      </x:c>
      <x:c r="G25" s="80"/>
      <x:c r="H25" s="80"/>
      <x:c r="I25" s="80"/>
      <x:c r="J25" s="80"/>
    </x:row>
    <x:row r="26">
      <x:c r="A26" s="261" t="str">
        <x:v>Barbell Row</x:v>
      </x:c>
      <x:c r="B26" s="262" t="str">
        <x:v>Horizontal pull</x:v>
      </x:c>
      <x:c r="C26" s="262" t="str">
        <x:v>load × reps</x:v>
      </x:c>
      <x:c r="D26" s="263" t="n">
        <x:v>0</x:v>
      </x:c>
      <x:c r="E26" s="264" t="str">
        <x:v>Uses 1RM % when available, otherwise enter before first use</x:v>
      </x:c>
      <x:c r="F26" s="265" t="str">
        <x:v>Editable load only; exercise choices live in Exercise Library</x:v>
      </x:c>
      <x:c r="G26" s="80"/>
      <x:c r="H26" s="80"/>
      <x:c r="I26" s="80"/>
      <x:c r="J26" s="80"/>
    </x:row>
    <x:row r="27">
      <x:c r="A27" s="261" t="str">
        <x:v>Bench Press</x:v>
      </x:c>
      <x:c r="B27" s="262" t="str">
        <x:v>Horizontal push</x:v>
      </x:c>
      <x:c r="C27" s="262" t="str">
        <x:v>load × reps</x:v>
      </x:c>
      <x:c r="D27" s="263" t="n">
        <x:v>0</x:v>
      </x:c>
      <x:c r="E27" s="264" t="str">
        <x:v>Uses 1RM % when available, otherwise enter before first use</x:v>
      </x:c>
      <x:c r="F27" s="265" t="str">
        <x:v>Editable load only; exercise choices live in Exercise Library</x:v>
      </x:c>
      <x:c r="G27" s="80"/>
      <x:c r="H27" s="80"/>
      <x:c r="I27" s="80"/>
      <x:c r="J27" s="80"/>
    </x:row>
    <x:row r="28">
      <x:c r="A28" s="261" t="str">
        <x:v>Box Jump</x:v>
      </x:c>
      <x:c r="B28" s="262" t="str">
        <x:v>Vertical jump</x:v>
      </x:c>
      <x:c r="C28" s="262" t="str">
        <x:v>height</x:v>
      </x:c>
      <x:c r="D28" s="263" t="str"/>
      <x:c r="E28" s="264" t="str">
        <x:v>Not load-autoregulated</x:v>
      </x:c>
      <x:c r="F28" s="265" t="str">
        <x:v>Editable load only; exercise choices live in Exercise Library</x:v>
      </x:c>
      <x:c r="G28" s="80"/>
      <x:c r="H28" s="80"/>
      <x:c r="I28" s="80"/>
      <x:c r="J28" s="80"/>
    </x:row>
    <x:row r="29">
      <x:c r="A29" s="261" t="str">
        <x:v>Broad Jump</x:v>
      </x:c>
      <x:c r="B29" s="262" t="str">
        <x:v>Horizontal jump</x:v>
      </x:c>
      <x:c r="C29" s="262" t="str">
        <x:v>distance</x:v>
      </x:c>
      <x:c r="D29" s="263" t="str"/>
      <x:c r="E29" s="264" t="str">
        <x:v>Not load-autoregulated</x:v>
      </x:c>
      <x:c r="F29" s="265" t="str">
        <x:v>Editable load only; exercise choices live in Exercise Library</x:v>
      </x:c>
      <x:c r="G29" s="80"/>
      <x:c r="H29" s="80"/>
      <x:c r="I29" s="80"/>
      <x:c r="J29" s="80"/>
    </x:row>
    <x:row r="30">
      <x:c r="A30" s="261" t="str">
        <x:v>Bulgarian Split Squat</x:v>
      </x:c>
      <x:c r="B30" s="262" t="str">
        <x:v>Single-leg squat</x:v>
      </x:c>
      <x:c r="C30" s="262" t="str">
        <x:v>load × reps</x:v>
      </x:c>
      <x:c r="D30" s="263" t="n">
        <x:v>0</x:v>
      </x:c>
      <x:c r="E30" s="264" t="str">
        <x:v>Uses 1RM % when available, otherwise enter before first use</x:v>
      </x:c>
      <x:c r="F30" s="265" t="str">
        <x:v>Editable load only; exercise choices live in Exercise Library</x:v>
      </x:c>
      <x:c r="G30" s="80"/>
      <x:c r="H30" s="80"/>
      <x:c r="I30" s="80"/>
      <x:c r="J30" s="80"/>
    </x:row>
    <x:row r="31">
      <x:c r="A31" s="261" t="str">
        <x:v>Cable Fly</x:v>
      </x:c>
      <x:c r="B31" s="262" t="str">
        <x:v>Push</x:v>
      </x:c>
      <x:c r="C31" s="262" t="str">
        <x:v>load × reps</x:v>
      </x:c>
      <x:c r="D31" s="263" t="n">
        <x:v>0</x:v>
      </x:c>
      <x:c r="E31" s="264" t="str">
        <x:v>Uses 1RM % when available, otherwise enter before first use</x:v>
      </x:c>
      <x:c r="F31" s="265" t="str">
        <x:v>Editable load only; exercise choices live in Exercise Library</x:v>
      </x:c>
      <x:c r="G31" s="80"/>
      <x:c r="H31" s="80"/>
      <x:c r="I31" s="80"/>
      <x:c r="J31" s="80"/>
    </x:row>
    <x:row r="32">
      <x:c r="A32" s="261" t="str">
        <x:v>Cable Hip Adduction</x:v>
      </x:c>
      <x:c r="B32" s="262" t="str">
        <x:v>Hypertrophy</x:v>
      </x:c>
      <x:c r="C32" s="262" t="str">
        <x:v>load × reps</x:v>
      </x:c>
      <x:c r="D32" s="263" t="n">
        <x:v>0</x:v>
      </x:c>
      <x:c r="E32" s="264" t="str">
        <x:v>Uses 1RM % when available, otherwise enter before first use</x:v>
      </x:c>
      <x:c r="F32" s="265" t="str">
        <x:v>Editable load only; exercise choices live in Exercise Library</x:v>
      </x:c>
      <x:c r="G32" s="80"/>
      <x:c r="H32" s="80"/>
      <x:c r="I32" s="80"/>
      <x:c r="J32" s="80"/>
    </x:row>
    <x:row r="33">
      <x:c r="A33" s="261" t="str">
        <x:v>Cable Lateral Raise</x:v>
      </x:c>
      <x:c r="B33" s="262" t="str">
        <x:v>Shoulder abduction</x:v>
      </x:c>
      <x:c r="C33" s="262" t="str">
        <x:v>load × reps</x:v>
      </x:c>
      <x:c r="D33" s="263" t="n">
        <x:v>0</x:v>
      </x:c>
      <x:c r="E33" s="264" t="str">
        <x:v>Uses 1RM % when available, otherwise enter before first use</x:v>
      </x:c>
      <x:c r="F33" s="265" t="str">
        <x:v>Editable load only; exercise choices live in Exercise Library</x:v>
      </x:c>
      <x:c r="G33" s="80"/>
      <x:c r="H33" s="80"/>
      <x:c r="I33" s="80"/>
      <x:c r="J33" s="80"/>
    </x:row>
    <x:row r="34">
      <x:c r="A34" s="261" t="str">
        <x:v>Chest-Supported Dumbbell Row</x:v>
      </x:c>
      <x:c r="B34" s="262" t="str">
        <x:v>Horizontal pull</x:v>
      </x:c>
      <x:c r="C34" s="262" t="str">
        <x:v>load × reps</x:v>
      </x:c>
      <x:c r="D34" s="263" t="n">
        <x:v>0</x:v>
      </x:c>
      <x:c r="E34" s="264" t="str">
        <x:v>Uses 1RM % when available, otherwise enter before first use</x:v>
      </x:c>
      <x:c r="F34" s="265" t="str">
        <x:v>Editable load only; exercise choices live in Exercise Library</x:v>
      </x:c>
      <x:c r="G34" s="80"/>
      <x:c r="H34" s="80"/>
      <x:c r="I34" s="80"/>
      <x:c r="J34" s="80"/>
    </x:row>
    <x:row r="35">
      <x:c r="A35" s="261" t="str">
        <x:v>Conventional Deadlift</x:v>
      </x:c>
      <x:c r="B35" s="262" t="str">
        <x:v>Hinge</x:v>
      </x:c>
      <x:c r="C35" s="262" t="str">
        <x:v>load × reps</x:v>
      </x:c>
      <x:c r="D35" s="263" t="n">
        <x:v>0</x:v>
      </x:c>
      <x:c r="E35" s="264" t="str">
        <x:v>Uses 1RM % when available, otherwise enter before first use</x:v>
      </x:c>
      <x:c r="F35" s="265" t="str">
        <x:v>Editable load only; exercise choices live in Exercise Library</x:v>
      </x:c>
      <x:c r="G35" s="80"/>
      <x:c r="H35" s="80"/>
      <x:c r="I35" s="80"/>
      <x:c r="J35" s="80"/>
    </x:row>
    <x:row r="36">
      <x:c r="A36" s="261" t="str">
        <x:v>Copenhagen Plank</x:v>
      </x:c>
      <x:c r="B36" s="262" t="str">
        <x:v>Trunk control</x:v>
      </x:c>
      <x:c r="C36" s="262" t="str">
        <x:v>seconds</x:v>
      </x:c>
      <x:c r="D36" s="263" t="str"/>
      <x:c r="E36" s="264" t="str">
        <x:v>Not load-autoregulated</x:v>
      </x:c>
      <x:c r="F36" s="265" t="str">
        <x:v>Editable load only; exercise choices live in Exercise Library</x:v>
      </x:c>
      <x:c r="G36" s="80"/>
      <x:c r="H36" s="80"/>
      <x:c r="I36" s="80"/>
      <x:c r="J36" s="80"/>
    </x:row>
    <x:row r="37">
      <x:c r="A37" s="261" t="str">
        <x:v>Couch Stretch</x:v>
      </x:c>
      <x:c r="B37" s="262" t="str">
        <x:v>Mobility</x:v>
      </x:c>
      <x:c r="C37" s="262" t="str">
        <x:v>seconds</x:v>
      </x:c>
      <x:c r="D37" s="263" t="str"/>
      <x:c r="E37" s="264" t="str">
        <x:v>Not load-autoregulated</x:v>
      </x:c>
      <x:c r="F37" s="265" t="str">
        <x:v>Editable load only; exercise choices live in Exercise Library</x:v>
      </x:c>
      <x:c r="G37" s="80"/>
      <x:c r="H37" s="80"/>
      <x:c r="I37" s="80"/>
      <x:c r="J37" s="80"/>
    </x:row>
    <x:row r="38">
      <x:c r="A38" s="261" t="str">
        <x:v>Doorway Pec Stretch</x:v>
      </x:c>
      <x:c r="B38" s="262" t="str">
        <x:v>Push</x:v>
      </x:c>
      <x:c r="C38" s="262" t="str">
        <x:v>seconds</x:v>
      </x:c>
      <x:c r="D38" s="263" t="str"/>
      <x:c r="E38" s="264" t="str">
        <x:v>Not load-autoregulated</x:v>
      </x:c>
      <x:c r="F38" s="265" t="str">
        <x:v>Editable load only; exercise choices live in Exercise Library</x:v>
      </x:c>
      <x:c r="G38" s="80"/>
      <x:c r="H38" s="80"/>
      <x:c r="I38" s="80"/>
      <x:c r="J38" s="80"/>
    </x:row>
    <x:row r="39">
      <x:c r="A39" s="261" t="str">
        <x:v>Dumbbell Lateral Raise</x:v>
      </x:c>
      <x:c r="B39" s="262" t="str">
        <x:v>Shoulder abduction</x:v>
      </x:c>
      <x:c r="C39" s="262" t="str">
        <x:v>load × reps</x:v>
      </x:c>
      <x:c r="D39" s="263" t="n">
        <x:v>0</x:v>
      </x:c>
      <x:c r="E39" s="264" t="str">
        <x:v>Uses 1RM % when available, otherwise enter before first use</x:v>
      </x:c>
      <x:c r="F39" s="265" t="str">
        <x:v>Editable load only; exercise choices live in Exercise Library</x:v>
      </x:c>
      <x:c r="G39" s="80"/>
      <x:c r="H39" s="80"/>
      <x:c r="I39" s="80"/>
      <x:c r="J39" s="80"/>
    </x:row>
    <x:row r="40">
      <x:c r="A40" s="261" t="str">
        <x:v>EZ-Bar Curl</x:v>
      </x:c>
      <x:c r="B40" s="262" t="str">
        <x:v>Elbow flexion</x:v>
      </x:c>
      <x:c r="C40" s="262" t="str">
        <x:v>load × reps</x:v>
      </x:c>
      <x:c r="D40" s="263" t="n">
        <x:v>0</x:v>
      </x:c>
      <x:c r="E40" s="264" t="str">
        <x:v>Uses 1RM % when available, otherwise enter before first use</x:v>
      </x:c>
      <x:c r="F40" s="265" t="str">
        <x:v>Editable load only; exercise choices live in Exercise Library</x:v>
      </x:c>
      <x:c r="G40" s="80"/>
      <x:c r="H40" s="80"/>
      <x:c r="I40" s="80"/>
      <x:c r="J40" s="80"/>
    </x:row>
    <x:row r="41">
      <x:c r="A41" s="261" t="str">
        <x:v>Face Pull</x:v>
      </x:c>
      <x:c r="B41" s="262" t="str">
        <x:v>Hypertrophy</x:v>
      </x:c>
      <x:c r="C41" s="262" t="str">
        <x:v>load × reps</x:v>
      </x:c>
      <x:c r="D41" s="263" t="n">
        <x:v>0</x:v>
      </x:c>
      <x:c r="E41" s="264" t="str">
        <x:v>Uses 1RM % when available, otherwise enter before first use</x:v>
      </x:c>
      <x:c r="F41" s="265" t="str">
        <x:v>Editable load only; exercise choices live in Exercise Library</x:v>
      </x:c>
      <x:c r="G41" s="80"/>
      <x:c r="H41" s="80"/>
      <x:c r="I41" s="80"/>
      <x:c r="J41" s="80"/>
    </x:row>
    <x:row r="42">
      <x:c r="A42" s="261" t="str">
        <x:v>Farmer Carry</x:v>
      </x:c>
      <x:c r="B42" s="262" t="str">
        <x:v>Carry</x:v>
      </x:c>
      <x:c r="C42" s="262" t="str">
        <x:v>load + meters</x:v>
      </x:c>
      <x:c r="D42" s="263" t="str"/>
      <x:c r="E42" s="264" t="str">
        <x:v>Not load-autoregulated</x:v>
      </x:c>
      <x:c r="F42" s="265" t="str">
        <x:v>Editable load only; exercise choices live in Exercise Library</x:v>
      </x:c>
      <x:c r="G42" s="80"/>
      <x:c r="H42" s="80"/>
      <x:c r="I42" s="80"/>
      <x:c r="J42" s="80"/>
    </x:row>
    <x:row r="43">
      <x:c r="A43" s="261" t="str">
        <x:v>Front Squat</x:v>
      </x:c>
      <x:c r="B43" s="262" t="str">
        <x:v>Squat</x:v>
      </x:c>
      <x:c r="C43" s="262" t="str">
        <x:v>load × reps</x:v>
      </x:c>
      <x:c r="D43" s="263" t="n">
        <x:v>0</x:v>
      </x:c>
      <x:c r="E43" s="264" t="str">
        <x:v>Uses 1RM % when available, otherwise enter before first use</x:v>
      </x:c>
      <x:c r="F43" s="265" t="str">
        <x:v>Editable load only; exercise choices live in Exercise Library</x:v>
      </x:c>
      <x:c r="G43" s="80"/>
      <x:c r="H43" s="80"/>
      <x:c r="I43" s="80"/>
      <x:c r="J43" s="80"/>
    </x:row>
    <x:row r="44">
      <x:c r="A44" s="261" t="str">
        <x:v>Front-Foot Elevated Split Squat</x:v>
      </x:c>
      <x:c r="B44" s="262" t="str">
        <x:v>Squat / knee extension</x:v>
      </x:c>
      <x:c r="C44" s="262" t="str">
        <x:v>load × reps</x:v>
      </x:c>
      <x:c r="D44" s="263" t="n">
        <x:v>0</x:v>
      </x:c>
      <x:c r="E44" s="264" t="str">
        <x:v>Uses 1RM % when available, otherwise enter before first use</x:v>
      </x:c>
      <x:c r="F44" s="265" t="str">
        <x:v>Editable load only; exercise choices live in Exercise Library</x:v>
      </x:c>
      <x:c r="G44" s="80"/>
      <x:c r="H44" s="80"/>
      <x:c r="I44" s="80"/>
      <x:c r="J44" s="80"/>
    </x:row>
    <x:row r="45">
      <x:c r="A45" s="261" t="str">
        <x:v>Full-Body Mobility Flow</x:v>
      </x:c>
      <x:c r="B45" s="262" t="str">
        <x:v>Athletic</x:v>
      </x:c>
      <x:c r="C45" s="262" t="str">
        <x:v>minutes</x:v>
      </x:c>
      <x:c r="D45" s="263" t="str"/>
      <x:c r="E45" s="264" t="str">
        <x:v>Not load-autoregulated</x:v>
      </x:c>
      <x:c r="F45" s="265" t="str">
        <x:v>Editable load only; exercise choices live in Exercise Library</x:v>
      </x:c>
      <x:c r="G45" s="80"/>
      <x:c r="H45" s="80"/>
      <x:c r="I45" s="80"/>
      <x:c r="J45" s="80"/>
    </x:row>
    <x:row r="46">
      <x:c r="A46" s="261" t="str">
        <x:v>Hack Squat</x:v>
      </x:c>
      <x:c r="B46" s="262" t="str">
        <x:v>Squat</x:v>
      </x:c>
      <x:c r="C46" s="262" t="str">
        <x:v>load × reps</x:v>
      </x:c>
      <x:c r="D46" s="263" t="n">
        <x:v>0</x:v>
      </x:c>
      <x:c r="E46" s="264" t="str">
        <x:v>Uses 1RM % when available, otherwise enter before first use</x:v>
      </x:c>
      <x:c r="F46" s="265" t="str">
        <x:v>Editable load only; exercise choices live in Exercise Library</x:v>
      </x:c>
      <x:c r="G46" s="80"/>
      <x:c r="H46" s="80"/>
      <x:c r="I46" s="80"/>
      <x:c r="J46" s="80"/>
    </x:row>
    <x:row r="47">
      <x:c r="A47" s="261" t="str">
        <x:v>Half-Kneeling Landmine Press</x:v>
      </x:c>
      <x:c r="B47" s="262" t="str">
        <x:v>Shoulder</x:v>
      </x:c>
      <x:c r="C47" s="262" t="str">
        <x:v>load × reps</x:v>
      </x:c>
      <x:c r="D47" s="263" t="n">
        <x:v>0</x:v>
      </x:c>
      <x:c r="E47" s="264" t="str">
        <x:v>Uses 1RM % when available, otherwise enter before first use</x:v>
      </x:c>
      <x:c r="F47" s="265" t="str">
        <x:v>Editable load only; exercise choices live in Exercise Library</x:v>
      </x:c>
      <x:c r="G47" s="80"/>
      <x:c r="H47" s="80"/>
      <x:c r="I47" s="80"/>
      <x:c r="J47" s="80"/>
    </x:row>
    <x:row r="48">
      <x:c r="A48" s="261" t="str">
        <x:v>Hammer Curl</x:v>
      </x:c>
      <x:c r="B48" s="262" t="str">
        <x:v>Elbow flexion</x:v>
      </x:c>
      <x:c r="C48" s="262" t="str">
        <x:v>load × reps</x:v>
      </x:c>
      <x:c r="D48" s="263" t="n">
        <x:v>0</x:v>
      </x:c>
      <x:c r="E48" s="264" t="str">
        <x:v>Uses 1RM % when available, otherwise enter before first use</x:v>
      </x:c>
      <x:c r="F48" s="265" t="str">
        <x:v>Editable load only; exercise choices live in Exercise Library</x:v>
      </x:c>
      <x:c r="G48" s="80"/>
      <x:c r="H48" s="80"/>
      <x:c r="I48" s="80"/>
      <x:c r="J48" s="80"/>
    </x:row>
    <x:row r="49">
      <x:c r="A49" s="261" t="str">
        <x:v>Incline Barbell Bench Press</x:v>
      </x:c>
      <x:c r="B49" s="262" t="str">
        <x:v>Incline push</x:v>
      </x:c>
      <x:c r="C49" s="262" t="str">
        <x:v>load × reps</x:v>
      </x:c>
      <x:c r="D49" s="263" t="n">
        <x:v>0</x:v>
      </x:c>
      <x:c r="E49" s="264" t="str">
        <x:v>Uses 1RM % when available, otherwise enter before first use</x:v>
      </x:c>
      <x:c r="F49" s="265" t="str">
        <x:v>Editable load only; exercise choices live in Exercise Library</x:v>
      </x:c>
      <x:c r="G49" s="80"/>
      <x:c r="H49" s="80"/>
      <x:c r="I49" s="80"/>
      <x:c r="J49" s="80"/>
    </x:row>
    <x:row r="50">
      <x:c r="A50" s="261" t="str">
        <x:v>Incline Dumbbell Bench Press</x:v>
      </x:c>
      <x:c r="B50" s="262" t="str">
        <x:v>Incline push</x:v>
      </x:c>
      <x:c r="C50" s="262" t="str">
        <x:v>load × reps</x:v>
      </x:c>
      <x:c r="D50" s="263" t="n">
        <x:v>0</x:v>
      </x:c>
      <x:c r="E50" s="264" t="str">
        <x:v>Uses 1RM % when available, otherwise enter before first use</x:v>
      </x:c>
      <x:c r="F50" s="265" t="str">
        <x:v>Editable load only; exercise choices live in Exercise Library</x:v>
      </x:c>
      <x:c r="G50" s="80"/>
      <x:c r="H50" s="80"/>
      <x:c r="I50" s="80"/>
      <x:c r="J50" s="80"/>
    </x:row>
    <x:row r="51">
      <x:c r="A51" s="261" t="str">
        <x:v>Incline Dumbbell Curl</x:v>
      </x:c>
      <x:c r="B51" s="262" t="str">
        <x:v>Elbow flexion</x:v>
      </x:c>
      <x:c r="C51" s="262" t="str">
        <x:v>load × reps</x:v>
      </x:c>
      <x:c r="D51" s="263" t="n">
        <x:v>0</x:v>
      </x:c>
      <x:c r="E51" s="264" t="str">
        <x:v>Uses 1RM % when available, otherwise enter before first use</x:v>
      </x:c>
      <x:c r="F51" s="265" t="str">
        <x:v>Editable load only; exercise choices live in Exercise Library</x:v>
      </x:c>
      <x:c r="G51" s="80"/>
      <x:c r="H51" s="80"/>
      <x:c r="I51" s="80"/>
      <x:c r="J51" s="80"/>
    </x:row>
    <x:row r="52">
      <x:c r="A52" s="261" t="str">
        <x:v>Kettlebell Bottom-Up Carry</x:v>
      </x:c>
      <x:c r="B52" s="262" t="str">
        <x:v>Shoulder stability carry</x:v>
      </x:c>
      <x:c r="C52" s="262" t="str">
        <x:v>load + meters</x:v>
      </x:c>
      <x:c r="D52" s="263" t="str"/>
      <x:c r="E52" s="264" t="str">
        <x:v>Not load-autoregulated</x:v>
      </x:c>
      <x:c r="F52" s="265" t="str">
        <x:v>Editable load only; exercise choices live in Exercise Library</x:v>
      </x:c>
      <x:c r="G52" s="80"/>
      <x:c r="H52" s="80"/>
      <x:c r="I52" s="80"/>
      <x:c r="J52" s="80"/>
    </x:row>
    <x:row r="53">
      <x:c r="A53" s="261" t="str">
        <x:v>Kettlebell Suitcase Carry</x:v>
      </x:c>
      <x:c r="B53" s="262" t="str">
        <x:v>Unilateral carry</x:v>
      </x:c>
      <x:c r="C53" s="262" t="str">
        <x:v>load + meters</x:v>
      </x:c>
      <x:c r="D53" s="263" t="str"/>
      <x:c r="E53" s="264" t="str">
        <x:v>Not load-autoregulated</x:v>
      </x:c>
      <x:c r="F53" s="265" t="str">
        <x:v>Editable load only; exercise choices live in Exercise Library</x:v>
      </x:c>
      <x:c r="G53" s="80"/>
      <x:c r="H53" s="80"/>
      <x:c r="I53" s="80"/>
      <x:c r="J53" s="80"/>
    </x:row>
    <x:row r="54">
      <x:c r="A54" s="261" t="str">
        <x:v>Kettlebell Swing</x:v>
      </x:c>
      <x:c r="B54" s="262" t="str">
        <x:v>Ballistic hinge</x:v>
      </x:c>
      <x:c r="C54" s="262" t="str">
        <x:v>load × reps</x:v>
      </x:c>
      <x:c r="D54" s="263" t="n">
        <x:v>0</x:v>
      </x:c>
      <x:c r="E54" s="264" t="str">
        <x:v>Uses 1RM % when available, otherwise enter before first use</x:v>
      </x:c>
      <x:c r="F54" s="265" t="str">
        <x:v>Editable load only; exercise choices live in Exercise Library</x:v>
      </x:c>
      <x:c r="G54" s="80"/>
      <x:c r="H54" s="80"/>
      <x:c r="I54" s="80"/>
      <x:c r="J54" s="80"/>
    </x:row>
    <x:row r="55">
      <x:c r="A55" s="261" t="str">
        <x:v>Lat Pulldown</x:v>
      </x:c>
      <x:c r="B55" s="262" t="str">
        <x:v>Vertical pull</x:v>
      </x:c>
      <x:c r="C55" s="262" t="str">
        <x:v>load × reps</x:v>
      </x:c>
      <x:c r="D55" s="263" t="n">
        <x:v>0</x:v>
      </x:c>
      <x:c r="E55" s="264" t="str">
        <x:v>Uses 1RM % when available, otherwise enter before first use</x:v>
      </x:c>
      <x:c r="F55" s="265" t="str">
        <x:v>Editable load only; exercise choices live in Exercise Library</x:v>
      </x:c>
      <x:c r="G55" s="80"/>
      <x:c r="H55" s="80"/>
      <x:c r="I55" s="80"/>
      <x:c r="J55" s="80"/>
    </x:row>
    <x:row r="56">
      <x:c r="A56" s="261" t="str">
        <x:v>Lateral Bound</x:v>
      </x:c>
      <x:c r="B56" s="262" t="str">
        <x:v>Power</x:v>
      </x:c>
      <x:c r="C56" s="262" t="str">
        <x:v>distance</x:v>
      </x:c>
      <x:c r="D56" s="263" t="str"/>
      <x:c r="E56" s="264" t="str">
        <x:v>Not load-autoregulated</x:v>
      </x:c>
      <x:c r="F56" s="265" t="str">
        <x:v>Editable load only; exercise choices live in Exercise Library</x:v>
      </x:c>
      <x:c r="G56" s="80"/>
      <x:c r="H56" s="80"/>
      <x:c r="I56" s="80"/>
      <x:c r="J56" s="80"/>
    </x:row>
    <x:row r="57">
      <x:c r="A57" s="261" t="str">
        <x:v>Leg Extension</x:v>
      </x:c>
      <x:c r="B57" s="262" t="str">
        <x:v>Knee extension</x:v>
      </x:c>
      <x:c r="C57" s="262" t="str">
        <x:v>load × reps</x:v>
      </x:c>
      <x:c r="D57" s="263" t="n">
        <x:v>0</x:v>
      </x:c>
      <x:c r="E57" s="264" t="str">
        <x:v>Uses 1RM % when available, otherwise enter before first use</x:v>
      </x:c>
      <x:c r="F57" s="265" t="str">
        <x:v>Editable load only; exercise choices live in Exercise Library</x:v>
      </x:c>
      <x:c r="G57" s="80"/>
      <x:c r="H57" s="80"/>
      <x:c r="I57" s="80"/>
      <x:c r="J57" s="80"/>
    </x:row>
    <x:row r="58">
      <x:c r="A58" s="261" t="str">
        <x:v>Leg Press</x:v>
      </x:c>
      <x:c r="B58" s="262" t="str">
        <x:v>Squat</x:v>
      </x:c>
      <x:c r="C58" s="262" t="str">
        <x:v>load × reps</x:v>
      </x:c>
      <x:c r="D58" s="263" t="n">
        <x:v>0</x:v>
      </x:c>
      <x:c r="E58" s="264" t="str">
        <x:v>Uses 1RM % when available, otherwise enter before first use</x:v>
      </x:c>
      <x:c r="F58" s="265" t="str">
        <x:v>Editable load only; exercise choices live in Exercise Library</x:v>
      </x:c>
      <x:c r="G58" s="80"/>
      <x:c r="H58" s="80"/>
      <x:c r="I58" s="80"/>
      <x:c r="J58" s="80"/>
    </x:row>
    <x:row r="59">
      <x:c r="A59" s="261" t="str">
        <x:v>Lying Leg Curl</x:v>
      </x:c>
      <x:c r="B59" s="262" t="str">
        <x:v>Knee flexion</x:v>
      </x:c>
      <x:c r="C59" s="262" t="str">
        <x:v>load × reps</x:v>
      </x:c>
      <x:c r="D59" s="263" t="n">
        <x:v>0</x:v>
      </x:c>
      <x:c r="E59" s="264" t="str">
        <x:v>Uses 1RM % when available, otherwise enter before first use</x:v>
      </x:c>
      <x:c r="F59" s="265" t="str">
        <x:v>Editable load only; exercise choices live in Exercise Library</x:v>
      </x:c>
      <x:c r="G59" s="80"/>
      <x:c r="H59" s="80"/>
      <x:c r="I59" s="80"/>
      <x:c r="J59" s="80"/>
    </x:row>
    <x:row r="60">
      <x:c r="A60" s="261" t="str">
        <x:v>Machine Chest Press</x:v>
      </x:c>
      <x:c r="B60" s="262" t="str">
        <x:v>Push</x:v>
      </x:c>
      <x:c r="C60" s="262" t="str">
        <x:v>load × reps</x:v>
      </x:c>
      <x:c r="D60" s="263" t="n">
        <x:v>0</x:v>
      </x:c>
      <x:c r="E60" s="264" t="str">
        <x:v>Uses 1RM % when available, otherwise enter before first use</x:v>
      </x:c>
      <x:c r="F60" s="265" t="str">
        <x:v>Editable load only; exercise choices live in Exercise Library</x:v>
      </x:c>
      <x:c r="G60" s="80"/>
      <x:c r="H60" s="80"/>
      <x:c r="I60" s="80"/>
      <x:c r="J60" s="80"/>
    </x:row>
    <x:row r="61">
      <x:c r="A61" s="261" t="str">
        <x:v>Machine High Row</x:v>
      </x:c>
      <x:c r="B61" s="262" t="str">
        <x:v>Pull</x:v>
      </x:c>
      <x:c r="C61" s="262" t="str">
        <x:v>load × reps</x:v>
      </x:c>
      <x:c r="D61" s="263" t="n">
        <x:v>0</x:v>
      </x:c>
      <x:c r="E61" s="264" t="str">
        <x:v>Uses 1RM % when available, otherwise enter before first use</x:v>
      </x:c>
      <x:c r="F61" s="265" t="str">
        <x:v>Editable load only; exercise choices live in Exercise Library</x:v>
      </x:c>
      <x:c r="G61" s="80"/>
      <x:c r="H61" s="80"/>
      <x:c r="I61" s="80"/>
      <x:c r="J61" s="80"/>
    </x:row>
    <x:row r="62">
      <x:c r="A62" s="261" t="str">
        <x:v>Medicine Ball Chest Pass</x:v>
      </x:c>
      <x:c r="B62" s="262" t="str">
        <x:v>Push</x:v>
      </x:c>
      <x:c r="C62" s="262" t="str">
        <x:v>throw quality</x:v>
      </x:c>
      <x:c r="D62" s="263" t="str"/>
      <x:c r="E62" s="264" t="str">
        <x:v>Not load-autoregulated</x:v>
      </x:c>
      <x:c r="F62" s="265" t="str">
        <x:v>Editable load only; exercise choices live in Exercise Library</x:v>
      </x:c>
      <x:c r="G62" s="80"/>
      <x:c r="H62" s="80"/>
      <x:c r="I62" s="80"/>
      <x:c r="J62" s="80"/>
    </x:row>
    <x:row r="63">
      <x:c r="A63" s="261" t="str">
        <x:v>Medicine Ball Rotational Throw</x:v>
      </x:c>
      <x:c r="B63" s="262" t="str">
        <x:v>Trunk control</x:v>
      </x:c>
      <x:c r="C63" s="262" t="str">
        <x:v>throw quality</x:v>
      </x:c>
      <x:c r="D63" s="263" t="str"/>
      <x:c r="E63" s="264" t="str">
        <x:v>Not load-autoregulated</x:v>
      </x:c>
      <x:c r="F63" s="265" t="str">
        <x:v>Editable load only; exercise choices live in Exercise Library</x:v>
      </x:c>
      <x:c r="G63" s="80"/>
      <x:c r="H63" s="80"/>
      <x:c r="I63" s="80"/>
      <x:c r="J63" s="80"/>
    </x:row>
    <x:row r="64">
      <x:c r="A64" s="261" t="str">
        <x:v>Medicine Ball Slam</x:v>
      </x:c>
      <x:c r="B64" s="262" t="str">
        <x:v>Pull</x:v>
      </x:c>
      <x:c r="C64" s="262" t="str">
        <x:v>throw quality</x:v>
      </x:c>
      <x:c r="D64" s="263" t="str"/>
      <x:c r="E64" s="264" t="str">
        <x:v>Not load-autoregulated</x:v>
      </x:c>
      <x:c r="F64" s="265" t="str">
        <x:v>Editable load only; exercise choices live in Exercise Library</x:v>
      </x:c>
      <x:c r="G64" s="80"/>
      <x:c r="H64" s="80"/>
      <x:c r="I64" s="80"/>
      <x:c r="J64" s="80"/>
    </x:row>
    <x:row r="65">
      <x:c r="A65" s="261" t="str">
        <x:v>Neutral-Grip Lat Pulldown</x:v>
      </x:c>
      <x:c r="B65" s="262" t="str">
        <x:v>Vertical pull</x:v>
      </x:c>
      <x:c r="C65" s="262" t="str">
        <x:v>load × reps</x:v>
      </x:c>
      <x:c r="D65" s="263" t="n">
        <x:v>0</x:v>
      </x:c>
      <x:c r="E65" s="264" t="str">
        <x:v>Uses 1RM % when available, otherwise enter before first use</x:v>
      </x:c>
      <x:c r="F65" s="265" t="str">
        <x:v>Editable load only; exercise choices live in Exercise Library</x:v>
      </x:c>
      <x:c r="G65" s="80"/>
      <x:c r="H65" s="80"/>
      <x:c r="I65" s="80"/>
      <x:c r="J65" s="80"/>
    </x:row>
    <x:row r="66">
      <x:c r="A66" s="261" t="str">
        <x:v>Nordic Hamstring Curl</x:v>
      </x:c>
      <x:c r="B66" s="262" t="str">
        <x:v>Knee flexion</x:v>
      </x:c>
      <x:c r="C66" s="262" t="str">
        <x:v>reps</x:v>
      </x:c>
      <x:c r="D66" s="263" t="str"/>
      <x:c r="E66" s="264" t="str">
        <x:v>Not load-autoregulated</x:v>
      </x:c>
      <x:c r="F66" s="265" t="str">
        <x:v>Editable load only; exercise choices live in Exercise Library</x:v>
      </x:c>
      <x:c r="G66" s="80"/>
      <x:c r="H66" s="80"/>
      <x:c r="I66" s="80"/>
      <x:c r="J66" s="80"/>
    </x:row>
    <x:row r="67">
      <x:c r="A67" s="261" t="str">
        <x:v>One-Arm Cable Row</x:v>
      </x:c>
      <x:c r="B67" s="262" t="str">
        <x:v>Pull</x:v>
      </x:c>
      <x:c r="C67" s="262" t="str">
        <x:v>load × reps</x:v>
      </x:c>
      <x:c r="D67" s="263" t="n">
        <x:v>0</x:v>
      </x:c>
      <x:c r="E67" s="264" t="str">
        <x:v>Uses 1RM % when available, otherwise enter before first use</x:v>
      </x:c>
      <x:c r="F67" s="265" t="str">
        <x:v>Editable load only; exercise choices live in Exercise Library</x:v>
      </x:c>
      <x:c r="G67" s="80"/>
      <x:c r="H67" s="80"/>
      <x:c r="I67" s="80"/>
      <x:c r="J67" s="80"/>
    </x:row>
    <x:row r="68">
      <x:c r="A68" s="261" t="str">
        <x:v>Open-Book Thoracic Rotation</x:v>
      </x:c>
      <x:c r="B68" s="262" t="str">
        <x:v>Mobility</x:v>
      </x:c>
      <x:c r="C68" s="262" t="str">
        <x:v>reps</x:v>
      </x:c>
      <x:c r="D68" s="263" t="str"/>
      <x:c r="E68" s="264" t="str">
        <x:v>Not load-autoregulated</x:v>
      </x:c>
      <x:c r="F68" s="265" t="str">
        <x:v>Editable load only; exercise choices live in Exercise Library</x:v>
      </x:c>
      <x:c r="G68" s="80"/>
      <x:c r="H68" s="80"/>
      <x:c r="I68" s="80"/>
      <x:c r="J68" s="80"/>
    </x:row>
    <x:row r="69">
      <x:c r="A69" s="261" t="str">
        <x:v>Overhead Cable Triceps Extension</x:v>
      </x:c>
      <x:c r="B69" s="262" t="str">
        <x:v>Elbow extension</x:v>
      </x:c>
      <x:c r="C69" s="262" t="str">
        <x:v>load × reps</x:v>
      </x:c>
      <x:c r="D69" s="263" t="n">
        <x:v>0</x:v>
      </x:c>
      <x:c r="E69" s="264" t="str">
        <x:v>Uses 1RM % when available, otherwise enter before first use</x:v>
      </x:c>
      <x:c r="F69" s="265" t="str">
        <x:v>Editable load only; exercise choices live in Exercise Library</x:v>
      </x:c>
      <x:c r="G69" s="80"/>
      <x:c r="H69" s="80"/>
      <x:c r="I69" s="80"/>
      <x:c r="J69" s="80"/>
    </x:row>
    <x:row r="70">
      <x:c r="A70" s="261" t="str">
        <x:v>Overhead Press</x:v>
      </x:c>
      <x:c r="B70" s="262" t="str">
        <x:v>Vertical push</x:v>
      </x:c>
      <x:c r="C70" s="262" t="str">
        <x:v>load × reps</x:v>
      </x:c>
      <x:c r="D70" s="263" t="n">
        <x:v>0</x:v>
      </x:c>
      <x:c r="E70" s="264" t="str">
        <x:v>Uses 1RM % when available, otherwise enter before first use</x:v>
      </x:c>
      <x:c r="F70" s="265" t="str">
        <x:v>Editable load only; exercise choices live in Exercise Library</x:v>
      </x:c>
      <x:c r="G70" s="80"/>
      <x:c r="H70" s="80"/>
      <x:c r="I70" s="80"/>
      <x:c r="J70" s="80"/>
    </x:row>
    <x:row r="71">
      <x:c r="A71" s="261" t="str">
        <x:v>Pallof Press</x:v>
      </x:c>
      <x:c r="B71" s="262" t="str">
        <x:v>Trunk control</x:v>
      </x:c>
      <x:c r="C71" s="262" t="str">
        <x:v>load × reps</x:v>
      </x:c>
      <x:c r="D71" s="263" t="n">
        <x:v>0</x:v>
      </x:c>
      <x:c r="E71" s="264" t="str">
        <x:v>Uses 1RM % when available, otherwise enter before first use</x:v>
      </x:c>
      <x:c r="F71" s="265" t="str">
        <x:v>Editable load only; exercise choices live in Exercise Library</x:v>
      </x:c>
      <x:c r="G71" s="80"/>
      <x:c r="H71" s="80"/>
      <x:c r="I71" s="80"/>
      <x:c r="J71" s="80"/>
    </x:row>
    <x:row r="72">
      <x:c r="A72" s="261" t="str">
        <x:v>Passive Hang</x:v>
      </x:c>
      <x:c r="B72" s="262" t="str">
        <x:v>Shoulder</x:v>
      </x:c>
      <x:c r="C72" s="262" t="str">
        <x:v>seconds</x:v>
      </x:c>
      <x:c r="D72" s="263" t="str"/>
      <x:c r="E72" s="264" t="str">
        <x:v>Not load-autoregulated</x:v>
      </x:c>
      <x:c r="F72" s="265" t="str">
        <x:v>Editable load only; exercise choices live in Exercise Library</x:v>
      </x:c>
      <x:c r="G72" s="80"/>
      <x:c r="H72" s="80"/>
      <x:c r="I72" s="80"/>
      <x:c r="J72" s="80"/>
    </x:row>
    <x:row r="73">
      <x:c r="A73" s="261" t="str">
        <x:v>Pause Squat</x:v>
      </x:c>
      <x:c r="B73" s="262" t="str">
        <x:v>Squat</x:v>
      </x:c>
      <x:c r="C73" s="262" t="str">
        <x:v>load × reps</x:v>
      </x:c>
      <x:c r="D73" s="263" t="n">
        <x:v>0</x:v>
      </x:c>
      <x:c r="E73" s="264" t="str">
        <x:v>Uses 1RM % when available, otherwise enter before first use</x:v>
      </x:c>
      <x:c r="F73" s="265" t="str">
        <x:v>Editable load only; exercise choices live in Exercise Library</x:v>
      </x:c>
      <x:c r="G73" s="80"/>
      <x:c r="H73" s="80"/>
      <x:c r="I73" s="80"/>
      <x:c r="J73" s="80"/>
    </x:row>
    <x:row r="74">
      <x:c r="A74" s="261" t="str">
        <x:v>Plyometric Push-Up</x:v>
      </x:c>
      <x:c r="B74" s="262" t="str">
        <x:v>Push</x:v>
      </x:c>
      <x:c r="C74" s="262" t="str">
        <x:v>reps</x:v>
      </x:c>
      <x:c r="D74" s="263" t="str"/>
      <x:c r="E74" s="264" t="str">
        <x:v>Not load-autoregulated</x:v>
      </x:c>
      <x:c r="F74" s="265" t="str">
        <x:v>Editable load only; exercise choices live in Exercise Library</x:v>
      </x:c>
      <x:c r="G74" s="80"/>
      <x:c r="H74" s="80"/>
      <x:c r="I74" s="80"/>
      <x:c r="J74" s="80"/>
    </x:row>
    <x:row r="75">
      <x:c r="A75" s="261" t="str">
        <x:v>Pogo Jump</x:v>
      </x:c>
      <x:c r="B75" s="262" t="str">
        <x:v>Ankle plantarflexion</x:v>
      </x:c>
      <x:c r="C75" s="262" t="str">
        <x:v>contacts</x:v>
      </x:c>
      <x:c r="D75" s="263" t="str"/>
      <x:c r="E75" s="264" t="str">
        <x:v>Not load-autoregulated</x:v>
      </x:c>
      <x:c r="F75" s="265" t="str">
        <x:v>Editable load only; exercise choices live in Exercise Library</x:v>
      </x:c>
      <x:c r="G75" s="80"/>
      <x:c r="H75" s="80"/>
      <x:c r="I75" s="80"/>
      <x:c r="J75" s="80"/>
    </x:row>
    <x:row r="76">
      <x:c r="A76" s="261" t="str">
        <x:v>Pull-Up</x:v>
      </x:c>
      <x:c r="B76" s="262" t="str">
        <x:v>Pull</x:v>
      </x:c>
      <x:c r="C76" s="262" t="str">
        <x:v>reps</x:v>
      </x:c>
      <x:c r="D76" s="263" t="str"/>
      <x:c r="E76" s="264" t="str">
        <x:v>Not load-autoregulated</x:v>
      </x:c>
      <x:c r="F76" s="265" t="str">
        <x:v>Editable load only; exercise choices live in Exercise Library</x:v>
      </x:c>
      <x:c r="G76" s="80"/>
      <x:c r="H76" s="80"/>
      <x:c r="I76" s="80"/>
      <x:c r="J76" s="80"/>
    </x:row>
    <x:row r="77">
      <x:c r="A77" s="261" t="str">
        <x:v>Push Press</x:v>
      </x:c>
      <x:c r="B77" s="262" t="str">
        <x:v>Power push</x:v>
      </x:c>
      <x:c r="C77" s="262" t="str">
        <x:v>load × reps</x:v>
      </x:c>
      <x:c r="D77" s="263" t="n">
        <x:v>0</x:v>
      </x:c>
      <x:c r="E77" s="264" t="str">
        <x:v>Uses 1RM % when available, otherwise enter before first use</x:v>
      </x:c>
      <x:c r="F77" s="265" t="str">
        <x:v>Editable load only; exercise choices live in Exercise Library</x:v>
      </x:c>
      <x:c r="G77" s="80"/>
      <x:c r="H77" s="80"/>
      <x:c r="I77" s="80"/>
      <x:c r="J77" s="80"/>
    </x:row>
    <x:row r="78">
      <x:c r="A78" s="261" t="str">
        <x:v>Rear Delt Cable Fly</x:v>
      </x:c>
      <x:c r="B78" s="262" t="str">
        <x:v>Hypertrophy</x:v>
      </x:c>
      <x:c r="C78" s="262" t="str">
        <x:v>load × reps</x:v>
      </x:c>
      <x:c r="D78" s="263" t="n">
        <x:v>0</x:v>
      </x:c>
      <x:c r="E78" s="264" t="str">
        <x:v>Uses 1RM % when available, otherwise enter before first use</x:v>
      </x:c>
      <x:c r="F78" s="265" t="str">
        <x:v>Editable load only; exercise choices live in Exercise Library</x:v>
      </x:c>
      <x:c r="G78" s="80"/>
      <x:c r="H78" s="80"/>
      <x:c r="I78" s="80"/>
      <x:c r="J78" s="80"/>
    </x:row>
    <x:row r="79">
      <x:c r="A79" s="261" t="str">
        <x:v>Romanian Deadlift</x:v>
      </x:c>
      <x:c r="B79" s="262" t="str">
        <x:v>Hinge</x:v>
      </x:c>
      <x:c r="C79" s="262" t="str">
        <x:v>load × reps</x:v>
      </x:c>
      <x:c r="D79" s="263" t="n">
        <x:v>0</x:v>
      </x:c>
      <x:c r="E79" s="264" t="str">
        <x:v>Uses 1RM % when available, otherwise enter before first use</x:v>
      </x:c>
      <x:c r="F79" s="265" t="str">
        <x:v>Editable load only; exercise choices live in Exercise Library</x:v>
      </x:c>
      <x:c r="G79" s="80"/>
      <x:c r="H79" s="80"/>
      <x:c r="I79" s="80"/>
      <x:c r="J79" s="80"/>
    </x:row>
    <x:row r="80">
      <x:c r="A80" s="261" t="str">
        <x:v>RowErg Sprint Intervals</x:v>
      </x:c>
      <x:c r="B80" s="262" t="str">
        <x:v>Full-body conditioning</x:v>
      </x:c>
      <x:c r="C80" s="262" t="str">
        <x:v>watts / meters</x:v>
      </x:c>
      <x:c r="D80" s="263" t="str"/>
      <x:c r="E80" s="264" t="str">
        <x:v>Not load-autoregulated</x:v>
      </x:c>
      <x:c r="F80" s="265" t="str">
        <x:v>Editable load only; exercise choices live in Exercise Library</x:v>
      </x:c>
      <x:c r="G80" s="80"/>
      <x:c r="H80" s="80"/>
      <x:c r="I80" s="80"/>
      <x:c r="J80" s="80"/>
    </x:row>
    <x:row r="81">
      <x:c r="A81" s="261" t="str">
        <x:v>Scapular Pull-Up</x:v>
      </x:c>
      <x:c r="B81" s="262" t="str">
        <x:v>Shoulder</x:v>
      </x:c>
      <x:c r="C81" s="262" t="str">
        <x:v>reps</x:v>
      </x:c>
      <x:c r="D81" s="263" t="str"/>
      <x:c r="E81" s="264" t="str">
        <x:v>Not load-autoregulated</x:v>
      </x:c>
      <x:c r="F81" s="265" t="str">
        <x:v>Editable load only; exercise choices live in Exercise Library</x:v>
      </x:c>
      <x:c r="G81" s="80"/>
      <x:c r="H81" s="80"/>
      <x:c r="I81" s="80"/>
      <x:c r="J81" s="80"/>
    </x:row>
    <x:row r="82">
      <x:c r="A82" s="261" t="str">
        <x:v>Seated Calf Raise</x:v>
      </x:c>
      <x:c r="B82" s="262" t="str">
        <x:v>Ankle plantarflexion</x:v>
      </x:c>
      <x:c r="C82" s="262" t="str">
        <x:v>load × reps</x:v>
      </x:c>
      <x:c r="D82" s="263" t="n">
        <x:v>0</x:v>
      </x:c>
      <x:c r="E82" s="264" t="str">
        <x:v>Uses 1RM % when available, otherwise enter before first use</x:v>
      </x:c>
      <x:c r="F82" s="265" t="str">
        <x:v>Editable load only; exercise choices live in Exercise Library</x:v>
      </x:c>
      <x:c r="G82" s="80"/>
      <x:c r="H82" s="80"/>
      <x:c r="I82" s="80"/>
      <x:c r="J82" s="80"/>
    </x:row>
    <x:row r="83">
      <x:c r="A83" s="261" t="str">
        <x:v>Seated Dumbbell Shoulder Press</x:v>
      </x:c>
      <x:c r="B83" s="262" t="str">
        <x:v>Shoulder</x:v>
      </x:c>
      <x:c r="C83" s="262" t="str">
        <x:v>load × reps</x:v>
      </x:c>
      <x:c r="D83" s="263" t="n">
        <x:v>0</x:v>
      </x:c>
      <x:c r="E83" s="264" t="str">
        <x:v>Uses 1RM % when available, otherwise enter before first use</x:v>
      </x:c>
      <x:c r="F83" s="265" t="str">
        <x:v>Editable load only; exercise choices live in Exercise Library</x:v>
      </x:c>
      <x:c r="G83" s="80"/>
      <x:c r="H83" s="80"/>
      <x:c r="I83" s="80"/>
      <x:c r="J83" s="80"/>
    </x:row>
    <x:row r="84">
      <x:c r="A84" s="261" t="str">
        <x:v>Serratus Wall Slide</x:v>
      </x:c>
      <x:c r="B84" s="262" t="str">
        <x:v>Shoulder</x:v>
      </x:c>
      <x:c r="C84" s="262" t="str">
        <x:v>reps</x:v>
      </x:c>
      <x:c r="D84" s="263" t="str"/>
      <x:c r="E84" s="264" t="str">
        <x:v>Not load-autoregulated</x:v>
      </x:c>
      <x:c r="F84" s="265" t="str">
        <x:v>Editable load only; exercise choices live in Exercise Library</x:v>
      </x:c>
      <x:c r="G84" s="80"/>
      <x:c r="H84" s="80"/>
      <x:c r="I84" s="80"/>
      <x:c r="J84" s="80"/>
    </x:row>
    <x:row r="85">
      <x:c r="A85" s="261" t="str">
        <x:v>Shoulder CARs</x:v>
      </x:c>
      <x:c r="B85" s="262" t="str">
        <x:v>Shoulder</x:v>
      </x:c>
      <x:c r="C85" s="262" t="str">
        <x:v>reps</x:v>
      </x:c>
      <x:c r="D85" s="263" t="str"/>
      <x:c r="E85" s="264" t="str">
        <x:v>Not load-autoregulated</x:v>
      </x:c>
      <x:c r="F85" s="265" t="str">
        <x:v>Editable load only; exercise choices live in Exercise Library</x:v>
      </x:c>
      <x:c r="G85" s="80"/>
      <x:c r="H85" s="80"/>
      <x:c r="I85" s="80"/>
      <x:c r="J85" s="80"/>
    </x:row>
    <x:row r="86">
      <x:c r="A86" s="261" t="str">
        <x:v>Single-Leg Romanian Deadlift</x:v>
      </x:c>
      <x:c r="B86" s="262" t="str">
        <x:v>Hinge / knee flexion</x:v>
      </x:c>
      <x:c r="C86" s="262" t="str">
        <x:v>load × reps</x:v>
      </x:c>
      <x:c r="D86" s="263" t="n">
        <x:v>0</x:v>
      </x:c>
      <x:c r="E86" s="264" t="str">
        <x:v>Uses 1RM % when available, otherwise enter before first use</x:v>
      </x:c>
      <x:c r="F86" s="265" t="str">
        <x:v>Editable load only; exercise choices live in Exercise Library</x:v>
      </x:c>
      <x:c r="G86" s="80"/>
      <x:c r="H86" s="80"/>
      <x:c r="I86" s="80"/>
      <x:c r="J86" s="80"/>
    </x:row>
    <x:row r="87">
      <x:c r="A87" s="261" t="str">
        <x:v>SkiErg Power Intervals</x:v>
      </x:c>
      <x:c r="B87" s="262" t="str">
        <x:v>Upper-body conditioning</x:v>
      </x:c>
      <x:c r="C87" s="262" t="str">
        <x:v>watts / meters</x:v>
      </x:c>
      <x:c r="D87" s="263" t="str"/>
      <x:c r="E87" s="264" t="str">
        <x:v>Not load-autoregulated</x:v>
      </x:c>
      <x:c r="F87" s="265" t="str">
        <x:v>Editable load only; exercise choices live in Exercise Library</x:v>
      </x:c>
      <x:c r="G87" s="80"/>
      <x:c r="H87" s="80"/>
      <x:c r="I87" s="80"/>
      <x:c r="J87" s="80"/>
    </x:row>
    <x:row r="88">
      <x:c r="A88" s="261" t="str">
        <x:v>Sled Push</x:v>
      </x:c>
      <x:c r="B88" s="262" t="str">
        <x:v>Loaded locomotion</x:v>
      </x:c>
      <x:c r="C88" s="262" t="str">
        <x:v>load + meters</x:v>
      </x:c>
      <x:c r="D88" s="263" t="str"/>
      <x:c r="E88" s="264" t="str">
        <x:v>Not load-autoregulated</x:v>
      </x:c>
      <x:c r="F88" s="265" t="str">
        <x:v>Editable load only; exercise choices live in Exercise Library</x:v>
      </x:c>
      <x:c r="G88" s="80"/>
      <x:c r="H88" s="80"/>
      <x:c r="I88" s="80"/>
      <x:c r="J88" s="80"/>
    </x:row>
    <x:row r="89">
      <x:c r="A89" s="261" t="str">
        <x:v>Speed Bench Press</x:v>
      </x:c>
      <x:c r="B89" s="262" t="str">
        <x:v>Power push</x:v>
      </x:c>
      <x:c r="C89" s="262" t="str">
        <x:v>load × reps</x:v>
      </x:c>
      <x:c r="D89" s="263" t="n">
        <x:v>0</x:v>
      </x:c>
      <x:c r="E89" s="264" t="str">
        <x:v>Uses 1RM % when available, otherwise enter before first use</x:v>
      </x:c>
      <x:c r="F89" s="265" t="str">
        <x:v>Editable load only; exercise choices live in Exercise Library</x:v>
      </x:c>
      <x:c r="G89" s="80"/>
      <x:c r="H89" s="80"/>
      <x:c r="I89" s="80"/>
      <x:c r="J89" s="80"/>
    </x:row>
    <x:row r="90">
      <x:c r="A90" s="261" t="str">
        <x:v>Standing Calf Raise</x:v>
      </x:c>
      <x:c r="B90" s="262" t="str">
        <x:v>Ankle plantarflexion</x:v>
      </x:c>
      <x:c r="C90" s="262" t="str">
        <x:v>load × reps</x:v>
      </x:c>
      <x:c r="D90" s="263" t="n">
        <x:v>0</x:v>
      </x:c>
      <x:c r="E90" s="264" t="str">
        <x:v>Uses 1RM % when available, otherwise enter before first use</x:v>
      </x:c>
      <x:c r="F90" s="265" t="str">
        <x:v>Editable load only; exercise choices live in Exercise Library</x:v>
      </x:c>
      <x:c r="G90" s="80"/>
      <x:c r="H90" s="80"/>
      <x:c r="I90" s="80"/>
      <x:c r="J90" s="80"/>
    </x:row>
    <x:row r="91">
      <x:c r="A91" s="261" t="str">
        <x:v>Straight-Arm Pulldown</x:v>
      </x:c>
      <x:c r="B91" s="262" t="str">
        <x:v>Pull</x:v>
      </x:c>
      <x:c r="C91" s="262" t="str">
        <x:v>load × reps</x:v>
      </x:c>
      <x:c r="D91" s="263" t="n">
        <x:v>0</x:v>
      </x:c>
      <x:c r="E91" s="264" t="str">
        <x:v>Uses 1RM % when available, otherwise enter before first use</x:v>
      </x:c>
      <x:c r="F91" s="265" t="str">
        <x:v>Editable load only; exercise choices live in Exercise Library</x:v>
      </x:c>
      <x:c r="G91" s="80"/>
      <x:c r="H91" s="80"/>
      <x:c r="I91" s="80"/>
      <x:c r="J91" s="80"/>
    </x:row>
    <x:row r="92">
      <x:c r="A92" s="261" t="str">
        <x:v>Triceps Pressdown</x:v>
      </x:c>
      <x:c r="B92" s="262" t="str">
        <x:v>Elbow extension</x:v>
      </x:c>
      <x:c r="C92" s="262" t="str">
        <x:v>load × reps</x:v>
      </x:c>
      <x:c r="D92" s="263" t="n">
        <x:v>0</x:v>
      </x:c>
      <x:c r="E92" s="264" t="str">
        <x:v>Uses 1RM % when available, otherwise enter before first use</x:v>
      </x:c>
      <x:c r="F92" s="265" t="str">
        <x:v>Editable load only; exercise choices live in Exercise Library</x:v>
      </x:c>
      <x:c r="G92" s="80"/>
      <x:c r="H92" s="80"/>
      <x:c r="I92" s="80"/>
      <x:c r="J92" s="80"/>
    </x:row>
    <x:row r="93">
      <x:c r="A93" s="261" t="str">
        <x:v>Walking Lunge</x:v>
      </x:c>
      <x:c r="B93" s="262" t="str">
        <x:v>Squat / knee extension</x:v>
      </x:c>
      <x:c r="C93" s="262" t="str">
        <x:v>load × reps</x:v>
      </x:c>
      <x:c r="D93" s="263" t="n">
        <x:v>0</x:v>
      </x:c>
      <x:c r="E93" s="264" t="str">
        <x:v>Uses 1RM % when available, otherwise enter before first use</x:v>
      </x:c>
      <x:c r="F93" s="265" t="str">
        <x:v>Editable load only; exercise choices live in Exercise Library</x:v>
      </x:c>
      <x:c r="G93" s="80"/>
      <x:c r="H93" s="80"/>
      <x:c r="I93" s="80"/>
      <x:c r="J93" s="80"/>
    </x:row>
    <x:row r="94">
      <x:c r="A94" s="266" t="str">
        <x:v>Weighted Pull-Up</x:v>
      </x:c>
      <x:c r="B94" s="267" t="str">
        <x:v>Vertical pull</x:v>
      </x:c>
      <x:c r="C94" s="267" t="str">
        <x:v>load × reps</x:v>
      </x:c>
      <x:c r="D94" s="268" t="n">
        <x:v>0</x:v>
      </x:c>
      <x:c r="E94" s="269" t="str">
        <x:v>Uses 1RM % when available, otherwise enter before first use</x:v>
      </x:c>
      <x:c r="F94" s="270" t="str">
        <x:v>Editable load only; exercise choices live in Exercise Library</x:v>
      </x:c>
      <x:c r="G94" s="80"/>
      <x:c r="H94" s="80"/>
      <x:c r="I94" s="80"/>
      <x:c r="J94" s="80"/>
    </x:row>
  </x:sheetData>
  <x:mergeCells>
    <x:mergeCell ref="A1:F1"/>
    <x:mergeCell ref="A2:F2"/>
    <x:mergeCell ref="A16:F16"/>
  </x:mergeCells>
  <x:dataValidations count="3">
    <x:dataValidation type="list" sqref="B4">
      <x:formula1>"lb,kg"</x:formula1>
    </x:dataValidation>
    <x:dataValidation type="whole" operator="between" sqref="B12:B13">
      <x:formula1>40</x:formula1>
      <x:formula2>100</x:formula2>
    </x:dataValidation>
    <x:dataValidation type="whole" operator="between" sqref="B14">
      <x:formula1>1</x:formula1>
      <x:formula2>10</x:formula2>
    </x:dataValidation>
  </x:dataValidations>
  <x:pageMargins left="0.7" right="0.7" top="0.75" bottom="0.75" header="0.3" footer="0.3"/>
  <x:tableParts count="1">
    <x:tablePart xmlns:r="http://schemas.openxmlformats.org/officeDocument/2006/relationships" r:id="Rb52a6ad96cb84f6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20" hidden="0" customWidth="1"/>
    <x:col min="3" max="3" width="24" hidden="0" customWidth="1"/>
    <x:col min="4" max="4" width="34" hidden="0" customWidth="1"/>
    <x:col min="5" max="5" width="22" hidden="0" customWidth="1"/>
    <x:col min="6" max="6" width="22" hidden="0" customWidth="1"/>
    <x:col min="7" max="7" width="22" hidden="0" customWidth="1"/>
    <x:col min="8" max="8" width="22" hidden="0" customWidth="1"/>
  </x:cols>
  <x:sheetData>
    <x:row r="1" ht="34" customHeight="1">
      <x:c r="A1" s="78" t="str">
        <x:v>12-Week Program Architecture</x:v>
      </x:c>
      <x:c r="B1" s="78" t="str">
        <x:v>12-Week Program Architecture</x:v>
      </x:c>
      <x:c r="C1" s="78" t="str">
        <x:v>12-Week Program Architecture</x:v>
      </x:c>
      <x:c r="D1" s="78" t="str">
        <x:v>12-Week Program Architecture</x:v>
      </x:c>
      <x:c r="E1" s="78" t="str">
        <x:v>12-Week Program Architecture</x:v>
      </x:c>
      <x:c r="F1" s="78" t="str">
        <x:v>12-Week Program Architecture</x:v>
      </x:c>
      <x:c r="G1" s="78" t="str">
        <x:v>12-Week Program Architecture</x:v>
      </x:c>
      <x:c r="H1" s="78" t="str">
        <x:v>12-Week Program Architecture</x:v>
      </x:c>
    </x:row>
    <x:row r="2" ht="28" customHeight="1">
      <x:c r="A2" s="79" t="str">
        <x:v>Three loading blocks, two planned deloads, one taper/performance week, plus daily readiness adjustment.</x:v>
      </x:c>
      <x:c r="B2" s="79" t="str">
        <x:v>Three loading blocks, two planned deloads, one taper/performance week, plus daily readiness adjustment.</x:v>
      </x:c>
      <x:c r="C2" s="79" t="str">
        <x:v>Three loading blocks, two planned deloads, one taper/performance week, plus daily readiness adjustment.</x:v>
      </x:c>
      <x:c r="D2" s="79" t="str">
        <x:v>Three loading blocks, two planned deloads, one taper/performance week, plus daily readiness adjustment.</x:v>
      </x:c>
      <x:c r="E2" s="79" t="str">
        <x:v>Three loading blocks, two planned deloads, one taper/performance week, plus daily readiness adjustment.</x:v>
      </x:c>
      <x:c r="F2" s="79" t="str">
        <x:v>Three loading blocks, two planned deloads, one taper/performance week, plus daily readiness adjustment.</x:v>
      </x:c>
      <x:c r="G2" s="79" t="str">
        <x:v>Three loading blocks, two planned deloads, one taper/performance week, plus daily readiness adjustment.</x:v>
      </x:c>
      <x:c r="H2" s="79" t="str">
        <x:v>Three loading blocks, two planned deloads, one taper/performance week, plus daily readiness adjustment.</x:v>
      </x:c>
    </x:row>
    <x:row r="3">
      <x:c r="A3" s="80"/>
      <x:c r="B3" s="80"/>
      <x:c r="C3" s="80"/>
      <x:c r="D3" s="80"/>
      <x:c r="E3" s="80"/>
      <x:c r="F3" s="80"/>
      <x:c r="G3" s="80"/>
      <x:c r="H3" s="80"/>
    </x:row>
    <x:row r="4" ht="30" customHeight="1">
      <x:c r="A4" s="95" t="str">
        <x:v>Week</x:v>
      </x:c>
      <x:c r="B4" s="96" t="str">
        <x:v>Block</x:v>
      </x:c>
      <x:c r="C4" s="96" t="str">
        <x:v>Split</x:v>
      </x:c>
      <x:c r="D4" s="96" t="str">
        <x:v>Objective</x:v>
      </x:c>
      <x:c r="E4" s="96" t="str">
        <x:v>Target effort</x:v>
      </x:c>
      <x:c r="F4" s="96" t="str">
        <x:v>Volume pattern</x:v>
      </x:c>
      <x:c r="G4" s="96" t="str">
        <x:v>Intensity methods</x:v>
      </x:c>
      <x:c r="H4" s="97" t="str">
        <x:v>Load handling</x:v>
      </x:c>
    </x:row>
    <x:row r="5">
      <x:c r="A5" s="271" t="n">
        <x:v>1</x:v>
      </x:c>
      <x:c r="B5" s="272" t="str">
        <x:v>Accumulation</x:v>
      </x:c>
      <x:c r="C5" s="272" t="str">
        <x:v>Pull / Legs / Push × 2</x:v>
      </x:c>
      <x:c r="D5" s="272" t="str">
        <x:v>Build volume, technique, and work capacity</x:v>
      </x:c>
      <x:c r="E5" s="272" t="str">
        <x:v>3 RIR</x:v>
      </x:c>
      <x:c r="F5" s="272" t="str">
        <x:v>Base sets</x:v>
      </x:c>
      <x:c r="G5" s="272" t="str">
        <x:v>Supersets only</x:v>
      </x:c>
      <x:c r="H5" s="273" t="str">
        <x:v>Autoregulated</x:v>
      </x:c>
    </x:row>
    <x:row r="6">
      <x:c r="A6" s="274" t="n">
        <x:v>2</x:v>
      </x:c>
      <x:c r="B6" s="275" t="str">
        <x:v>Accumulation</x:v>
      </x:c>
      <x:c r="C6" s="275" t="str">
        <x:v>Pull / Legs / Push × 2</x:v>
      </x:c>
      <x:c r="D6" s="275" t="str">
        <x:v>Build volume, technique, and work capacity</x:v>
      </x:c>
      <x:c r="E6" s="275" t="str">
        <x:v>2 RIR</x:v>
      </x:c>
      <x:c r="F6" s="275" t="str">
        <x:v>Highest set volume</x:v>
      </x:c>
      <x:c r="G6" s="275" t="str">
        <x:v>Optional final-set methods</x:v>
      </x:c>
      <x:c r="H6" s="276" t="str">
        <x:v>Autoregulated</x:v>
      </x:c>
    </x:row>
    <x:row r="7">
      <x:c r="A7" s="274" t="n">
        <x:v>3</x:v>
      </x:c>
      <x:c r="B7" s="275" t="str">
        <x:v>Accumulation</x:v>
      </x:c>
      <x:c r="C7" s="275" t="str">
        <x:v>Pull / Legs / Push × 2</x:v>
      </x:c>
      <x:c r="D7" s="275" t="str">
        <x:v>Build volume, technique, and work capacity</x:v>
      </x:c>
      <x:c r="E7" s="275" t="str">
        <x:v>1 RIR</x:v>
      </x:c>
      <x:c r="F7" s="275" t="str">
        <x:v>Base sets + higher effort</x:v>
      </x:c>
      <x:c r="G7" s="275" t="str">
        <x:v>Programmed final-set methods</x:v>
      </x:c>
      <x:c r="H7" s="276" t="str">
        <x:v>Autoregulated</x:v>
      </x:c>
    </x:row>
    <x:row r="8">
      <x:c r="A8" s="274" t="n">
        <x:v>4</x:v>
      </x:c>
      <x:c r="B8" s="275" t="str">
        <x:v>Deload 1</x:v>
      </x:c>
      <x:c r="C8" s="275" t="str">
        <x:v>Pull-first PPL deload</x:v>
      </x:c>
      <x:c r="D8" s="275" t="str">
        <x:v>Reduce fatigue while retaining movement skill</x:v>
      </x:c>
      <x:c r="E8" s="275" t="str">
        <x:v>4 RIR</x:v>
      </x:c>
      <x:c r="F8" s="275" t="str">
        <x:v>~50–60% of base</x:v>
      </x:c>
      <x:c r="G8" s="275" t="str">
        <x:v>None</x:v>
      </x:c>
      <x:c r="H8" s="276" t="str">
        <x:v>~10% down</x:v>
      </x:c>
    </x:row>
    <x:row r="9">
      <x:c r="A9" s="274" t="n">
        <x:v>5</x:v>
      </x:c>
      <x:c r="B9" s="275" t="str">
        <x:v>Intensification</x:v>
      </x:c>
      <x:c r="C9" s="275" t="str">
        <x:v>Lower / Upper / Legs / Push / Pull / Athletic</x:v>
      </x:c>
      <x:c r="D9" s="275" t="str">
        <x:v>Raise force production while retaining hypertrophy volume</x:v>
      </x:c>
      <x:c r="E9" s="275" t="str">
        <x:v>3 RIR</x:v>
      </x:c>
      <x:c r="F9" s="275" t="str">
        <x:v>Base sets</x:v>
      </x:c>
      <x:c r="G9" s="275" t="str">
        <x:v>Supersets only</x:v>
      </x:c>
      <x:c r="H9" s="276" t="str">
        <x:v>Autoregulated</x:v>
      </x:c>
    </x:row>
    <x:row r="10">
      <x:c r="A10" s="274" t="n">
        <x:v>6</x:v>
      </x:c>
      <x:c r="B10" s="275" t="str">
        <x:v>Intensification</x:v>
      </x:c>
      <x:c r="C10" s="275" t="str">
        <x:v>Lower / Upper / Legs / Push / Pull / Athletic</x:v>
      </x:c>
      <x:c r="D10" s="275" t="str">
        <x:v>Raise force production while retaining hypertrophy volume</x:v>
      </x:c>
      <x:c r="E10" s="275" t="str">
        <x:v>2 RIR</x:v>
      </x:c>
      <x:c r="F10" s="275" t="str">
        <x:v>Highest set volume</x:v>
      </x:c>
      <x:c r="G10" s="275" t="str">
        <x:v>Optional final-set methods</x:v>
      </x:c>
      <x:c r="H10" s="276" t="str">
        <x:v>Autoregulated</x:v>
      </x:c>
    </x:row>
    <x:row r="11">
      <x:c r="A11" s="274" t="n">
        <x:v>7</x:v>
      </x:c>
      <x:c r="B11" s="275" t="str">
        <x:v>Intensification</x:v>
      </x:c>
      <x:c r="C11" s="275" t="str">
        <x:v>Lower / Upper / Legs / Push / Pull / Athletic</x:v>
      </x:c>
      <x:c r="D11" s="275" t="str">
        <x:v>Raise force production while retaining hypertrophy volume</x:v>
      </x:c>
      <x:c r="E11" s="275" t="str">
        <x:v>1 RIR</x:v>
      </x:c>
      <x:c r="F11" s="275" t="str">
        <x:v>Base sets + higher effort</x:v>
      </x:c>
      <x:c r="G11" s="275" t="str">
        <x:v>Programmed final-set methods</x:v>
      </x:c>
      <x:c r="H11" s="276" t="str">
        <x:v>Autoregulated</x:v>
      </x:c>
    </x:row>
    <x:row r="12">
      <x:c r="A12" s="274" t="n">
        <x:v>8</x:v>
      </x:c>
      <x:c r="B12" s="275" t="str">
        <x:v>Deload 2</x:v>
      </x:c>
      <x:c r="C12" s="275" t="str">
        <x:v>Lower-first technique deload</x:v>
      </x:c>
      <x:c r="D12" s="275" t="str">
        <x:v>Resensitize and prepare for realization</x:v>
      </x:c>
      <x:c r="E12" s="275" t="str">
        <x:v>4 RIR</x:v>
      </x:c>
      <x:c r="F12" s="275" t="str">
        <x:v>~50–60% of base</x:v>
      </x:c>
      <x:c r="G12" s="275" t="str">
        <x:v>None</x:v>
      </x:c>
      <x:c r="H12" s="276" t="str">
        <x:v>~10% down</x:v>
      </x:c>
    </x:row>
    <x:row r="13">
      <x:c r="A13" s="274" t="n">
        <x:v>9</x:v>
      </x:c>
      <x:c r="B13" s="275" t="str">
        <x:v>Realization</x:v>
      </x:c>
      <x:c r="C13" s="275" t="str">
        <x:v>Lower-first powerbuilding + athletic</x:v>
      </x:c>
      <x:c r="D13" s="275" t="str">
        <x:v>Express strength and power while specializing hypertrophy</x:v>
      </x:c>
      <x:c r="E13" s="275" t="str">
        <x:v>3 RIR</x:v>
      </x:c>
      <x:c r="F13" s="275" t="str">
        <x:v>Base sets</x:v>
      </x:c>
      <x:c r="G13" s="275" t="str">
        <x:v>Supersets only</x:v>
      </x:c>
      <x:c r="H13" s="276" t="str">
        <x:v>Autoregulated</x:v>
      </x:c>
    </x:row>
    <x:row r="14">
      <x:c r="A14" s="274" t="n">
        <x:v>10</x:v>
      </x:c>
      <x:c r="B14" s="275" t="str">
        <x:v>Realization</x:v>
      </x:c>
      <x:c r="C14" s="275" t="str">
        <x:v>Lower-first powerbuilding + athletic</x:v>
      </x:c>
      <x:c r="D14" s="275" t="str">
        <x:v>Express strength and power while specializing hypertrophy</x:v>
      </x:c>
      <x:c r="E14" s="275" t="str">
        <x:v>2 RIR</x:v>
      </x:c>
      <x:c r="F14" s="275" t="str">
        <x:v>Highest set volume</x:v>
      </x:c>
      <x:c r="G14" s="275" t="str">
        <x:v>Optional final-set methods</x:v>
      </x:c>
      <x:c r="H14" s="276" t="str">
        <x:v>Autoregulated</x:v>
      </x:c>
    </x:row>
    <x:row r="15">
      <x:c r="A15" s="274" t="n">
        <x:v>11</x:v>
      </x:c>
      <x:c r="B15" s="275" t="str">
        <x:v>Realization</x:v>
      </x:c>
      <x:c r="C15" s="275" t="str">
        <x:v>Lower-first powerbuilding + athletic</x:v>
      </x:c>
      <x:c r="D15" s="275" t="str">
        <x:v>Express strength and power while specializing hypertrophy</x:v>
      </x:c>
      <x:c r="E15" s="275" t="str">
        <x:v>1 RIR</x:v>
      </x:c>
      <x:c r="F15" s="275" t="str">
        <x:v>Base sets + higher effort</x:v>
      </x:c>
      <x:c r="G15" s="275" t="str">
        <x:v>Programmed final-set methods</x:v>
      </x:c>
      <x:c r="H15" s="276" t="str">
        <x:v>Autoregulated</x:v>
      </x:c>
    </x:row>
    <x:row r="16">
      <x:c r="A16" s="277" t="n">
        <x:v>12</x:v>
      </x:c>
      <x:c r="B16" s="278" t="str">
        <x:v>Taper + Performance</x:v>
      </x:c>
      <x:c r="C16" s="278" t="str">
        <x:v>Lower-first performance + recovery</x:v>
      </x:c>
      <x:c r="D16" s="278" t="str">
        <x:v>Low-fatigue 3–5RM checks and athletic retests</x:v>
      </x:c>
      <x:c r="E16" s="278" t="str">
        <x:v>4 RIR, main lifts 2</x:v>
      </x:c>
      <x:c r="F16" s="278" t="str">
        <x:v>Low</x:v>
      </x:c>
      <x:c r="G16" s="278" t="str">
        <x:v>None</x:v>
      </x:c>
      <x:c r="H16" s="279" t="str">
        <x:v>Main checks +3%, accessories −5%</x:v>
      </x:c>
    </x:row>
    <x:row r="17">
      <x:c r="A17" s="80"/>
      <x:c r="B17" s="80"/>
      <x:c r="C17" s="80"/>
      <x:c r="D17" s="80"/>
      <x:c r="E17" s="80"/>
      <x:c r="F17" s="80"/>
      <x:c r="G17" s="80"/>
      <x:c r="H17" s="80"/>
    </x:row>
    <x:row r="18" ht="24" customHeight="1">
      <x:c r="A18" s="94" t="str">
        <x:v>Split rotation by block</x:v>
      </x:c>
      <x:c r="B18" s="94" t="str">
        <x:v>Split rotation by block</x:v>
      </x:c>
      <x:c r="C18" s="94" t="str">
        <x:v>Split rotation by block</x:v>
      </x:c>
      <x:c r="D18" s="94" t="str">
        <x:v>Split rotation by block</x:v>
      </x:c>
      <x:c r="E18" s="94" t="str">
        <x:v>Split rotation by block</x:v>
      </x:c>
      <x:c r="F18" s="94" t="str">
        <x:v>Split rotation by block</x:v>
      </x:c>
      <x:c r="G18" s="94" t="str">
        <x:v>Split rotation by block</x:v>
      </x:c>
      <x:c r="H18" s="94" t="str">
        <x:v>Split rotation by block</x:v>
      </x:c>
    </x:row>
    <x:row r="19" ht="30" customHeight="1">
      <x:c r="A19" s="95" t="str">
        <x:v>Block</x:v>
      </x:c>
      <x:c r="B19" s="96" t="str">
        <x:v>Day 1</x:v>
      </x:c>
      <x:c r="C19" s="96" t="str">
        <x:v>Day 2</x:v>
      </x:c>
      <x:c r="D19" s="96" t="str">
        <x:v>Day 3</x:v>
      </x:c>
      <x:c r="E19" s="96" t="str">
        <x:v>Day 4</x:v>
      </x:c>
      <x:c r="F19" s="96" t="str">
        <x:v>Day 5</x:v>
      </x:c>
      <x:c r="G19" s="96" t="str">
        <x:v>Day 6</x:v>
      </x:c>
      <x:c r="H19" s="97" t="str">
        <x:v>Why it changes</x:v>
      </x:c>
    </x:row>
    <x:row r="20">
      <x:c r="A20" s="98" t="str">
        <x:v>Weeks 1–4</x:v>
      </x:c>
      <x:c r="B20" s="84" t="str">
        <x:v>Pull A</x:v>
      </x:c>
      <x:c r="C20" s="84" t="str">
        <x:v>Legs A</x:v>
      </x:c>
      <x:c r="D20" s="84" t="str">
        <x:v>Push A</x:v>
      </x:c>
      <x:c r="E20" s="84" t="str">
        <x:v>Pull B</x:v>
      </x:c>
      <x:c r="F20" s="84" t="str">
        <x:v>Legs B + Athletic</x:v>
      </x:c>
      <x:c r="G20" s="84" t="str">
        <x:v>Push B</x:v>
      </x:c>
      <x:c r="H20" s="85" t="str">
        <x:v>Starts with pull while preserving PPL frequency</x:v>
      </x:c>
    </x:row>
    <x:row r="21">
      <x:c r="A21" s="99" t="str">
        <x:v>Weeks 5–8</x:v>
      </x:c>
      <x:c r="B21" s="88" t="str">
        <x:v>Lower Strength</x:v>
      </x:c>
      <x:c r="C21" s="88" t="str">
        <x:v>Upper Strength</x:v>
      </x:c>
      <x:c r="D21" s="88" t="str">
        <x:v>Legs Hypertrophy</x:v>
      </x:c>
      <x:c r="E21" s="88" t="str">
        <x:v>Push Hypertrophy</x:v>
      </x:c>
      <x:c r="F21" s="88" t="str">
        <x:v>Pull Hypertrophy</x:v>
      </x:c>
      <x:c r="G21" s="88" t="str">
        <x:v>Athletic Full Body</x:v>
      </x:c>
      <x:c r="H21" s="89" t="str">
        <x:v>Separates heavy work from targeted volume</x:v>
      </x:c>
    </x:row>
    <x:row r="22">
      <x:c r="A22" s="100" t="str">
        <x:v>Weeks 9–12</x:v>
      </x:c>
      <x:c r="B22" s="92" t="str">
        <x:v>Lower Power + Squat</x:v>
      </x:c>
      <x:c r="C22" s="92" t="str">
        <x:v>Back + Triceps</x:v>
      </x:c>
      <x:c r="D22" s="92" t="str">
        <x:v>Upper Power + Bench</x:v>
      </x:c>
      <x:c r="E22" s="92" t="str">
        <x:v>Posterior Strength</x:v>
      </x:c>
      <x:c r="F22" s="92" t="str">
        <x:v>Chest + Biceps</x:v>
      </x:c>
      <x:c r="G22" s="92" t="str">
        <x:v>Athletic Full Body</x:v>
      </x:c>
      <x:c r="H22" s="93" t="str">
        <x:v>Flips direct arm pairings outside true push and pull days</x:v>
      </x:c>
    </x:row>
  </x:sheetData>
  <x:mergeCells>
    <x:mergeCell ref="A1:H1"/>
    <x:mergeCell ref="A2:H2"/>
    <x:mergeCell ref="A18:H18"/>
  </x:mergeCells>
  <x:conditionalFormatting sqref="A5:H16">
    <x:cfRule type="expression" dxfId="0" priority="1">
      <x:formula>OR($A5=4,$A5=8,$A5=12)</x:formula>
    </x:cfRule>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7" hidden="0" customWidth="1"/>
    <x:col min="2" max="2" width="28" hidden="0" customWidth="1"/>
    <x:col min="3" max="3" width="13" hidden="0" customWidth="1"/>
    <x:col min="4" max="4" width="36" hidden="0" customWidth="1"/>
    <x:col min="5" max="5" width="11" hidden="0" customWidth="1"/>
    <x:col min="6" max="6" width="12" hidden="0" customWidth="1"/>
    <x:col min="7" max="7" width="8" hidden="0" customWidth="1"/>
    <x:col min="8" max="8" width="12" hidden="0" customWidth="1"/>
    <x:col min="9" max="9" width="18" hidden="0" customWidth="1"/>
    <x:col min="10" max="10" width="18" hidden="0" customWidth="1"/>
    <x:col min="11" max="11" width="16"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9" max="19" width="12" hidden="0" customWidth="1"/>
    <x:col min="20" max="20" width="12" hidden="0" customWidth="1"/>
    <x:col min="21" max="21" width="12" hidden="0" customWidth="1"/>
    <x:col min="22" max="22" width="12" hidden="0" customWidth="1"/>
  </x:cols>
  <x:sheetData>
    <x:row r="1" ht="34" customHeight="1">
      <x:c r="A1" s="78" t="str">
        <x:v>Workout Dashboard</x:v>
      </x:c>
      <x:c r="B1" s="78" t="str">
        <x:v>Workout Dashboard</x:v>
      </x:c>
      <x:c r="C1" s="78" t="str">
        <x:v>Workout Dashboard</x:v>
      </x:c>
      <x:c r="D1" s="78" t="str">
        <x:v>Workout Dashboard</x:v>
      </x:c>
      <x:c r="E1" s="78" t="str">
        <x:v>Workout Dashboard</x:v>
      </x:c>
      <x:c r="F1" s="78" t="str">
        <x:v>Workout Dashboard</x:v>
      </x:c>
      <x:c r="G1" s="78" t="str">
        <x:v>Workout Dashboard</x:v>
      </x:c>
      <x:c r="H1" s="78" t="str">
        <x:v>Workout Dashboard</x:v>
      </x:c>
      <x:c r="I1" s="78" t="str">
        <x:v>Workout Dashboard</x:v>
      </x:c>
      <x:c r="J1" s="78" t="str">
        <x:v>Workout Dashboard</x:v>
      </x:c>
      <x:c r="K1" s="78" t="str">
        <x:v>Workout Dashboard</x:v>
      </x:c>
      <x:c r="L1" s="78" t="str">
        <x:v>Workout Dashboard</x:v>
      </x:c>
      <x:c r="M1" s="78" t="str">
        <x:v>Workout Dashboard</x:v>
      </x:c>
      <x:c r="N1" s="78" t="str">
        <x:v>Workout Dashboard</x:v>
      </x:c>
      <x:c r="O1" s="78" t="str">
        <x:v>Workout Dashboard</x:v>
      </x:c>
      <x:c r="P1" s="78" t="str">
        <x:v>Workout Dashboard</x:v>
      </x:c>
      <x:c r="Q1" s="78" t="str">
        <x:v>Workout Dashboard</x:v>
      </x:c>
      <x:c r="R1" s="80"/>
      <x:c r="S1" s="80"/>
      <x:c r="T1" s="80"/>
      <x:c r="U1" s="80"/>
      <x:c r="V1" s="80"/>
    </x:row>
    <x:row r="2" ht="28" customHeight="1">
      <x:c r="A2" s="79" t="str">
        <x:v>Choose Week and Day in blue cells. The workout, readiness action, and weekly muscle-volume chart update automatically.</x:v>
      </x:c>
      <x:c r="B2" s="79" t="str">
        <x:v>Choose Week and Day in blue cells. The workout, readiness action, and weekly muscle-volume chart update automatically.</x:v>
      </x:c>
      <x:c r="C2" s="79" t="str">
        <x:v>Choose Week and Day in blue cells. The workout, readiness action, and weekly muscle-volume chart update automatically.</x:v>
      </x:c>
      <x:c r="D2" s="79" t="str">
        <x:v>Choose Week and Day in blue cells. The workout, readiness action, and weekly muscle-volume chart update automatically.</x:v>
      </x:c>
      <x:c r="E2" s="79" t="str">
        <x:v>Choose Week and Day in blue cells. The workout, readiness action, and weekly muscle-volume chart update automatically.</x:v>
      </x:c>
      <x:c r="F2" s="79" t="str">
        <x:v>Choose Week and Day in blue cells. The workout, readiness action, and weekly muscle-volume chart update automatically.</x:v>
      </x:c>
      <x:c r="G2" s="79" t="str">
        <x:v>Choose Week and Day in blue cells. The workout, readiness action, and weekly muscle-volume chart update automatically.</x:v>
      </x:c>
      <x:c r="H2" s="79" t="str">
        <x:v>Choose Week and Day in blue cells. The workout, readiness action, and weekly muscle-volume chart update automatically.</x:v>
      </x:c>
      <x:c r="I2" s="79" t="str">
        <x:v>Choose Week and Day in blue cells. The workout, readiness action, and weekly muscle-volume chart update automatically.</x:v>
      </x:c>
      <x:c r="J2" s="79" t="str">
        <x:v>Choose Week and Day in blue cells. The workout, readiness action, and weekly muscle-volume chart update automatically.</x:v>
      </x:c>
      <x:c r="K2" s="79" t="str">
        <x:v>Choose Week and Day in blue cells. The workout, readiness action, and weekly muscle-volume chart update automatically.</x:v>
      </x:c>
      <x:c r="L2" s="79" t="str">
        <x:v>Choose Week and Day in blue cells. The workout, readiness action, and weekly muscle-volume chart update automatically.</x:v>
      </x:c>
      <x:c r="M2" s="79" t="str">
        <x:v>Choose Week and Day in blue cells. The workout, readiness action, and weekly muscle-volume chart update automatically.</x:v>
      </x:c>
      <x:c r="N2" s="79" t="str">
        <x:v>Choose Week and Day in blue cells. The workout, readiness action, and weekly muscle-volume chart update automatically.</x:v>
      </x:c>
      <x:c r="O2" s="79" t="str">
        <x:v>Choose Week and Day in blue cells. The workout, readiness action, and weekly muscle-volume chart update automatically.</x:v>
      </x:c>
      <x:c r="P2" s="79" t="str">
        <x:v>Choose Week and Day in blue cells. The workout, readiness action, and weekly muscle-volume chart update automatically.</x:v>
      </x:c>
      <x:c r="Q2" s="79" t="str">
        <x:v>Choose Week and Day in blue cells. The workout, readiness action, and weekly muscle-volume chart update automatically.</x:v>
      </x:c>
      <x:c r="R2" s="80"/>
      <x:c r="S2" s="80"/>
      <x:c r="T2" s="80"/>
      <x:c r="U2" s="80"/>
      <x:c r="V2" s="80"/>
    </x:row>
    <x:row r="3" ht="30" customHeight="1">
      <x:c r="A3" s="280" t="str">
        <x:v>Selected Week</x:v>
      </x:c>
      <x:c r="B3" s="281" t="n">
        <x:v>1</x:v>
      </x:c>
      <x:c r="C3" s="280" t="str">
        <x:v>Selected Day</x:v>
      </x:c>
      <x:c r="D3" s="281" t="n">
        <x:v>1</x:v>
      </x:c>
      <x:c r="E3" s="80"/>
      <x:c r="F3" s="80"/>
      <x:c r="G3" s="80"/>
      <x:c r="H3" s="80"/>
      <x:c r="I3" s="80"/>
      <x:c r="J3" s="80"/>
      <x:c r="K3" s="80"/>
      <x:c r="L3" s="80"/>
      <x:c r="M3" s="80"/>
      <x:c r="N3" s="80"/>
      <x:c r="O3" s="80"/>
      <x:c r="P3" s="80"/>
      <x:c r="Q3" s="80"/>
      <x:c r="R3" s="80"/>
      <x:c r="S3" s="95" t="str">
        <x:v>Week</x:v>
      </x:c>
      <x:c r="T3" s="96" t="str">
        <x:v>Day</x:v>
      </x:c>
      <x:c r="U3" s="96" t="str">
        <x:v>Log start row</x:v>
      </x:c>
      <x:c r="V3" s="97" t="str">
        <x:v>Exercise count</x:v>
      </x:c>
    </x:row>
    <x:row r="4">
      <x:c r="A4" s="280" t="str">
        <x:v>Use 1–12</x:v>
      </x:c>
      <x:c r="B4" s="80" t="str"/>
      <x:c r="C4" s="280" t="str">
        <x:v>Use 1–6</x:v>
      </x:c>
      <x:c r="D4" s="80" t="str"/>
      <x:c r="E4" s="80"/>
      <x:c r="F4" s="80"/>
      <x:c r="G4" s="80"/>
      <x:c r="H4" s="80"/>
      <x:c r="I4" s="80"/>
      <x:c r="J4" s="80"/>
      <x:c r="K4" s="80"/>
      <x:c r="L4" s="80"/>
      <x:c r="M4" s="80"/>
      <x:c r="N4" s="80"/>
      <x:c r="O4" s="80"/>
      <x:c r="P4" s="80"/>
      <x:c r="Q4" s="80"/>
      <x:c r="R4" s="80"/>
      <x:c r="S4" s="282" t="n">
        <x:v>1</x:v>
      </x:c>
      <x:c r="T4" s="283" t="n">
        <x:v>1</x:v>
      </x:c>
      <x:c r="U4" s="283" t="n">
        <x:v>10</x:v>
      </x:c>
      <x:c r="V4" s="284" t="n">
        <x:v>9</x:v>
      </x:c>
    </x:row>
    <x:row r="5">
      <x:c r="A5" s="80"/>
      <x:c r="B5" s="80"/>
      <x:c r="C5" s="80"/>
      <x:c r="D5" s="80"/>
      <x:c r="E5" s="80"/>
      <x:c r="F5" s="80"/>
      <x:c r="G5" s="80"/>
      <x:c r="H5" s="80"/>
      <x:c r="I5" s="80"/>
      <x:c r="J5" s="80"/>
      <x:c r="K5" s="80"/>
      <x:c r="L5" s="80"/>
      <x:c r="M5" s="80"/>
      <x:c r="N5" s="80"/>
      <x:c r="O5" s="80"/>
      <x:c r="P5" s="80"/>
      <x:c r="Q5" s="80"/>
      <x:c r="R5" s="80"/>
      <x:c r="S5" s="285" t="n">
        <x:v>1</x:v>
      </x:c>
      <x:c r="T5" s="286" t="n">
        <x:v>2</x:v>
      </x:c>
      <x:c r="U5" s="286" t="n">
        <x:v>19</x:v>
      </x:c>
      <x:c r="V5" s="287" t="n">
        <x:v>10</x:v>
      </x:c>
    </x:row>
    <x:row r="6" ht="24" customHeight="1">
      <x:c r="A6" s="94" t="str">
        <x:v>Selected session</x:v>
      </x:c>
      <x:c r="B6" s="94" t="str">
        <x:v>Selected session</x:v>
      </x:c>
      <x:c r="C6" s="94" t="str">
        <x:v>Selected session</x:v>
      </x:c>
      <x:c r="D6" s="94" t="str">
        <x:v>Selected session</x:v>
      </x:c>
      <x:c r="E6" s="94" t="str">
        <x:v>Selected session</x:v>
      </x:c>
      <x:c r="F6" s="94" t="str">
        <x:v>Selected session</x:v>
      </x:c>
      <x:c r="G6" s="94" t="str">
        <x:v>Selected session</x:v>
      </x:c>
      <x:c r="H6" s="94" t="str">
        <x:v>Selected session</x:v>
      </x:c>
      <x:c r="I6" s="80"/>
      <x:c r="J6" s="80"/>
      <x:c r="K6" s="80"/>
      <x:c r="L6" s="80"/>
      <x:c r="M6" s="80"/>
      <x:c r="N6" s="80"/>
      <x:c r="O6" s="80"/>
      <x:c r="P6" s="80"/>
      <x:c r="Q6" s="80"/>
      <x:c r="R6" s="80"/>
      <x:c r="S6" s="285" t="n">
        <x:v>1</x:v>
      </x:c>
      <x:c r="T6" s="286" t="n">
        <x:v>3</x:v>
      </x:c>
      <x:c r="U6" s="286" t="n">
        <x:v>29</x:v>
      </x:c>
      <x:c r="V6" s="287" t="n">
        <x:v>9</x:v>
      </x:c>
    </x:row>
    <x:row r="7">
      <x:c r="A7" s="288" t="str">
        <x:v>Session</x:v>
      </x:c>
      <x:c r="B7" s="289" t="str">
        <x:f>INDEX('Training Log'!$F$10:$F$669,INDEX($U$4:$U$75,($B$3-1)*6+$D$3)-10+1)</x:f>
        <x:v>Pull A</x:v>
      </x:c>
      <x:c r="C7" s="289"/>
      <x:c r="D7" s="289"/>
      <x:c r="E7" s="289"/>
      <x:c r="F7" s="289"/>
      <x:c r="G7" s="289"/>
      <x:c r="H7" s="289"/>
      <x:c r="I7" s="80"/>
      <x:c r="J7" s="80"/>
      <x:c r="K7" s="80"/>
      <x:c r="L7" s="80"/>
      <x:c r="M7" s="80"/>
      <x:c r="N7" s="80"/>
      <x:c r="O7" s="80"/>
      <x:c r="P7" s="80"/>
      <x:c r="Q7" s="80"/>
      <x:c r="R7" s="80"/>
      <x:c r="S7" s="285" t="n">
        <x:v>1</x:v>
      </x:c>
      <x:c r="T7" s="286" t="n">
        <x:v>4</x:v>
      </x:c>
      <x:c r="U7" s="286" t="n">
        <x:v>38</x:v>
      </x:c>
      <x:c r="V7" s="287" t="n">
        <x:v>9</x:v>
      </x:c>
    </x:row>
    <x:row r="8">
      <x:c r="A8" s="288" t="str">
        <x:v>Phase</x:v>
      </x:c>
      <x:c r="B8" s="289" t="str">
        <x:f>INDEX('Weekly Review'!$B$6:$B$17,$B$3)</x:f>
        <x:v>Accumulation</x:v>
      </x:c>
      <x:c r="C8" s="289"/>
      <x:c r="D8" s="289"/>
      <x:c r="E8" s="289"/>
      <x:c r="F8" s="289"/>
      <x:c r="G8" s="289"/>
      <x:c r="H8" s="289"/>
      <x:c r="I8" s="80"/>
      <x:c r="J8" s="80"/>
      <x:c r="K8" s="80"/>
      <x:c r="L8" s="80"/>
      <x:c r="M8" s="80"/>
      <x:c r="N8" s="80"/>
      <x:c r="O8" s="80"/>
      <x:c r="P8" s="80"/>
      <x:c r="Q8" s="80"/>
      <x:c r="R8" s="80"/>
      <x:c r="S8" s="285" t="n">
        <x:v>1</x:v>
      </x:c>
      <x:c r="T8" s="286" t="n">
        <x:v>5</x:v>
      </x:c>
      <x:c r="U8" s="286" t="n">
        <x:v>47</x:v>
      </x:c>
      <x:c r="V8" s="287" t="n">
        <x:v>10</x:v>
      </x:c>
    </x:row>
    <x:row r="9">
      <x:c r="A9" s="288" t="str">
        <x:v>Focus</x:v>
      </x:c>
      <x:c r="B9" s="289" t="str">
        <x:f>INDEX('Training Log'!$G$10:$G$669,INDEX($U$4:$U$75,($B$3-1)*6+$D$3)-10+1)</x:f>
        <x:v>Vertical pull strength + back density</x:v>
      </x:c>
      <x:c r="C9" s="289"/>
      <x:c r="D9" s="289"/>
      <x:c r="E9" s="289"/>
      <x:c r="F9" s="289"/>
      <x:c r="G9" s="289"/>
      <x:c r="H9" s="289"/>
      <x:c r="I9" s="80"/>
      <x:c r="J9" s="80"/>
      <x:c r="K9" s="80"/>
      <x:c r="L9" s="80"/>
      <x:c r="M9" s="80"/>
      <x:c r="N9" s="80"/>
      <x:c r="O9" s="80"/>
      <x:c r="P9" s="80"/>
      <x:c r="Q9" s="80"/>
      <x:c r="R9" s="80"/>
      <x:c r="S9" s="285" t="n">
        <x:v>1</x:v>
      </x:c>
      <x:c r="T9" s="286" t="n">
        <x:v>6</x:v>
      </x:c>
      <x:c r="U9" s="286" t="n">
        <x:v>57</x:v>
      </x:c>
      <x:c r="V9" s="287" t="n">
        <x:v>9</x:v>
      </x:c>
    </x:row>
    <x:row r="10">
      <x:c r="A10" s="288" t="str">
        <x:v>Readiness</x:v>
      </x:c>
      <x:c r="B10" s="289" t="str">
        <x:f>IF(INDEX('Readiness'!$K$7:$K$78,($B$3-1)*6+$D$3)="","Not logged",INDEX('Readiness'!$K$7:$K$78,($B$3-1)*6+$D$3)&amp;"%")</x:f>
        <x:v>Not logged</x:v>
      </x:c>
      <x:c r="C10" s="289"/>
      <x:c r="D10" s="289"/>
      <x:c r="E10" s="289"/>
      <x:c r="F10" s="289"/>
      <x:c r="G10" s="289"/>
      <x:c r="H10" s="289"/>
      <x:c r="I10" s="80"/>
      <x:c r="J10" s="80"/>
      <x:c r="K10" s="80"/>
      <x:c r="L10" s="80"/>
      <x:c r="M10" s="80"/>
      <x:c r="N10" s="80"/>
      <x:c r="O10" s="80"/>
      <x:c r="P10" s="80"/>
      <x:c r="Q10" s="80"/>
      <x:c r="R10" s="80"/>
      <x:c r="S10" s="285" t="n">
        <x:v>2</x:v>
      </x:c>
      <x:c r="T10" s="286" t="n">
        <x:v>1</x:v>
      </x:c>
      <x:c r="U10" s="286" t="n">
        <x:v>66</x:v>
      </x:c>
      <x:c r="V10" s="287" t="n">
        <x:v>9</x:v>
      </x:c>
    </x:row>
    <x:row r="11">
      <x:c r="A11" s="288" t="str">
        <x:v>Volume modifier</x:v>
      </x:c>
      <x:c r="B11" s="290" t="n">
        <x:f>INDEX('Readiness'!$L$7:$L$78,($B$3-1)*6+$D$3)</x:f>
        <x:v>1</x:v>
      </x:c>
      <x:c r="C11" s="289"/>
      <x:c r="D11" s="289"/>
      <x:c r="E11" s="289"/>
      <x:c r="F11" s="289"/>
      <x:c r="G11" s="289"/>
      <x:c r="H11" s="289"/>
      <x:c r="I11" s="80"/>
      <x:c r="J11" s="80"/>
      <x:c r="K11" s="80"/>
      <x:c r="L11" s="80"/>
      <x:c r="M11" s="80"/>
      <x:c r="N11" s="80"/>
      <x:c r="O11" s="80"/>
      <x:c r="P11" s="80"/>
      <x:c r="Q11" s="80"/>
      <x:c r="R11" s="80"/>
      <x:c r="S11" s="285" t="n">
        <x:v>2</x:v>
      </x:c>
      <x:c r="T11" s="286" t="n">
        <x:v>2</x:v>
      </x:c>
      <x:c r="U11" s="286" t="n">
        <x:v>75</x:v>
      </x:c>
      <x:c r="V11" s="287" t="n">
        <x:v>10</x:v>
      </x:c>
    </x:row>
    <x:row r="12">
      <x:c r="A12" s="288" t="str">
        <x:v>Today’s action</x:v>
      </x:c>
      <x:c r="B12" s="289" t="str">
        <x:f>INDEX('Readiness'!$M$7:$M$78,($B$3-1)*6+$D$3)</x:f>
        <x:v>Enter readiness</x:v>
      </x:c>
      <x:c r="C12" s="289"/>
      <x:c r="D12" s="289"/>
      <x:c r="E12" s="289"/>
      <x:c r="F12" s="289"/>
      <x:c r="G12" s="289"/>
      <x:c r="H12" s="289"/>
      <x:c r="I12" s="80"/>
      <x:c r="J12" s="80"/>
      <x:c r="K12" s="80"/>
      <x:c r="L12" s="80"/>
      <x:c r="M12" s="80"/>
      <x:c r="N12" s="80"/>
      <x:c r="O12" s="80"/>
      <x:c r="P12" s="80"/>
      <x:c r="Q12" s="80"/>
      <x:c r="R12" s="80"/>
      <x:c r="S12" s="285" t="n">
        <x:v>2</x:v>
      </x:c>
      <x:c r="T12" s="286" t="n">
        <x:v>3</x:v>
      </x:c>
      <x:c r="U12" s="286" t="n">
        <x:v>85</x:v>
      </x:c>
      <x:c r="V12" s="287" t="n">
        <x:v>9</x:v>
      </x:c>
    </x:row>
    <x:row r="13">
      <x:c r="A13" s="288" t="str">
        <x:v>Weekly recovery flag</x:v>
      </x:c>
      <x:c r="B13" s="289" t="str">
        <x:f>INDEX('Weekly Review'!$O$6:$O$17,$B$3)</x:f>
        <x:v>LOG READINESS</x:v>
      </x:c>
      <x:c r="C13" s="289"/>
      <x:c r="D13" s="289"/>
      <x:c r="E13" s="289"/>
      <x:c r="F13" s="289"/>
      <x:c r="G13" s="289"/>
      <x:c r="H13" s="289"/>
      <x:c r="I13" s="80"/>
      <x:c r="J13" s="80"/>
      <x:c r="K13" s="80"/>
      <x:c r="L13" s="80"/>
      <x:c r="M13" s="80"/>
      <x:c r="N13" s="80"/>
      <x:c r="O13" s="80"/>
      <x:c r="P13" s="80"/>
      <x:c r="Q13" s="80"/>
      <x:c r="R13" s="80"/>
      <x:c r="S13" s="285" t="n">
        <x:v>2</x:v>
      </x:c>
      <x:c r="T13" s="286" t="n">
        <x:v>4</x:v>
      </x:c>
      <x:c r="U13" s="286" t="n">
        <x:v>94</x:v>
      </x:c>
      <x:c r="V13" s="287" t="n">
        <x:v>9</x:v>
      </x:c>
    </x:row>
    <x:row r="14">
      <x:c r="A14" s="80"/>
      <x:c r="B14" s="80"/>
      <x:c r="C14" s="80"/>
      <x:c r="D14" s="80"/>
      <x:c r="E14" s="80"/>
      <x:c r="F14" s="80"/>
      <x:c r="G14" s="80"/>
      <x:c r="H14" s="80"/>
      <x:c r="I14" s="80"/>
      <x:c r="J14" s="80"/>
      <x:c r="K14" s="80"/>
      <x:c r="L14" s="80"/>
      <x:c r="M14" s="80"/>
      <x:c r="N14" s="80"/>
      <x:c r="O14" s="80"/>
      <x:c r="P14" s="80"/>
      <x:c r="Q14" s="80"/>
      <x:c r="R14" s="80"/>
      <x:c r="S14" s="285" t="n">
        <x:v>2</x:v>
      </x:c>
      <x:c r="T14" s="286" t="n">
        <x:v>5</x:v>
      </x:c>
      <x:c r="U14" s="286" t="n">
        <x:v>103</x:v>
      </x:c>
      <x:c r="V14" s="287" t="n">
        <x:v>10</x:v>
      </x:c>
    </x:row>
    <x:row r="15" ht="24" customHeight="1">
      <x:c r="A15" s="81" t="str">
        <x:v>Workout prescription</x:v>
      </x:c>
      <x:c r="B15" s="81" t="str">
        <x:v>Workout prescription</x:v>
      </x:c>
      <x:c r="C15" s="81" t="str">
        <x:v>Workout prescription</x:v>
      </x:c>
      <x:c r="D15" s="81" t="str">
        <x:v>Workout prescription</x:v>
      </x:c>
      <x:c r="E15" s="81" t="str">
        <x:v>Workout prescription</x:v>
      </x:c>
      <x:c r="F15" s="81" t="str">
        <x:v>Workout prescription</x:v>
      </x:c>
      <x:c r="G15" s="81" t="str">
        <x:v>Workout prescription</x:v>
      </x:c>
      <x:c r="H15" s="81" t="str">
        <x:v>Workout prescription</x:v>
      </x:c>
      <x:c r="I15" s="81" t="str">
        <x:v>Workout prescription</x:v>
      </x:c>
      <x:c r="J15" s="80"/>
      <x:c r="K15" s="80"/>
      <x:c r="L15" s="80"/>
      <x:c r="M15" s="80"/>
      <x:c r="N15" s="80"/>
      <x:c r="O15" s="80"/>
      <x:c r="P15" s="80"/>
      <x:c r="Q15" s="80"/>
      <x:c r="R15" s="80"/>
      <x:c r="S15" s="285" t="n">
        <x:v>2</x:v>
      </x:c>
      <x:c r="T15" s="286" t="n">
        <x:v>6</x:v>
      </x:c>
      <x:c r="U15" s="286" t="n">
        <x:v>113</x:v>
      </x:c>
      <x:c r="V15" s="287" t="n">
        <x:v>9</x:v>
      </x:c>
    </x:row>
    <x:row r="16" ht="30" customHeight="1">
      <x:c r="A16" s="95" t="str">
        <x:v>Slot</x:v>
      </x:c>
      <x:c r="B16" s="96" t="str">
        <x:v>Exercise</x:v>
      </x:c>
      <x:c r="C16" s="96" t="str">
        <x:v>Type</x:v>
      </x:c>
      <x:c r="D16" s="96" t="str">
        <x:v>Method</x:v>
      </x:c>
      <x:c r="E16" s="96" t="str">
        <x:v>Sets Today</x:v>
      </x:c>
      <x:c r="F16" s="96" t="str">
        <x:v>Target</x:v>
      </x:c>
      <x:c r="G16" s="96" t="str">
        <x:v>RIR</x:v>
      </x:c>
      <x:c r="H16" s="96" t="str">
        <x:v>Rec Load</x:v>
      </x:c>
      <x:c r="I16" s="97" t="str">
        <x:v>Metric</x:v>
      </x:c>
      <x:c r="J16" s="80"/>
      <x:c r="K16" s="80"/>
      <x:c r="L16" s="80"/>
      <x:c r="M16" s="80"/>
      <x:c r="N16" s="80"/>
      <x:c r="O16" s="80"/>
      <x:c r="P16" s="80"/>
      <x:c r="Q16" s="80"/>
      <x:c r="R16" s="80"/>
      <x:c r="S16" s="285" t="n">
        <x:v>3</x:v>
      </x:c>
      <x:c r="T16" s="286" t="n">
        <x:v>1</x:v>
      </x:c>
      <x:c r="U16" s="286" t="n">
        <x:v>122</x:v>
      </x:c>
      <x:c r="V16" s="287" t="n">
        <x:v>9</x:v>
      </x:c>
    </x:row>
    <x:row r="17">
      <x:c r="A17" s="98" t="n">
        <x:f>1</x:f>
        <x:v>1</x:v>
      </x:c>
      <x:c r="B17" s="84" t="str">
        <x:f>IF(A17&gt;INDEX($V$4:$V$75,($B$3-1)*6+$D$3),"",INDEX('Training Log'!$I$10:$I$669,INDEX($U$4:$U$75,($B$3-1)*6+$D$3)-10+A17))</x:f>
        <x:v>Medicine Ball Rotational Throw</x:v>
      </x:c>
      <x:c r="C17" s="84" t="str">
        <x:f>IF(A17&gt;INDEX($V$4:$V$75,($B$3-1)*6+$D$3),"",INDEX('Training Log'!$J$10:$J$669,INDEX($U$4:$U$75,($B$3-1)*6+$D$3)-10+A17))</x:f>
        <x:v>Power</x:v>
      </x:c>
      <x:c r="D17" s="84" t="str">
        <x:f>IF(A17&gt;INDEX($V$4:$V$75,($B$3-1)*6+$D$3),"",INDEX('Training Log'!$L$10:$L$669,INDEX($U$4:$U$75,($B$3-1)*6+$D$3)-10+A17))</x:f>
        <x:v>Max intent, full reset</x:v>
      </x:c>
      <x:c r="E17" s="84" t="n">
        <x:f>IF(A17&gt;INDEX($V$4:$V$75,($B$3-1)*6+$D$3),"",INDEX('Training Log'!$Y$10:$Y$669,INDEX($U$4:$U$75,($B$3-1)*6+$D$3)-10+A17))</x:f>
        <x:v>3</x:v>
      </x:c>
      <x:c r="F17" s="84" t="str">
        <x:f>IF(IF(A17&gt;INDEX($V$4:$V$75,($B$3-1)*6+$D$3),"",INDEX('Training Log'!$I$10:$I$669,INDEX($U$4:$U$75,($B$3-1)*6+$D$3)-10+A17))="","",IF(A17&gt;INDEX($V$4:$V$75,($B$3-1)*6+$D$3),"",INDEX('Training Log'!$O$10:$O$669,INDEX($U$4:$U$75,($B$3-1)*6+$D$3)-10+A17))&amp;"–"&amp;IF(A17&gt;INDEX($V$4:$V$75,($B$3-1)*6+$D$3),"",INDEX('Training Log'!$P$10:$P$669,INDEX($U$4:$U$75,($B$3-1)*6+$D$3)-10+A17)))</x:f>
        <x:v>4–4</x:v>
      </x:c>
      <x:c r="G17" s="84" t="n">
        <x:f>IF(A17&gt;INDEX($V$4:$V$75,($B$3-1)*6+$D$3),"",INDEX('Training Log'!$Q$10:$Q$669,INDEX($U$4:$U$75,($B$3-1)*6+$D$3)-10+A17))</x:f>
        <x:v>3</x:v>
      </x:c>
      <x:c r="H17" s="291" t="n">
        <x:f>IF(A17&gt;INDEX($V$4:$V$75,($B$3-1)*6+$D$3),"",INDEX('Training Log'!$Z$10:$Z$669,INDEX($U$4:$U$75,($B$3-1)*6+$D$3)-10+A17))</x:f>
        <x:v>0</x:v>
      </x:c>
      <x:c r="I17" s="85" t="str">
        <x:f>IF(A17&gt;INDEX($V$4:$V$75,($B$3-1)*6+$D$3),"",INDEX('Training Log'!$V$10:$V$669,INDEX($U$4:$U$75,($B$3-1)*6+$D$3)-10+A17))</x:f>
        <x:v>throw quality</x:v>
      </x:c>
      <x:c r="J17" s="80"/>
      <x:c r="K17" s="80"/>
      <x:c r="L17" s="80"/>
      <x:c r="M17" s="80"/>
      <x:c r="N17" s="80"/>
      <x:c r="O17" s="80"/>
      <x:c r="P17" s="80"/>
      <x:c r="Q17" s="80"/>
      <x:c r="R17" s="80"/>
      <x:c r="S17" s="285" t="n">
        <x:v>3</x:v>
      </x:c>
      <x:c r="T17" s="286" t="n">
        <x:v>2</x:v>
      </x:c>
      <x:c r="U17" s="286" t="n">
        <x:v>131</x:v>
      </x:c>
      <x:c r="V17" s="287" t="n">
        <x:v>10</x:v>
      </x:c>
    </x:row>
    <x:row r="18">
      <x:c r="A18" s="99" t="n">
        <x:f>2</x:f>
        <x:v>2</x:v>
      </x:c>
      <x:c r="B18" s="88" t="str">
        <x:f>IF(A18&gt;INDEX($V$4:$V$75,($B$3-1)*6+$D$3),"",INDEX('Training Log'!$I$10:$I$669,INDEX($U$4:$U$75,($B$3-1)*6+$D$3)-10+A18))</x:f>
        <x:v>Weighted Pull-Up</x:v>
      </x:c>
      <x:c r="C18" s="88" t="str">
        <x:f>IF(A18&gt;INDEX($V$4:$V$75,($B$3-1)*6+$D$3),"",INDEX('Training Log'!$J$10:$J$669,INDEX($U$4:$U$75,($B$3-1)*6+$D$3)-10+A18))</x:f>
        <x:v>Strength</x:v>
      </x:c>
      <x:c r="D18" s="88" t="str">
        <x:f>IF(A18&gt;INDEX($V$4:$V$75,($B$3-1)*6+$D$3),"",INDEX('Training Log'!$L$10:$L$669,INDEX($U$4:$U$75,($B$3-1)*6+$D$3)-10+A18))</x:f>
        <x:v>Top set + back-offs</x:v>
      </x:c>
      <x:c r="E18" s="88" t="n">
        <x:f>IF(A18&gt;INDEX($V$4:$V$75,($B$3-1)*6+$D$3),"",INDEX('Training Log'!$Y$10:$Y$669,INDEX($U$4:$U$75,($B$3-1)*6+$D$3)-10+A18))</x:f>
        <x:v>4</x:v>
      </x:c>
      <x:c r="F18" s="88" t="str">
        <x:f>IF(IF(A18&gt;INDEX($V$4:$V$75,($B$3-1)*6+$D$3),"",INDEX('Training Log'!$I$10:$I$669,INDEX($U$4:$U$75,($B$3-1)*6+$D$3)-10+A18))="","",IF(A18&gt;INDEX($V$4:$V$75,($B$3-1)*6+$D$3),"",INDEX('Training Log'!$O$10:$O$669,INDEX($U$4:$U$75,($B$3-1)*6+$D$3)-10+A18))&amp;"–"&amp;IF(A18&gt;INDEX($V$4:$V$75,($B$3-1)*6+$D$3),"",INDEX('Training Log'!$P$10:$P$669,INDEX($U$4:$U$75,($B$3-1)*6+$D$3)-10+A18)))</x:f>
        <x:v>5–7</x:v>
      </x:c>
      <x:c r="G18" s="88" t="n">
        <x:f>IF(A18&gt;INDEX($V$4:$V$75,($B$3-1)*6+$D$3),"",INDEX('Training Log'!$Q$10:$Q$669,INDEX($U$4:$U$75,($B$3-1)*6+$D$3)-10+A18))</x:f>
        <x:v>3</x:v>
      </x:c>
      <x:c r="H18" s="292" t="n">
        <x:f>IF(A18&gt;INDEX($V$4:$V$75,($B$3-1)*6+$D$3),"",INDEX('Training Log'!$Z$10:$Z$669,INDEX($U$4:$U$75,($B$3-1)*6+$D$3)-10+A18))</x:f>
        <x:v>0</x:v>
      </x:c>
      <x:c r="I18" s="89" t="str">
        <x:f>IF(A18&gt;INDEX($V$4:$V$75,($B$3-1)*6+$D$3),"",INDEX('Training Log'!$V$10:$V$669,INDEX($U$4:$U$75,($B$3-1)*6+$D$3)-10+A18))</x:f>
        <x:v>load × reps</x:v>
      </x:c>
      <x:c r="J18" s="80"/>
      <x:c r="K18" s="80"/>
      <x:c r="L18" s="80"/>
      <x:c r="M18" s="80"/>
      <x:c r="N18" s="80"/>
      <x:c r="O18" s="80"/>
      <x:c r="P18" s="80"/>
      <x:c r="Q18" s="80"/>
      <x:c r="R18" s="80"/>
      <x:c r="S18" s="285" t="n">
        <x:v>3</x:v>
      </x:c>
      <x:c r="T18" s="286" t="n">
        <x:v>3</x:v>
      </x:c>
      <x:c r="U18" s="286" t="n">
        <x:v>141</x:v>
      </x:c>
      <x:c r="V18" s="287" t="n">
        <x:v>9</x:v>
      </x:c>
    </x:row>
    <x:row r="19">
      <x:c r="A19" s="99" t="n">
        <x:f>3</x:f>
        <x:v>3</x:v>
      </x:c>
      <x:c r="B19" s="88" t="str">
        <x:f>IF(A19&gt;INDEX($V$4:$V$75,($B$3-1)*6+$D$3),"",INDEX('Training Log'!$I$10:$I$669,INDEX($U$4:$U$75,($B$3-1)*6+$D$3)-10+A19))</x:f>
        <x:v>Barbell Row</x:v>
      </x:c>
      <x:c r="C19" s="88" t="str">
        <x:f>IF(A19&gt;INDEX($V$4:$V$75,($B$3-1)*6+$D$3),"",INDEX('Training Log'!$J$10:$J$669,INDEX($U$4:$U$75,($B$3-1)*6+$D$3)-10+A19))</x:f>
        <x:v>Strength</x:v>
      </x:c>
      <x:c r="D19" s="88" t="str">
        <x:f>IF(A19&gt;INDEX($V$4:$V$75,($B$3-1)*6+$D$3),"",INDEX('Training Log'!$L$10:$L$669,INDEX($U$4:$U$75,($B$3-1)*6+$D$3)-10+A19))</x:f>
        <x:v>Straight sets</x:v>
      </x:c>
      <x:c r="E19" s="88" t="n">
        <x:f>IF(A19&gt;INDEX($V$4:$V$75,($B$3-1)*6+$D$3),"",INDEX('Training Log'!$Y$10:$Y$669,INDEX($U$4:$U$75,($B$3-1)*6+$D$3)-10+A19))</x:f>
        <x:v>3</x:v>
      </x:c>
      <x:c r="F19" s="88" t="str">
        <x:f>IF(IF(A19&gt;INDEX($V$4:$V$75,($B$3-1)*6+$D$3),"",INDEX('Training Log'!$I$10:$I$669,INDEX($U$4:$U$75,($B$3-1)*6+$D$3)-10+A19))="","",IF(A19&gt;INDEX($V$4:$V$75,($B$3-1)*6+$D$3),"",INDEX('Training Log'!$O$10:$O$669,INDEX($U$4:$U$75,($B$3-1)*6+$D$3)-10+A19))&amp;"–"&amp;IF(A19&gt;INDEX($V$4:$V$75,($B$3-1)*6+$D$3),"",INDEX('Training Log'!$P$10:$P$669,INDEX($U$4:$U$75,($B$3-1)*6+$D$3)-10+A19)))</x:f>
        <x:v>6–8</x:v>
      </x:c>
      <x:c r="G19" s="88" t="n">
        <x:f>IF(A19&gt;INDEX($V$4:$V$75,($B$3-1)*6+$D$3),"",INDEX('Training Log'!$Q$10:$Q$669,INDEX($U$4:$U$75,($B$3-1)*6+$D$3)-10+A19))</x:f>
        <x:v>3</x:v>
      </x:c>
      <x:c r="H19" s="292" t="n">
        <x:f>IF(A19&gt;INDEX($V$4:$V$75,($B$3-1)*6+$D$3),"",INDEX('Training Log'!$Z$10:$Z$669,INDEX($U$4:$U$75,($B$3-1)*6+$D$3)-10+A19))</x:f>
        <x:v>0</x:v>
      </x:c>
      <x:c r="I19" s="89" t="str">
        <x:f>IF(A19&gt;INDEX($V$4:$V$75,($B$3-1)*6+$D$3),"",INDEX('Training Log'!$V$10:$V$669,INDEX($U$4:$U$75,($B$3-1)*6+$D$3)-10+A19))</x:f>
        <x:v>load × reps</x:v>
      </x:c>
      <x:c r="J19" s="80"/>
      <x:c r="K19" s="80"/>
      <x:c r="L19" s="80"/>
      <x:c r="M19" s="80"/>
      <x:c r="N19" s="80"/>
      <x:c r="O19" s="80"/>
      <x:c r="P19" s="80"/>
      <x:c r="Q19" s="80"/>
      <x:c r="R19" s="80"/>
      <x:c r="S19" s="285" t="n">
        <x:v>3</x:v>
      </x:c>
      <x:c r="T19" s="286" t="n">
        <x:v>4</x:v>
      </x:c>
      <x:c r="U19" s="286" t="n">
        <x:v>150</x:v>
      </x:c>
      <x:c r="V19" s="287" t="n">
        <x:v>9</x:v>
      </x:c>
    </x:row>
    <x:row r="20">
      <x:c r="A20" s="99" t="n">
        <x:f>4</x:f>
        <x:v>4</x:v>
      </x:c>
      <x:c r="B20" s="88" t="str">
        <x:f>IF(A20&gt;INDEX($V$4:$V$75,($B$3-1)*6+$D$3),"",INDEX('Training Log'!$I$10:$I$669,INDEX($U$4:$U$75,($B$3-1)*6+$D$3)-10+A20))</x:f>
        <x:v>Chest-Supported Dumbbell Row</x:v>
      </x:c>
      <x:c r="C20" s="88" t="str">
        <x:f>IF(A20&gt;INDEX($V$4:$V$75,($B$3-1)*6+$D$3),"",INDEX('Training Log'!$J$10:$J$669,INDEX($U$4:$U$75,($B$3-1)*6+$D$3)-10+A20))</x:f>
        <x:v>Hypertrophy</x:v>
      </x:c>
      <x:c r="D20" s="88" t="str">
        <x:f>IF(A20&gt;INDEX($V$4:$V$75,($B$3-1)*6+$D$3),"",INDEX('Training Log'!$L$10:$L$669,INDEX($U$4:$U$75,($B$3-1)*6+$D$3)-10+A20))</x:f>
        <x:v>Straight sets</x:v>
      </x:c>
      <x:c r="E20" s="88" t="n">
        <x:f>IF(A20&gt;INDEX($V$4:$V$75,($B$3-1)*6+$D$3),"",INDEX('Training Log'!$Y$10:$Y$669,INDEX($U$4:$U$75,($B$3-1)*6+$D$3)-10+A20))</x:f>
        <x:v>3</x:v>
      </x:c>
      <x:c r="F20" s="88" t="str">
        <x:f>IF(IF(A20&gt;INDEX($V$4:$V$75,($B$3-1)*6+$D$3),"",INDEX('Training Log'!$I$10:$I$669,INDEX($U$4:$U$75,($B$3-1)*6+$D$3)-10+A20))="","",IF(A20&gt;INDEX($V$4:$V$75,($B$3-1)*6+$D$3),"",INDEX('Training Log'!$O$10:$O$669,INDEX($U$4:$U$75,($B$3-1)*6+$D$3)-10+A20))&amp;"–"&amp;IF(A20&gt;INDEX($V$4:$V$75,($B$3-1)*6+$D$3),"",INDEX('Training Log'!$P$10:$P$669,INDEX($U$4:$U$75,($B$3-1)*6+$D$3)-10+A20)))</x:f>
        <x:v>8–12</x:v>
      </x:c>
      <x:c r="G20" s="88" t="n">
        <x:f>IF(A20&gt;INDEX($V$4:$V$75,($B$3-1)*6+$D$3),"",INDEX('Training Log'!$Q$10:$Q$669,INDEX($U$4:$U$75,($B$3-1)*6+$D$3)-10+A20))</x:f>
        <x:v>3</x:v>
      </x:c>
      <x:c r="H20" s="292" t="n">
        <x:f>IF(A20&gt;INDEX($V$4:$V$75,($B$3-1)*6+$D$3),"",INDEX('Training Log'!$Z$10:$Z$669,INDEX($U$4:$U$75,($B$3-1)*6+$D$3)-10+A20))</x:f>
        <x:v>0</x:v>
      </x:c>
      <x:c r="I20" s="89" t="str">
        <x:f>IF(A20&gt;INDEX($V$4:$V$75,($B$3-1)*6+$D$3),"",INDEX('Training Log'!$V$10:$V$669,INDEX($U$4:$U$75,($B$3-1)*6+$D$3)-10+A20))</x:f>
        <x:v>load × reps</x:v>
      </x:c>
      <x:c r="J20" s="80"/>
      <x:c r="K20" s="80"/>
      <x:c r="L20" s="80"/>
      <x:c r="M20" s="80"/>
      <x:c r="N20" s="80"/>
      <x:c r="O20" s="80"/>
      <x:c r="P20" s="80"/>
      <x:c r="Q20" s="80"/>
      <x:c r="R20" s="80"/>
      <x:c r="S20" s="285" t="n">
        <x:v>3</x:v>
      </x:c>
      <x:c r="T20" s="286" t="n">
        <x:v>5</x:v>
      </x:c>
      <x:c r="U20" s="286" t="n">
        <x:v>159</x:v>
      </x:c>
      <x:c r="V20" s="287" t="n">
        <x:v>10</x:v>
      </x:c>
    </x:row>
    <x:row r="21">
      <x:c r="A21" s="99" t="n">
        <x:f>5</x:f>
        <x:v>5</x:v>
      </x:c>
      <x:c r="B21" s="88" t="str">
        <x:f>IF(A21&gt;INDEX($V$4:$V$75,($B$3-1)*6+$D$3),"",INDEX('Training Log'!$I$10:$I$669,INDEX($U$4:$U$75,($B$3-1)*6+$D$3)-10+A21))</x:f>
        <x:v>Lat Pulldown</x:v>
      </x:c>
      <x:c r="C21" s="88" t="str">
        <x:f>IF(A21&gt;INDEX($V$4:$V$75,($B$3-1)*6+$D$3),"",INDEX('Training Log'!$J$10:$J$669,INDEX($U$4:$U$75,($B$3-1)*6+$D$3)-10+A21))</x:f>
        <x:v>Hypertrophy</x:v>
      </x:c>
      <x:c r="D21" s="88" t="str">
        <x:f>IF(A21&gt;INDEX($V$4:$V$75,($B$3-1)*6+$D$3),"",INDEX('Training Log'!$L$10:$L$669,INDEX($U$4:$U$75,($B$3-1)*6+$D$3)-10+A21))</x:f>
        <x:v>Straight sets</x:v>
      </x:c>
      <x:c r="E21" s="88" t="n">
        <x:f>IF(A21&gt;INDEX($V$4:$V$75,($B$3-1)*6+$D$3),"",INDEX('Training Log'!$Y$10:$Y$669,INDEX($U$4:$U$75,($B$3-1)*6+$D$3)-10+A21))</x:f>
        <x:v>3</x:v>
      </x:c>
      <x:c r="F21" s="88" t="str">
        <x:f>IF(IF(A21&gt;INDEX($V$4:$V$75,($B$3-1)*6+$D$3),"",INDEX('Training Log'!$I$10:$I$669,INDEX($U$4:$U$75,($B$3-1)*6+$D$3)-10+A21))="","",IF(A21&gt;INDEX($V$4:$V$75,($B$3-1)*6+$D$3),"",INDEX('Training Log'!$O$10:$O$669,INDEX($U$4:$U$75,($B$3-1)*6+$D$3)-10+A21))&amp;"–"&amp;IF(A21&gt;INDEX($V$4:$V$75,($B$3-1)*6+$D$3),"",INDEX('Training Log'!$P$10:$P$669,INDEX($U$4:$U$75,($B$3-1)*6+$D$3)-10+A21)))</x:f>
        <x:v>10–12</x:v>
      </x:c>
      <x:c r="G21" s="88" t="n">
        <x:f>IF(A21&gt;INDEX($V$4:$V$75,($B$3-1)*6+$D$3),"",INDEX('Training Log'!$Q$10:$Q$669,INDEX($U$4:$U$75,($B$3-1)*6+$D$3)-10+A21))</x:f>
        <x:v>3</x:v>
      </x:c>
      <x:c r="H21" s="292" t="n">
        <x:f>IF(A21&gt;INDEX($V$4:$V$75,($B$3-1)*6+$D$3),"",INDEX('Training Log'!$Z$10:$Z$669,INDEX($U$4:$U$75,($B$3-1)*6+$D$3)-10+A21))</x:f>
        <x:v>0</x:v>
      </x:c>
      <x:c r="I21" s="89" t="str">
        <x:f>IF(A21&gt;INDEX($V$4:$V$75,($B$3-1)*6+$D$3),"",INDEX('Training Log'!$V$10:$V$669,INDEX($U$4:$U$75,($B$3-1)*6+$D$3)-10+A21))</x:f>
        <x:v>load × reps</x:v>
      </x:c>
      <x:c r="J21" s="80"/>
      <x:c r="K21" s="80"/>
      <x:c r="L21" s="80"/>
      <x:c r="M21" s="80"/>
      <x:c r="N21" s="80"/>
      <x:c r="O21" s="80"/>
      <x:c r="P21" s="80"/>
      <x:c r="Q21" s="80"/>
      <x:c r="R21" s="80"/>
      <x:c r="S21" s="285" t="n">
        <x:v>3</x:v>
      </x:c>
      <x:c r="T21" s="286" t="n">
        <x:v>6</x:v>
      </x:c>
      <x:c r="U21" s="286" t="n">
        <x:v>169</x:v>
      </x:c>
      <x:c r="V21" s="287" t="n">
        <x:v>9</x:v>
      </x:c>
    </x:row>
    <x:row r="22">
      <x:c r="A22" s="99" t="n">
        <x:f>6</x:f>
        <x:v>6</x:v>
      </x:c>
      <x:c r="B22" s="88" t="str">
        <x:f>IF(A22&gt;INDEX($V$4:$V$75,($B$3-1)*6+$D$3),"",INDEX('Training Log'!$I$10:$I$669,INDEX($U$4:$U$75,($B$3-1)*6+$D$3)-10+A22))</x:f>
        <x:v>Rear Delt Cable Fly</x:v>
      </x:c>
      <x:c r="C22" s="88" t="str">
        <x:f>IF(A22&gt;INDEX($V$4:$V$75,($B$3-1)*6+$D$3),"",INDEX('Training Log'!$J$10:$J$669,INDEX($U$4:$U$75,($B$3-1)*6+$D$3)-10+A22))</x:f>
        <x:v>Hypertrophy</x:v>
      </x:c>
      <x:c r="D22" s="88" t="str">
        <x:f>IF(A22&gt;INDEX($V$4:$V$75,($B$3-1)*6+$D$3),"",INDEX('Training Log'!$L$10:$L$669,INDEX($U$4:$U$75,($B$3-1)*6+$D$3)-10+A22))</x:f>
        <x:v>Superset</x:v>
      </x:c>
      <x:c r="E22" s="88" t="n">
        <x:f>IF(A22&gt;INDEX($V$4:$V$75,($B$3-1)*6+$D$3),"",INDEX('Training Log'!$Y$10:$Y$669,INDEX($U$4:$U$75,($B$3-1)*6+$D$3)-10+A22))</x:f>
        <x:v>3</x:v>
      </x:c>
      <x:c r="F22" s="88" t="str">
        <x:f>IF(IF(A22&gt;INDEX($V$4:$V$75,($B$3-1)*6+$D$3),"",INDEX('Training Log'!$I$10:$I$669,INDEX($U$4:$U$75,($B$3-1)*6+$D$3)-10+A22))="","",IF(A22&gt;INDEX($V$4:$V$75,($B$3-1)*6+$D$3),"",INDEX('Training Log'!$O$10:$O$669,INDEX($U$4:$U$75,($B$3-1)*6+$D$3)-10+A22))&amp;"–"&amp;IF(A22&gt;INDEX($V$4:$V$75,($B$3-1)*6+$D$3),"",INDEX('Training Log'!$P$10:$P$669,INDEX($U$4:$U$75,($B$3-1)*6+$D$3)-10+A22)))</x:f>
        <x:v>12–20</x:v>
      </x:c>
      <x:c r="G22" s="88" t="n">
        <x:f>IF(A22&gt;INDEX($V$4:$V$75,($B$3-1)*6+$D$3),"",INDEX('Training Log'!$Q$10:$Q$669,INDEX($U$4:$U$75,($B$3-1)*6+$D$3)-10+A22))</x:f>
        <x:v>3</x:v>
      </x:c>
      <x:c r="H22" s="292" t="n">
        <x:f>IF(A22&gt;INDEX($V$4:$V$75,($B$3-1)*6+$D$3),"",INDEX('Training Log'!$Z$10:$Z$669,INDEX($U$4:$U$75,($B$3-1)*6+$D$3)-10+A22))</x:f>
        <x:v>0</x:v>
      </x:c>
      <x:c r="I22" s="89" t="str">
        <x:f>IF(A22&gt;INDEX($V$4:$V$75,($B$3-1)*6+$D$3),"",INDEX('Training Log'!$V$10:$V$669,INDEX($U$4:$U$75,($B$3-1)*6+$D$3)-10+A22))</x:f>
        <x:v>load × reps</x:v>
      </x:c>
      <x:c r="J22" s="80"/>
      <x:c r="K22" s="80"/>
      <x:c r="L22" s="80"/>
      <x:c r="M22" s="80"/>
      <x:c r="N22" s="80"/>
      <x:c r="O22" s="80"/>
      <x:c r="P22" s="80"/>
      <x:c r="Q22" s="80"/>
      <x:c r="R22" s="80"/>
      <x:c r="S22" s="285" t="n">
        <x:v>4</x:v>
      </x:c>
      <x:c r="T22" s="286" t="n">
        <x:v>1</x:v>
      </x:c>
      <x:c r="U22" s="286" t="n">
        <x:v>178</x:v>
      </x:c>
      <x:c r="V22" s="287" t="n">
        <x:v>9</x:v>
      </x:c>
    </x:row>
    <x:row r="23" ht="30" customHeight="1">
      <x:c r="A23" s="99" t="n">
        <x:f>7</x:f>
        <x:v>7</x:v>
      </x:c>
      <x:c r="B23" s="88" t="str">
        <x:f>IF(A23&gt;INDEX($V$4:$V$75,($B$3-1)*6+$D$3),"",INDEX('Training Log'!$I$10:$I$669,INDEX($U$4:$U$75,($B$3-1)*6+$D$3)-10+A23))</x:f>
        <x:v>EZ-Bar Curl</x:v>
      </x:c>
      <x:c r="C23" s="88" t="str">
        <x:f>IF(A23&gt;INDEX($V$4:$V$75,($B$3-1)*6+$D$3),"",INDEX('Training Log'!$J$10:$J$669,INDEX($U$4:$U$75,($B$3-1)*6+$D$3)-10+A23))</x:f>
        <x:v>Hypertrophy</x:v>
      </x:c>
      <x:c r="D23" s="88" t="str">
        <x:f>IF(A23&gt;INDEX($V$4:$V$75,($B$3-1)*6+$D$3),"",INDEX('Training Log'!$L$10:$L$669,INDEX($U$4:$U$75,($B$3-1)*6+$D$3)-10+A23))</x:f>
        <x:v>Superset</x:v>
      </x:c>
      <x:c r="E23" s="88" t="n">
        <x:f>IF(A23&gt;INDEX($V$4:$V$75,($B$3-1)*6+$D$3),"",INDEX('Training Log'!$Y$10:$Y$669,INDEX($U$4:$U$75,($B$3-1)*6+$D$3)-10+A23))</x:f>
        <x:v>3</x:v>
      </x:c>
      <x:c r="F23" s="88" t="str">
        <x:f>IF(IF(A23&gt;INDEX($V$4:$V$75,($B$3-1)*6+$D$3),"",INDEX('Training Log'!$I$10:$I$669,INDEX($U$4:$U$75,($B$3-1)*6+$D$3)-10+A23))="","",IF(A23&gt;INDEX($V$4:$V$75,($B$3-1)*6+$D$3),"",INDEX('Training Log'!$O$10:$O$669,INDEX($U$4:$U$75,($B$3-1)*6+$D$3)-10+A23))&amp;"–"&amp;IF(A23&gt;INDEX($V$4:$V$75,($B$3-1)*6+$D$3),"",INDEX('Training Log'!$P$10:$P$669,INDEX($U$4:$U$75,($B$3-1)*6+$D$3)-10+A23)))</x:f>
        <x:v>8–12</x:v>
      </x:c>
      <x:c r="G23" s="88" t="n">
        <x:f>IF(A23&gt;INDEX($V$4:$V$75,($B$3-1)*6+$D$3),"",INDEX('Training Log'!$Q$10:$Q$669,INDEX($U$4:$U$75,($B$3-1)*6+$D$3)-10+A23))</x:f>
        <x:v>3</x:v>
      </x:c>
      <x:c r="H23" s="292" t="n">
        <x:f>IF(A23&gt;INDEX($V$4:$V$75,($B$3-1)*6+$D$3),"",INDEX('Training Log'!$Z$10:$Z$669,INDEX($U$4:$U$75,($B$3-1)*6+$D$3)-10+A23))</x:f>
        <x:v>0</x:v>
      </x:c>
      <x:c r="I23" s="89" t="str">
        <x:f>IF(A23&gt;INDEX($V$4:$V$75,($B$3-1)*6+$D$3),"",INDEX('Training Log'!$V$10:$V$669,INDEX($U$4:$U$75,($B$3-1)*6+$D$3)-10+A23))</x:f>
        <x:v>load × reps</x:v>
      </x:c>
      <x:c r="J23" s="95" t="str">
        <x:v>Primary muscle</x:v>
      </x:c>
      <x:c r="K23" s="97" t="str">
        <x:v>Planned hard sets</x:v>
      </x:c>
      <x:c r="L23" s="80"/>
      <x:c r="M23" s="80"/>
      <x:c r="N23" s="80"/>
      <x:c r="O23" s="80"/>
      <x:c r="P23" s="80"/>
      <x:c r="Q23" s="80"/>
      <x:c r="R23" s="80"/>
      <x:c r="S23" s="285" t="n">
        <x:v>4</x:v>
      </x:c>
      <x:c r="T23" s="286" t="n">
        <x:v>2</x:v>
      </x:c>
      <x:c r="U23" s="286" t="n">
        <x:v>187</x:v>
      </x:c>
      <x:c r="V23" s="287" t="n">
        <x:v>10</x:v>
      </x:c>
    </x:row>
    <x:row r="24">
      <x:c r="A24" s="99" t="n">
        <x:f>8</x:f>
        <x:v>8</x:v>
      </x:c>
      <x:c r="B24" s="88" t="str">
        <x:f>IF(A24&gt;INDEX($V$4:$V$75,($B$3-1)*6+$D$3),"",INDEX('Training Log'!$I$10:$I$669,INDEX($U$4:$U$75,($B$3-1)*6+$D$3)-10+A24))</x:f>
        <x:v>SkiErg Power Intervals</x:v>
      </x:c>
      <x:c r="C24" s="88" t="str">
        <x:f>IF(A24&gt;INDEX($V$4:$V$75,($B$3-1)*6+$D$3),"",INDEX('Training Log'!$J$10:$J$669,INDEX($U$4:$U$75,($B$3-1)*6+$D$3)-10+A24))</x:f>
        <x:v>Athletic</x:v>
      </x:c>
      <x:c r="D24" s="88" t="str">
        <x:f>IF(A24&gt;INDEX($V$4:$V$75,($B$3-1)*6+$D$3),"",INDEX('Training Log'!$L$10:$L$669,INDEX($U$4:$U$75,($B$3-1)*6+$D$3)-10+A24))</x:f>
        <x:v>15 s hard / 45 s easy</x:v>
      </x:c>
      <x:c r="E24" s="88" t="n">
        <x:f>IF(A24&gt;INDEX($V$4:$V$75,($B$3-1)*6+$D$3),"",INDEX('Training Log'!$Y$10:$Y$669,INDEX($U$4:$U$75,($B$3-1)*6+$D$3)-10+A24))</x:f>
        <x:v>6</x:v>
      </x:c>
      <x:c r="F24" s="88" t="str">
        <x:f>IF(IF(A24&gt;INDEX($V$4:$V$75,($B$3-1)*6+$D$3),"",INDEX('Training Log'!$I$10:$I$669,INDEX($U$4:$U$75,($B$3-1)*6+$D$3)-10+A24))="","",IF(A24&gt;INDEX($V$4:$V$75,($B$3-1)*6+$D$3),"",INDEX('Training Log'!$O$10:$O$669,INDEX($U$4:$U$75,($B$3-1)*6+$D$3)-10+A24))&amp;"–"&amp;IF(A24&gt;INDEX($V$4:$V$75,($B$3-1)*6+$D$3),"",INDEX('Training Log'!$P$10:$P$669,INDEX($U$4:$U$75,($B$3-1)*6+$D$3)-10+A24)))</x:f>
        <x:v>15–15</x:v>
      </x:c>
      <x:c r="G24" s="88" t="n">
        <x:f>IF(A24&gt;INDEX($V$4:$V$75,($B$3-1)*6+$D$3),"",INDEX('Training Log'!$Q$10:$Q$669,INDEX($U$4:$U$75,($B$3-1)*6+$D$3)-10+A24))</x:f>
        <x:v>3</x:v>
      </x:c>
      <x:c r="H24" s="292" t="n">
        <x:f>IF(A24&gt;INDEX($V$4:$V$75,($B$3-1)*6+$D$3),"",INDEX('Training Log'!$Z$10:$Z$669,INDEX($U$4:$U$75,($B$3-1)*6+$D$3)-10+A24))</x:f>
        <x:v>0</x:v>
      </x:c>
      <x:c r="I24" s="89" t="str">
        <x:f>IF(A24&gt;INDEX($V$4:$V$75,($B$3-1)*6+$D$3),"",INDEX('Training Log'!$V$10:$V$669,INDEX($U$4:$U$75,($B$3-1)*6+$D$3)-10+A24))</x:f>
        <x:v>watts / meters</x:v>
      </x:c>
      <x:c r="J24" s="293" t="str">
        <x:v>Chest</x:v>
      </x:c>
      <x:c r="K24" s="294" t="n">
        <x:f>SUMIFS('Training Log'!$N$10:$N$669,'Training Log'!$C$10:$C$669,$B$3,'Training Log'!$K$10:$K$669,J24,'Training Log'!$J$10:$J$669,"Strength")+SUMIFS('Training Log'!$N$10:$N$669,'Training Log'!$C$10:$C$669,$B$3,'Training Log'!$K$10:$K$669,J24,'Training Log'!$J$10:$J$669,"Hypertrophy")</x:f>
        <x:v>17</x:v>
      </x:c>
      <x:c r="L24" s="80"/>
      <x:c r="M24" s="80"/>
      <x:c r="N24" s="80"/>
      <x:c r="O24" s="80"/>
      <x:c r="P24" s="80"/>
      <x:c r="Q24" s="80"/>
      <x:c r="R24" s="80"/>
      <x:c r="S24" s="285" t="n">
        <x:v>4</x:v>
      </x:c>
      <x:c r="T24" s="286" t="n">
        <x:v>3</x:v>
      </x:c>
      <x:c r="U24" s="286" t="n">
        <x:v>197</x:v>
      </x:c>
      <x:c r="V24" s="287" t="n">
        <x:v>9</x:v>
      </x:c>
    </x:row>
    <x:row r="25">
      <x:c r="A25" s="99" t="n">
        <x:f>9</x:f>
        <x:v>9</x:v>
      </x:c>
      <x:c r="B25" s="88" t="str">
        <x:f>IF(A25&gt;INDEX($V$4:$V$75,($B$3-1)*6+$D$3),"",INDEX('Training Log'!$I$10:$I$669,INDEX($U$4:$U$75,($B$3-1)*6+$D$3)-10+A25))</x:f>
        <x:v>Passive Hang</x:v>
      </x:c>
      <x:c r="C25" s="88" t="str">
        <x:f>IF(A25&gt;INDEX($V$4:$V$75,($B$3-1)*6+$D$3),"",INDEX('Training Log'!$J$10:$J$669,INDEX($U$4:$U$75,($B$3-1)*6+$D$3)-10+A25))</x:f>
        <x:v>Mobility</x:v>
      </x:c>
      <x:c r="D25" s="88" t="str">
        <x:f>IF(A25&gt;INDEX($V$4:$V$75,($B$3-1)*6+$D$3),"",INDEX('Training Log'!$L$10:$L$669,INDEX($U$4:$U$75,($B$3-1)*6+$D$3)-10+A25))</x:f>
        <x:v>Relaxed breathing</x:v>
      </x:c>
      <x:c r="E25" s="88" t="n">
        <x:f>IF(A25&gt;INDEX($V$4:$V$75,($B$3-1)*6+$D$3),"",INDEX('Training Log'!$Y$10:$Y$669,INDEX($U$4:$U$75,($B$3-1)*6+$D$3)-10+A25))</x:f>
        <x:v>2</x:v>
      </x:c>
      <x:c r="F25" s="88" t="str">
        <x:f>IF(IF(A25&gt;INDEX($V$4:$V$75,($B$3-1)*6+$D$3),"",INDEX('Training Log'!$I$10:$I$669,INDEX($U$4:$U$75,($B$3-1)*6+$D$3)-10+A25))="","",IF(A25&gt;INDEX($V$4:$V$75,($B$3-1)*6+$D$3),"",INDEX('Training Log'!$O$10:$O$669,INDEX($U$4:$U$75,($B$3-1)*6+$D$3)-10+A25))&amp;"–"&amp;IF(A25&gt;INDEX($V$4:$V$75,($B$3-1)*6+$D$3),"",INDEX('Training Log'!$P$10:$P$669,INDEX($U$4:$U$75,($B$3-1)*6+$D$3)-10+A25)))</x:f>
        <x:v>20–40</x:v>
      </x:c>
      <x:c r="G25" s="88" t="str">
        <x:f>IF(A25&gt;INDEX($V$4:$V$75,($B$3-1)*6+$D$3),"",INDEX('Training Log'!$Q$10:$Q$669,INDEX($U$4:$U$75,($B$3-1)*6+$D$3)-10+A25))</x:f>
      </x:c>
      <x:c r="H25" s="292" t="n">
        <x:f>IF(A25&gt;INDEX($V$4:$V$75,($B$3-1)*6+$D$3),"",INDEX('Training Log'!$Z$10:$Z$669,INDEX($U$4:$U$75,($B$3-1)*6+$D$3)-10+A25))</x:f>
        <x:v>0</x:v>
      </x:c>
      <x:c r="I25" s="89" t="str">
        <x:f>IF(A25&gt;INDEX($V$4:$V$75,($B$3-1)*6+$D$3),"",INDEX('Training Log'!$V$10:$V$669,INDEX($U$4:$U$75,($B$3-1)*6+$D$3)-10+A25))</x:f>
        <x:v>seconds</x:v>
      </x:c>
      <x:c r="J25" s="295" t="str">
        <x:v>Back</x:v>
      </x:c>
      <x:c r="K25" s="296" t="n">
        <x:f>SUMIFS('Training Log'!$N$10:$N$669,'Training Log'!$C$10:$C$669,$B$3,'Training Log'!$K$10:$K$669,J25,'Training Log'!$J$10:$J$669,"Strength")+SUMIFS('Training Log'!$N$10:$N$669,'Training Log'!$C$10:$C$669,$B$3,'Training Log'!$K$10:$K$669,J25,'Training Log'!$J$10:$J$669,"Hypertrophy")</x:f>
        <x:v>26</x:v>
      </x:c>
      <x:c r="L25" s="80"/>
      <x:c r="M25" s="80"/>
      <x:c r="N25" s="80"/>
      <x:c r="O25" s="80"/>
      <x:c r="P25" s="80"/>
      <x:c r="Q25" s="80"/>
      <x:c r="R25" s="80"/>
      <x:c r="S25" s="285" t="n">
        <x:v>4</x:v>
      </x:c>
      <x:c r="T25" s="286" t="n">
        <x:v>4</x:v>
      </x:c>
      <x:c r="U25" s="286" t="n">
        <x:v>206</x:v>
      </x:c>
      <x:c r="V25" s="287" t="n">
        <x:v>9</x:v>
      </x:c>
    </x:row>
    <x:row r="26">
      <x:c r="A26" s="100" t="n">
        <x:f>10</x:f>
        <x:v>10</x:v>
      </x:c>
      <x:c r="B26" s="92" t="str">
        <x:f>IF(A26&gt;INDEX($V$4:$V$75,($B$3-1)*6+$D$3),"",INDEX('Training Log'!$I$10:$I$669,INDEX($U$4:$U$75,($B$3-1)*6+$D$3)-10+A26))</x:f>
      </x:c>
      <x:c r="C26" s="92" t="str">
        <x:f>IF(A26&gt;INDEX($V$4:$V$75,($B$3-1)*6+$D$3),"",INDEX('Training Log'!$J$10:$J$669,INDEX($U$4:$U$75,($B$3-1)*6+$D$3)-10+A26))</x:f>
      </x:c>
      <x:c r="D26" s="92" t="str">
        <x:f>IF(A26&gt;INDEX($V$4:$V$75,($B$3-1)*6+$D$3),"",INDEX('Training Log'!$L$10:$L$669,INDEX($U$4:$U$75,($B$3-1)*6+$D$3)-10+A26))</x:f>
      </x:c>
      <x:c r="E26" s="92" t="str">
        <x:f>IF(A26&gt;INDEX($V$4:$V$75,($B$3-1)*6+$D$3),"",INDEX('Training Log'!$Y$10:$Y$669,INDEX($U$4:$U$75,($B$3-1)*6+$D$3)-10+A26))</x:f>
      </x:c>
      <x:c r="F26" s="92" t="str">
        <x:f>IF(IF(A26&gt;INDEX($V$4:$V$75,($B$3-1)*6+$D$3),"",INDEX('Training Log'!$I$10:$I$669,INDEX($U$4:$U$75,($B$3-1)*6+$D$3)-10+A26))="","",IF(A26&gt;INDEX($V$4:$V$75,($B$3-1)*6+$D$3),"",INDEX('Training Log'!$O$10:$O$669,INDEX($U$4:$U$75,($B$3-1)*6+$D$3)-10+A26))&amp;"–"&amp;IF(A26&gt;INDEX($V$4:$V$75,($B$3-1)*6+$D$3),"",INDEX('Training Log'!$P$10:$P$669,INDEX($U$4:$U$75,($B$3-1)*6+$D$3)-10+A26)))</x:f>
      </x:c>
      <x:c r="G26" s="92" t="str">
        <x:f>IF(A26&gt;INDEX($V$4:$V$75,($B$3-1)*6+$D$3),"",INDEX('Training Log'!$Q$10:$Q$669,INDEX($U$4:$U$75,($B$3-1)*6+$D$3)-10+A26))</x:f>
      </x:c>
      <x:c r="H26" s="297" t="str">
        <x:f>IF(A26&gt;INDEX($V$4:$V$75,($B$3-1)*6+$D$3),"",INDEX('Training Log'!$Z$10:$Z$669,INDEX($U$4:$U$75,($B$3-1)*6+$D$3)-10+A26))</x:f>
      </x:c>
      <x:c r="I26" s="93" t="str">
        <x:f>IF(A26&gt;INDEX($V$4:$V$75,($B$3-1)*6+$D$3),"",INDEX('Training Log'!$V$10:$V$669,INDEX($U$4:$U$75,($B$3-1)*6+$D$3)-10+A26))</x:f>
      </x:c>
      <x:c r="J26" s="295" t="str">
        <x:v>Shoulders</x:v>
      </x:c>
      <x:c r="K26" s="296" t="n">
        <x:f>SUMIFS('Training Log'!$N$10:$N$669,'Training Log'!$C$10:$C$669,$B$3,'Training Log'!$K$10:$K$669,J26,'Training Log'!$J$10:$J$669,"Strength")+SUMIFS('Training Log'!$N$10:$N$669,'Training Log'!$C$10:$C$669,$B$3,'Training Log'!$K$10:$K$669,J26,'Training Log'!$J$10:$J$669,"Hypertrophy")</x:f>
        <x:v>12</x:v>
      </x:c>
      <x:c r="L26" s="80"/>
      <x:c r="M26" s="80"/>
      <x:c r="N26" s="80"/>
      <x:c r="O26" s="80"/>
      <x:c r="P26" s="80"/>
      <x:c r="Q26" s="80"/>
      <x:c r="R26" s="80"/>
      <x:c r="S26" s="285" t="n">
        <x:v>4</x:v>
      </x:c>
      <x:c r="T26" s="286" t="n">
        <x:v>5</x:v>
      </x:c>
      <x:c r="U26" s="286" t="n">
        <x:v>215</x:v>
      </x:c>
      <x:c r="V26" s="287" t="n">
        <x:v>10</x:v>
      </x:c>
    </x:row>
    <x:row r="27">
      <x:c r="A27" s="80"/>
      <x:c r="B27" s="80"/>
      <x:c r="C27" s="80"/>
      <x:c r="D27" s="80"/>
      <x:c r="E27" s="80"/>
      <x:c r="F27" s="80"/>
      <x:c r="G27" s="80"/>
      <x:c r="H27" s="80"/>
      <x:c r="I27" s="80"/>
      <x:c r="J27" s="295" t="str">
        <x:v>Triceps</x:v>
      </x:c>
      <x:c r="K27" s="296" t="n">
        <x:f>SUMIFS('Training Log'!$N$10:$N$669,'Training Log'!$C$10:$C$669,$B$3,'Training Log'!$K$10:$K$669,J27,'Training Log'!$J$10:$J$669,"Strength")+SUMIFS('Training Log'!$N$10:$N$669,'Training Log'!$C$10:$C$669,$B$3,'Training Log'!$K$10:$K$669,J27,'Training Log'!$J$10:$J$669,"Hypertrophy")</x:f>
        <x:v>6</x:v>
      </x:c>
      <x:c r="L27" s="80"/>
      <x:c r="M27" s="80"/>
      <x:c r="N27" s="80"/>
      <x:c r="O27" s="80"/>
      <x:c r="P27" s="80"/>
      <x:c r="Q27" s="80"/>
      <x:c r="R27" s="80"/>
      <x:c r="S27" s="285" t="n">
        <x:v>4</x:v>
      </x:c>
      <x:c r="T27" s="286" t="n">
        <x:v>6</x:v>
      </x:c>
      <x:c r="U27" s="286" t="n">
        <x:v>225</x:v>
      </x:c>
      <x:c r="V27" s="287" t="n">
        <x:v>9</x:v>
      </x:c>
    </x:row>
    <x:row r="28">
      <x:c r="A28" s="80"/>
      <x:c r="B28" s="80"/>
      <x:c r="C28" s="80"/>
      <x:c r="D28" s="80"/>
      <x:c r="E28" s="80"/>
      <x:c r="F28" s="80"/>
      <x:c r="G28" s="80"/>
      <x:c r="H28" s="80"/>
      <x:c r="I28" s="80"/>
      <x:c r="J28" s="295" t="str">
        <x:v>Biceps</x:v>
      </x:c>
      <x:c r="K28" s="296" t="n">
        <x:f>SUMIFS('Training Log'!$N$10:$N$669,'Training Log'!$C$10:$C$669,$B$3,'Training Log'!$K$10:$K$669,J28,'Training Log'!$J$10:$J$669,"Strength")+SUMIFS('Training Log'!$N$10:$N$669,'Training Log'!$C$10:$C$669,$B$3,'Training Log'!$K$10:$K$669,J28,'Training Log'!$J$10:$J$669,"Hypertrophy")</x:f>
        <x:v>6</x:v>
      </x:c>
      <x:c r="L28" s="80"/>
      <x:c r="M28" s="80"/>
      <x:c r="N28" s="80"/>
      <x:c r="O28" s="80"/>
      <x:c r="P28" s="80"/>
      <x:c r="Q28" s="80"/>
      <x:c r="R28" s="80"/>
      <x:c r="S28" s="285" t="n">
        <x:v>5</x:v>
      </x:c>
      <x:c r="T28" s="286" t="n">
        <x:v>1</x:v>
      </x:c>
      <x:c r="U28" s="286" t="n">
        <x:v>234</x:v>
      </x:c>
      <x:c r="V28" s="287" t="n">
        <x:v>9</x:v>
      </x:c>
    </x:row>
    <x:row r="29">
      <x:c r="A29" s="80"/>
      <x:c r="B29" s="80"/>
      <x:c r="C29" s="80"/>
      <x:c r="D29" s="80"/>
      <x:c r="E29" s="80"/>
      <x:c r="F29" s="80"/>
      <x:c r="G29" s="80"/>
      <x:c r="H29" s="80"/>
      <x:c r="I29" s="80"/>
      <x:c r="J29" s="295" t="str">
        <x:v>Quads</x:v>
      </x:c>
      <x:c r="K29" s="296" t="n">
        <x:f>SUMIFS('Training Log'!$N$10:$N$669,'Training Log'!$C$10:$C$669,$B$3,'Training Log'!$K$10:$K$669,J29,'Training Log'!$J$10:$J$669,"Strength")+SUMIFS('Training Log'!$N$10:$N$669,'Training Log'!$C$10:$C$669,$B$3,'Training Log'!$K$10:$K$669,J29,'Training Log'!$J$10:$J$669,"Hypertrophy")</x:f>
        <x:v>16</x:v>
      </x:c>
      <x:c r="L29" s="80"/>
      <x:c r="M29" s="80"/>
      <x:c r="N29" s="80"/>
      <x:c r="O29" s="80"/>
      <x:c r="P29" s="80"/>
      <x:c r="Q29" s="80"/>
      <x:c r="R29" s="80"/>
      <x:c r="S29" s="285" t="n">
        <x:v>5</x:v>
      </x:c>
      <x:c r="T29" s="286" t="n">
        <x:v>2</x:v>
      </x:c>
      <x:c r="U29" s="286" t="n">
        <x:v>243</x:v>
      </x:c>
      <x:c r="V29" s="287" t="n">
        <x:v>9</x:v>
      </x:c>
    </x:row>
    <x:row r="30">
      <x:c r="A30" s="80"/>
      <x:c r="B30" s="80"/>
      <x:c r="C30" s="80"/>
      <x:c r="D30" s="80"/>
      <x:c r="E30" s="80"/>
      <x:c r="F30" s="80"/>
      <x:c r="G30" s="80"/>
      <x:c r="H30" s="80"/>
      <x:c r="I30" s="80"/>
      <x:c r="J30" s="295" t="str">
        <x:v>Hamstrings</x:v>
      </x:c>
      <x:c r="K30" s="296" t="n">
        <x:f>SUMIFS('Training Log'!$N$10:$N$669,'Training Log'!$C$10:$C$669,$B$3,'Training Log'!$K$10:$K$669,J30,'Training Log'!$J$10:$J$669,"Strength")+SUMIFS('Training Log'!$N$10:$N$669,'Training Log'!$C$10:$C$669,$B$3,'Training Log'!$K$10:$K$669,J30,'Training Log'!$J$10:$J$669,"Hypertrophy")</x:f>
        <x:v>6</x:v>
      </x:c>
      <x:c r="L30" s="80"/>
      <x:c r="M30" s="80"/>
      <x:c r="N30" s="80"/>
      <x:c r="O30" s="80"/>
      <x:c r="P30" s="80"/>
      <x:c r="Q30" s="80"/>
      <x:c r="R30" s="80"/>
      <x:c r="S30" s="285" t="n">
        <x:v>5</x:v>
      </x:c>
      <x:c r="T30" s="286" t="n">
        <x:v>3</x:v>
      </x:c>
      <x:c r="U30" s="286" t="n">
        <x:v>252</x:v>
      </x:c>
      <x:c r="V30" s="287" t="n">
        <x:v>8</x:v>
      </x:c>
    </x:row>
    <x:row r="31">
      <x:c r="A31" s="80"/>
      <x:c r="B31" s="80"/>
      <x:c r="C31" s="80"/>
      <x:c r="D31" s="80"/>
      <x:c r="E31" s="80"/>
      <x:c r="F31" s="80"/>
      <x:c r="G31" s="80"/>
      <x:c r="H31" s="80"/>
      <x:c r="I31" s="80"/>
      <x:c r="J31" s="295" t="str">
        <x:v>Glutes</x:v>
      </x:c>
      <x:c r="K31" s="296" t="n">
        <x:f>SUMIFS('Training Log'!$N$10:$N$669,'Training Log'!$C$10:$C$669,$B$3,'Training Log'!$K$10:$K$669,J31,'Training Log'!$J$10:$J$669,"Strength")+SUMIFS('Training Log'!$N$10:$N$669,'Training Log'!$C$10:$C$669,$B$3,'Training Log'!$K$10:$K$669,J31,'Training Log'!$J$10:$J$669,"Hypertrophy")</x:f>
        <x:v>3</x:v>
      </x:c>
      <x:c r="L31" s="80"/>
      <x:c r="M31" s="80"/>
      <x:c r="N31" s="80"/>
      <x:c r="O31" s="80"/>
      <x:c r="P31" s="80"/>
      <x:c r="Q31" s="80"/>
      <x:c r="R31" s="80"/>
      <x:c r="S31" s="285" t="n">
        <x:v>5</x:v>
      </x:c>
      <x:c r="T31" s="286" t="n">
        <x:v>4</x:v>
      </x:c>
      <x:c r="U31" s="286" t="n">
        <x:v>260</x:v>
      </x:c>
      <x:c r="V31" s="287" t="n">
        <x:v>8</x:v>
      </x:c>
    </x:row>
    <x:row r="32">
      <x:c r="A32" s="80"/>
      <x:c r="B32" s="80"/>
      <x:c r="C32" s="80"/>
      <x:c r="D32" s="80"/>
      <x:c r="E32" s="80"/>
      <x:c r="F32" s="80"/>
      <x:c r="G32" s="80"/>
      <x:c r="H32" s="80"/>
      <x:c r="I32" s="80"/>
      <x:c r="J32" s="295" t="str">
        <x:v>Calves</x:v>
      </x:c>
      <x:c r="K32" s="296" t="n">
        <x:f>SUMIFS('Training Log'!$N$10:$N$669,'Training Log'!$C$10:$C$669,$B$3,'Training Log'!$K$10:$K$669,J32,'Training Log'!$J$10:$J$669,"Strength")+SUMIFS('Training Log'!$N$10:$N$669,'Training Log'!$C$10:$C$669,$B$3,'Training Log'!$K$10:$K$669,J32,'Training Log'!$J$10:$J$669,"Hypertrophy")</x:f>
        <x:v>6</x:v>
      </x:c>
      <x:c r="L32" s="80"/>
      <x:c r="M32" s="80"/>
      <x:c r="N32" s="80"/>
      <x:c r="O32" s="80"/>
      <x:c r="P32" s="80"/>
      <x:c r="Q32" s="80"/>
      <x:c r="R32" s="80"/>
      <x:c r="S32" s="285" t="n">
        <x:v>5</x:v>
      </x:c>
      <x:c r="T32" s="286" t="n">
        <x:v>5</x:v>
      </x:c>
      <x:c r="U32" s="286" t="n">
        <x:v>268</x:v>
      </x:c>
      <x:c r="V32" s="287" t="n">
        <x:v>9</x:v>
      </x:c>
    </x:row>
    <x:row r="33">
      <x:c r="A33" s="80"/>
      <x:c r="B33" s="80"/>
      <x:c r="C33" s="80"/>
      <x:c r="D33" s="80"/>
      <x:c r="E33" s="80"/>
      <x:c r="F33" s="80"/>
      <x:c r="G33" s="80"/>
      <x:c r="H33" s="80"/>
      <x:c r="I33" s="80"/>
      <x:c r="J33" s="298" t="str">
        <x:v>Core</x:v>
      </x:c>
      <x:c r="K33" s="299" t="n">
        <x:f>SUMIFS('Training Log'!$N$10:$N$669,'Training Log'!$C$10:$C$669,$B$3,'Training Log'!$K$10:$K$669,J33,'Training Log'!$J$10:$J$669,"Strength")+SUMIFS('Training Log'!$N$10:$N$669,'Training Log'!$C$10:$C$669,$B$3,'Training Log'!$K$10:$K$669,J33,'Training Log'!$J$10:$J$669,"Hypertrophy")</x:f>
        <x:v>0</x:v>
      </x:c>
      <x:c r="L33" s="80"/>
      <x:c r="M33" s="80"/>
      <x:c r="N33" s="80"/>
      <x:c r="O33" s="80"/>
      <x:c r="P33" s="80"/>
      <x:c r="Q33" s="80"/>
      <x:c r="R33" s="80"/>
      <x:c r="S33" s="285" t="n">
        <x:v>5</x:v>
      </x:c>
      <x:c r="T33" s="286" t="n">
        <x:v>6</x:v>
      </x:c>
      <x:c r="U33" s="286" t="n">
        <x:v>277</x:v>
      </x:c>
      <x:c r="V33" s="287" t="n">
        <x:v>10</x:v>
      </x:c>
    </x:row>
    <x:row r="34">
      <x:c r="A34" s="80"/>
      <x:c r="B34" s="80"/>
      <x:c r="C34" s="80"/>
      <x:c r="D34" s="80"/>
      <x:c r="E34" s="80"/>
      <x:c r="F34" s="80"/>
      <x:c r="G34" s="80"/>
      <x:c r="H34" s="80"/>
      <x:c r="I34" s="80"/>
      <x:c r="J34" s="80"/>
      <x:c r="K34" s="80"/>
      <x:c r="L34" s="80"/>
      <x:c r="M34" s="80"/>
      <x:c r="N34" s="80"/>
      <x:c r="O34" s="80"/>
      <x:c r="P34" s="80"/>
      <x:c r="Q34" s="80"/>
      <x:c r="R34" s="80"/>
      <x:c r="S34" s="285" t="n">
        <x:v>6</x:v>
      </x:c>
      <x:c r="T34" s="286" t="n">
        <x:v>1</x:v>
      </x:c>
      <x:c r="U34" s="286" t="n">
        <x:v>287</x:v>
      </x:c>
      <x:c r="V34" s="287" t="n">
        <x:v>9</x:v>
      </x:c>
    </x:row>
    <x:row r="35">
      <x:c r="A35" s="80"/>
      <x:c r="B35" s="80"/>
      <x:c r="C35" s="80"/>
      <x:c r="D35" s="80"/>
      <x:c r="E35" s="80"/>
      <x:c r="F35" s="80"/>
      <x:c r="G35" s="80"/>
      <x:c r="H35" s="80"/>
      <x:c r="I35" s="80"/>
      <x:c r="J35" s="80"/>
      <x:c r="K35" s="80"/>
      <x:c r="L35" s="80"/>
      <x:c r="M35" s="80"/>
      <x:c r="N35" s="80"/>
      <x:c r="O35" s="80"/>
      <x:c r="P35" s="80"/>
      <x:c r="Q35" s="80"/>
      <x:c r="R35" s="80"/>
      <x:c r="S35" s="285" t="n">
        <x:v>6</x:v>
      </x:c>
      <x:c r="T35" s="286" t="n">
        <x:v>2</x:v>
      </x:c>
      <x:c r="U35" s="286" t="n">
        <x:v>296</x:v>
      </x:c>
      <x:c r="V35" s="287" t="n">
        <x:v>9</x:v>
      </x:c>
    </x:row>
    <x:row r="36">
      <x:c r="A36" s="80"/>
      <x:c r="B36" s="80"/>
      <x:c r="C36" s="80"/>
      <x:c r="D36" s="80"/>
      <x:c r="E36" s="80"/>
      <x:c r="F36" s="80"/>
      <x:c r="G36" s="80"/>
      <x:c r="H36" s="80"/>
      <x:c r="I36" s="80"/>
      <x:c r="J36" s="80"/>
      <x:c r="K36" s="80"/>
      <x:c r="L36" s="80"/>
      <x:c r="M36" s="80"/>
      <x:c r="N36" s="80"/>
      <x:c r="O36" s="80"/>
      <x:c r="P36" s="80"/>
      <x:c r="Q36" s="80"/>
      <x:c r="R36" s="80"/>
      <x:c r="S36" s="285" t="n">
        <x:v>6</x:v>
      </x:c>
      <x:c r="T36" s="286" t="n">
        <x:v>3</x:v>
      </x:c>
      <x:c r="U36" s="286" t="n">
        <x:v>305</x:v>
      </x:c>
      <x:c r="V36" s="287" t="n">
        <x:v>8</x:v>
      </x:c>
    </x:row>
    <x:row r="37">
      <x:c r="A37" s="80"/>
      <x:c r="B37" s="80"/>
      <x:c r="C37" s="80"/>
      <x:c r="D37" s="80"/>
      <x:c r="E37" s="80"/>
      <x:c r="F37" s="80"/>
      <x:c r="G37" s="80"/>
      <x:c r="H37" s="80"/>
      <x:c r="I37" s="80"/>
      <x:c r="J37" s="80"/>
      <x:c r="K37" s="80"/>
      <x:c r="L37" s="80"/>
      <x:c r="M37" s="80"/>
      <x:c r="N37" s="80"/>
      <x:c r="O37" s="80"/>
      <x:c r="P37" s="80"/>
      <x:c r="Q37" s="80"/>
      <x:c r="R37" s="80"/>
      <x:c r="S37" s="285" t="n">
        <x:v>6</x:v>
      </x:c>
      <x:c r="T37" s="286" t="n">
        <x:v>4</x:v>
      </x:c>
      <x:c r="U37" s="286" t="n">
        <x:v>313</x:v>
      </x:c>
      <x:c r="V37" s="287" t="n">
        <x:v>8</x:v>
      </x:c>
    </x:row>
    <x:row r="38">
      <x:c r="A38" s="80"/>
      <x:c r="B38" s="80"/>
      <x:c r="C38" s="80"/>
      <x:c r="D38" s="80"/>
      <x:c r="E38" s="80"/>
      <x:c r="F38" s="80"/>
      <x:c r="G38" s="80"/>
      <x:c r="H38" s="80"/>
      <x:c r="I38" s="80"/>
      <x:c r="J38" s="80"/>
      <x:c r="K38" s="80"/>
      <x:c r="L38" s="80"/>
      <x:c r="M38" s="80"/>
      <x:c r="N38" s="80"/>
      <x:c r="O38" s="80"/>
      <x:c r="P38" s="80"/>
      <x:c r="Q38" s="80"/>
      <x:c r="R38" s="80"/>
      <x:c r="S38" s="285" t="n">
        <x:v>6</x:v>
      </x:c>
      <x:c r="T38" s="286" t="n">
        <x:v>5</x:v>
      </x:c>
      <x:c r="U38" s="286" t="n">
        <x:v>321</x:v>
      </x:c>
      <x:c r="V38" s="287" t="n">
        <x:v>9</x:v>
      </x:c>
    </x:row>
    <x:row r="39">
      <x:c r="A39" s="80"/>
      <x:c r="B39" s="80"/>
      <x:c r="C39" s="80"/>
      <x:c r="D39" s="80"/>
      <x:c r="E39" s="80"/>
      <x:c r="F39" s="80"/>
      <x:c r="G39" s="80"/>
      <x:c r="H39" s="80"/>
      <x:c r="I39" s="80"/>
      <x:c r="J39" s="80"/>
      <x:c r="K39" s="80"/>
      <x:c r="L39" s="80"/>
      <x:c r="M39" s="80"/>
      <x:c r="N39" s="80"/>
      <x:c r="O39" s="80"/>
      <x:c r="P39" s="80"/>
      <x:c r="Q39" s="80"/>
      <x:c r="R39" s="80"/>
      <x:c r="S39" s="285" t="n">
        <x:v>6</x:v>
      </x:c>
      <x:c r="T39" s="286" t="n">
        <x:v>6</x:v>
      </x:c>
      <x:c r="U39" s="286" t="n">
        <x:v>330</x:v>
      </x:c>
      <x:c r="V39" s="287" t="n">
        <x:v>10</x:v>
      </x:c>
    </x:row>
    <x:row r="40">
      <x:c r="A40" s="80"/>
      <x:c r="B40" s="80"/>
      <x:c r="C40" s="80"/>
      <x:c r="D40" s="80"/>
      <x:c r="E40" s="80"/>
      <x:c r="F40" s="80"/>
      <x:c r="G40" s="80"/>
      <x:c r="H40" s="80"/>
      <x:c r="I40" s="80"/>
      <x:c r="J40" s="80"/>
      <x:c r="K40" s="80"/>
      <x:c r="L40" s="80"/>
      <x:c r="M40" s="80"/>
      <x:c r="N40" s="80"/>
      <x:c r="O40" s="80"/>
      <x:c r="P40" s="80"/>
      <x:c r="Q40" s="80"/>
      <x:c r="R40" s="80"/>
      <x:c r="S40" s="285" t="n">
        <x:v>7</x:v>
      </x:c>
      <x:c r="T40" s="286" t="n">
        <x:v>1</x:v>
      </x:c>
      <x:c r="U40" s="286" t="n">
        <x:v>340</x:v>
      </x:c>
      <x:c r="V40" s="287" t="n">
        <x:v>9</x:v>
      </x:c>
    </x:row>
    <x:row r="41">
      <x:c r="A41" s="80"/>
      <x:c r="B41" s="80"/>
      <x:c r="C41" s="80"/>
      <x:c r="D41" s="80"/>
      <x:c r="E41" s="80"/>
      <x:c r="F41" s="80"/>
      <x:c r="G41" s="80"/>
      <x:c r="H41" s="80"/>
      <x:c r="I41" s="80"/>
      <x:c r="J41" s="80"/>
      <x:c r="K41" s="80"/>
      <x:c r="L41" s="80"/>
      <x:c r="M41" s="80"/>
      <x:c r="N41" s="80"/>
      <x:c r="O41" s="80"/>
      <x:c r="P41" s="80"/>
      <x:c r="Q41" s="80"/>
      <x:c r="R41" s="80"/>
      <x:c r="S41" s="285" t="n">
        <x:v>7</x:v>
      </x:c>
      <x:c r="T41" s="286" t="n">
        <x:v>2</x:v>
      </x:c>
      <x:c r="U41" s="286" t="n">
        <x:v>349</x:v>
      </x:c>
      <x:c r="V41" s="287" t="n">
        <x:v>9</x:v>
      </x:c>
    </x:row>
    <x:row r="42">
      <x:c r="A42" s="80"/>
      <x:c r="B42" s="80"/>
      <x:c r="C42" s="80"/>
      <x:c r="D42" s="80"/>
      <x:c r="E42" s="80"/>
      <x:c r="F42" s="80"/>
      <x:c r="G42" s="80"/>
      <x:c r="H42" s="80"/>
      <x:c r="I42" s="80"/>
      <x:c r="J42" s="80"/>
      <x:c r="K42" s="80"/>
      <x:c r="L42" s="80"/>
      <x:c r="M42" s="80"/>
      <x:c r="N42" s="80"/>
      <x:c r="O42" s="80"/>
      <x:c r="P42" s="80"/>
      <x:c r="Q42" s="80"/>
      <x:c r="R42" s="80"/>
      <x:c r="S42" s="285" t="n">
        <x:v>7</x:v>
      </x:c>
      <x:c r="T42" s="286" t="n">
        <x:v>3</x:v>
      </x:c>
      <x:c r="U42" s="286" t="n">
        <x:v>358</x:v>
      </x:c>
      <x:c r="V42" s="287" t="n">
        <x:v>8</x:v>
      </x:c>
    </x:row>
    <x:row r="43">
      <x:c r="A43" s="80"/>
      <x:c r="B43" s="80"/>
      <x:c r="C43" s="80"/>
      <x:c r="D43" s="80"/>
      <x:c r="E43" s="80"/>
      <x:c r="F43" s="80"/>
      <x:c r="G43" s="80"/>
      <x:c r="H43" s="80"/>
      <x:c r="I43" s="80"/>
      <x:c r="J43" s="80"/>
      <x:c r="K43" s="80"/>
      <x:c r="L43" s="80"/>
      <x:c r="M43" s="80"/>
      <x:c r="N43" s="80"/>
      <x:c r="O43" s="80"/>
      <x:c r="P43" s="80"/>
      <x:c r="Q43" s="80"/>
      <x:c r="R43" s="80"/>
      <x:c r="S43" s="285" t="n">
        <x:v>7</x:v>
      </x:c>
      <x:c r="T43" s="286" t="n">
        <x:v>4</x:v>
      </x:c>
      <x:c r="U43" s="286" t="n">
        <x:v>366</x:v>
      </x:c>
      <x:c r="V43" s="287" t="n">
        <x:v>8</x:v>
      </x:c>
    </x:row>
    <x:row r="44">
      <x:c r="A44" s="80"/>
      <x:c r="B44" s="80"/>
      <x:c r="C44" s="80"/>
      <x:c r="D44" s="80"/>
      <x:c r="E44" s="80"/>
      <x:c r="F44" s="80"/>
      <x:c r="G44" s="80"/>
      <x:c r="H44" s="80"/>
      <x:c r="I44" s="80"/>
      <x:c r="J44" s="80"/>
      <x:c r="K44" s="80"/>
      <x:c r="L44" s="80"/>
      <x:c r="M44" s="80"/>
      <x:c r="N44" s="80"/>
      <x:c r="O44" s="80"/>
      <x:c r="P44" s="80"/>
      <x:c r="Q44" s="80"/>
      <x:c r="R44" s="80"/>
      <x:c r="S44" s="285" t="n">
        <x:v>7</x:v>
      </x:c>
      <x:c r="T44" s="286" t="n">
        <x:v>5</x:v>
      </x:c>
      <x:c r="U44" s="286" t="n">
        <x:v>374</x:v>
      </x:c>
      <x:c r="V44" s="287" t="n">
        <x:v>9</x:v>
      </x:c>
    </x:row>
    <x:row r="45">
      <x:c r="A45" s="80"/>
      <x:c r="B45" s="80"/>
      <x:c r="C45" s="80"/>
      <x:c r="D45" s="80"/>
      <x:c r="E45" s="80"/>
      <x:c r="F45" s="80"/>
      <x:c r="G45" s="80"/>
      <x:c r="H45" s="80"/>
      <x:c r="I45" s="80"/>
      <x:c r="J45" s="80"/>
      <x:c r="K45" s="80"/>
      <x:c r="L45" s="80"/>
      <x:c r="M45" s="80"/>
      <x:c r="N45" s="80"/>
      <x:c r="O45" s="80"/>
      <x:c r="P45" s="80"/>
      <x:c r="Q45" s="80"/>
      <x:c r="R45" s="80"/>
      <x:c r="S45" s="285" t="n">
        <x:v>7</x:v>
      </x:c>
      <x:c r="T45" s="286" t="n">
        <x:v>6</x:v>
      </x:c>
      <x:c r="U45" s="286" t="n">
        <x:v>383</x:v>
      </x:c>
      <x:c r="V45" s="287" t="n">
        <x:v>10</x:v>
      </x:c>
    </x:row>
    <x:row r="46">
      <x:c r="A46" s="80"/>
      <x:c r="B46" s="80"/>
      <x:c r="C46" s="80"/>
      <x:c r="D46" s="80"/>
      <x:c r="E46" s="80"/>
      <x:c r="F46" s="80"/>
      <x:c r="G46" s="80"/>
      <x:c r="H46" s="80"/>
      <x:c r="I46" s="80"/>
      <x:c r="J46" s="80"/>
      <x:c r="K46" s="80"/>
      <x:c r="L46" s="80"/>
      <x:c r="M46" s="80"/>
      <x:c r="N46" s="80"/>
      <x:c r="O46" s="80"/>
      <x:c r="P46" s="80"/>
      <x:c r="Q46" s="80"/>
      <x:c r="R46" s="80"/>
      <x:c r="S46" s="285" t="n">
        <x:v>8</x:v>
      </x:c>
      <x:c r="T46" s="286" t="n">
        <x:v>1</x:v>
      </x:c>
      <x:c r="U46" s="286" t="n">
        <x:v>393</x:v>
      </x:c>
      <x:c r="V46" s="287" t="n">
        <x:v>9</x:v>
      </x:c>
    </x:row>
    <x:row r="47">
      <x:c r="A47" s="80"/>
      <x:c r="B47" s="80"/>
      <x:c r="C47" s="80"/>
      <x:c r="D47" s="80"/>
      <x:c r="E47" s="80"/>
      <x:c r="F47" s="80"/>
      <x:c r="G47" s="80"/>
      <x:c r="H47" s="80"/>
      <x:c r="I47" s="80"/>
      <x:c r="J47" s="80"/>
      <x:c r="K47" s="80"/>
      <x:c r="L47" s="80"/>
      <x:c r="M47" s="80"/>
      <x:c r="N47" s="80"/>
      <x:c r="O47" s="80"/>
      <x:c r="P47" s="80"/>
      <x:c r="Q47" s="80"/>
      <x:c r="R47" s="80"/>
      <x:c r="S47" s="285" t="n">
        <x:v>8</x:v>
      </x:c>
      <x:c r="T47" s="286" t="n">
        <x:v>2</x:v>
      </x:c>
      <x:c r="U47" s="286" t="n">
        <x:v>402</x:v>
      </x:c>
      <x:c r="V47" s="287" t="n">
        <x:v>9</x:v>
      </x:c>
    </x:row>
    <x:row r="48">
      <x:c r="A48" s="80"/>
      <x:c r="B48" s="80"/>
      <x:c r="C48" s="80"/>
      <x:c r="D48" s="80"/>
      <x:c r="E48" s="80"/>
      <x:c r="F48" s="80"/>
      <x:c r="G48" s="80"/>
      <x:c r="H48" s="80"/>
      <x:c r="I48" s="80"/>
      <x:c r="J48" s="80"/>
      <x:c r="K48" s="80"/>
      <x:c r="L48" s="80"/>
      <x:c r="M48" s="80"/>
      <x:c r="N48" s="80"/>
      <x:c r="O48" s="80"/>
      <x:c r="P48" s="80"/>
      <x:c r="Q48" s="80"/>
      <x:c r="R48" s="80"/>
      <x:c r="S48" s="285" t="n">
        <x:v>8</x:v>
      </x:c>
      <x:c r="T48" s="286" t="n">
        <x:v>3</x:v>
      </x:c>
      <x:c r="U48" s="286" t="n">
        <x:v>411</x:v>
      </x:c>
      <x:c r="V48" s="287" t="n">
        <x:v>8</x:v>
      </x:c>
    </x:row>
    <x:row r="49">
      <x:c r="A49" s="80"/>
      <x:c r="B49" s="80"/>
      <x:c r="C49" s="80"/>
      <x:c r="D49" s="80"/>
      <x:c r="E49" s="80"/>
      <x:c r="F49" s="80"/>
      <x:c r="G49" s="80"/>
      <x:c r="H49" s="80"/>
      <x:c r="I49" s="80"/>
      <x:c r="J49" s="80"/>
      <x:c r="K49" s="80"/>
      <x:c r="L49" s="80"/>
      <x:c r="M49" s="80"/>
      <x:c r="N49" s="80"/>
      <x:c r="O49" s="80"/>
      <x:c r="P49" s="80"/>
      <x:c r="Q49" s="80"/>
      <x:c r="R49" s="80"/>
      <x:c r="S49" s="285" t="n">
        <x:v>8</x:v>
      </x:c>
      <x:c r="T49" s="286" t="n">
        <x:v>4</x:v>
      </x:c>
      <x:c r="U49" s="286" t="n">
        <x:v>419</x:v>
      </x:c>
      <x:c r="V49" s="287" t="n">
        <x:v>8</x:v>
      </x:c>
    </x:row>
    <x:row r="50">
      <x:c r="A50" s="80"/>
      <x:c r="B50" s="80"/>
      <x:c r="C50" s="80"/>
      <x:c r="D50" s="80"/>
      <x:c r="E50" s="80"/>
      <x:c r="F50" s="80"/>
      <x:c r="G50" s="80"/>
      <x:c r="H50" s="80"/>
      <x:c r="I50" s="80"/>
      <x:c r="J50" s="80"/>
      <x:c r="K50" s="80"/>
      <x:c r="L50" s="80"/>
      <x:c r="M50" s="80"/>
      <x:c r="N50" s="80"/>
      <x:c r="O50" s="80"/>
      <x:c r="P50" s="80"/>
      <x:c r="Q50" s="80"/>
      <x:c r="R50" s="80"/>
      <x:c r="S50" s="285" t="n">
        <x:v>8</x:v>
      </x:c>
      <x:c r="T50" s="286" t="n">
        <x:v>5</x:v>
      </x:c>
      <x:c r="U50" s="286" t="n">
        <x:v>427</x:v>
      </x:c>
      <x:c r="V50" s="287" t="n">
        <x:v>9</x:v>
      </x:c>
    </x:row>
    <x:row r="51">
      <x:c r="A51" s="80"/>
      <x:c r="B51" s="80"/>
      <x:c r="C51" s="80"/>
      <x:c r="D51" s="80"/>
      <x:c r="E51" s="80"/>
      <x:c r="F51" s="80"/>
      <x:c r="G51" s="80"/>
      <x:c r="H51" s="80"/>
      <x:c r="I51" s="80"/>
      <x:c r="J51" s="80"/>
      <x:c r="K51" s="80"/>
      <x:c r="L51" s="80"/>
      <x:c r="M51" s="80"/>
      <x:c r="N51" s="80"/>
      <x:c r="O51" s="80"/>
      <x:c r="P51" s="80"/>
      <x:c r="Q51" s="80"/>
      <x:c r="R51" s="80"/>
      <x:c r="S51" s="285" t="n">
        <x:v>8</x:v>
      </x:c>
      <x:c r="T51" s="286" t="n">
        <x:v>6</x:v>
      </x:c>
      <x:c r="U51" s="286" t="n">
        <x:v>436</x:v>
      </x:c>
      <x:c r="V51" s="287" t="n">
        <x:v>10</x:v>
      </x:c>
    </x:row>
    <x:row r="52">
      <x:c r="A52" s="80"/>
      <x:c r="B52" s="80"/>
      <x:c r="C52" s="80"/>
      <x:c r="D52" s="80"/>
      <x:c r="E52" s="80"/>
      <x:c r="F52" s="80"/>
      <x:c r="G52" s="80"/>
      <x:c r="H52" s="80"/>
      <x:c r="I52" s="80"/>
      <x:c r="J52" s="80"/>
      <x:c r="K52" s="80"/>
      <x:c r="L52" s="80"/>
      <x:c r="M52" s="80"/>
      <x:c r="N52" s="80"/>
      <x:c r="O52" s="80"/>
      <x:c r="P52" s="80"/>
      <x:c r="Q52" s="80"/>
      <x:c r="R52" s="80"/>
      <x:c r="S52" s="285" t="n">
        <x:v>9</x:v>
      </x:c>
      <x:c r="T52" s="286" t="n">
        <x:v>1</x:v>
      </x:c>
      <x:c r="U52" s="286" t="n">
        <x:v>446</x:v>
      </x:c>
      <x:c r="V52" s="287" t="n">
        <x:v>9</x:v>
      </x:c>
    </x:row>
    <x:row r="53">
      <x:c r="A53" s="80"/>
      <x:c r="B53" s="80"/>
      <x:c r="C53" s="80"/>
      <x:c r="D53" s="80"/>
      <x:c r="E53" s="80"/>
      <x:c r="F53" s="80"/>
      <x:c r="G53" s="80"/>
      <x:c r="H53" s="80"/>
      <x:c r="I53" s="80"/>
      <x:c r="J53" s="80"/>
      <x:c r="K53" s="80"/>
      <x:c r="L53" s="80"/>
      <x:c r="M53" s="80"/>
      <x:c r="N53" s="80"/>
      <x:c r="O53" s="80"/>
      <x:c r="P53" s="80"/>
      <x:c r="Q53" s="80"/>
      <x:c r="R53" s="80"/>
      <x:c r="S53" s="285" t="n">
        <x:v>9</x:v>
      </x:c>
      <x:c r="T53" s="286" t="n">
        <x:v>2</x:v>
      </x:c>
      <x:c r="U53" s="286" t="n">
        <x:v>455</x:v>
      </x:c>
      <x:c r="V53" s="287" t="n">
        <x:v>10</x:v>
      </x:c>
    </x:row>
    <x:row r="54">
      <x:c r="A54" s="80"/>
      <x:c r="B54" s="80"/>
      <x:c r="C54" s="80"/>
      <x:c r="D54" s="80"/>
      <x:c r="E54" s="80"/>
      <x:c r="F54" s="80"/>
      <x:c r="G54" s="80"/>
      <x:c r="H54" s="80"/>
      <x:c r="I54" s="80"/>
      <x:c r="J54" s="80"/>
      <x:c r="K54" s="80"/>
      <x:c r="L54" s="80"/>
      <x:c r="M54" s="80"/>
      <x:c r="N54" s="80"/>
      <x:c r="O54" s="80"/>
      <x:c r="P54" s="80"/>
      <x:c r="Q54" s="80"/>
      <x:c r="R54" s="80"/>
      <x:c r="S54" s="285" t="n">
        <x:v>9</x:v>
      </x:c>
      <x:c r="T54" s="286" t="n">
        <x:v>3</x:v>
      </x:c>
      <x:c r="U54" s="286" t="n">
        <x:v>465</x:v>
      </x:c>
      <x:c r="V54" s="287" t="n">
        <x:v>9</x:v>
      </x:c>
    </x:row>
    <x:row r="55">
      <x:c r="A55" s="80"/>
      <x:c r="B55" s="80"/>
      <x:c r="C55" s="80"/>
      <x:c r="D55" s="80"/>
      <x:c r="E55" s="80"/>
      <x:c r="F55" s="80"/>
      <x:c r="G55" s="80"/>
      <x:c r="H55" s="80"/>
      <x:c r="I55" s="80"/>
      <x:c r="J55" s="80"/>
      <x:c r="K55" s="80"/>
      <x:c r="L55" s="80"/>
      <x:c r="M55" s="80"/>
      <x:c r="N55" s="80"/>
      <x:c r="O55" s="80"/>
      <x:c r="P55" s="80"/>
      <x:c r="Q55" s="80"/>
      <x:c r="R55" s="80"/>
      <x:c r="S55" s="285" t="n">
        <x:v>9</x:v>
      </x:c>
      <x:c r="T55" s="286" t="n">
        <x:v>4</x:v>
      </x:c>
      <x:c r="U55" s="286" t="n">
        <x:v>474</x:v>
      </x:c>
      <x:c r="V55" s="287" t="n">
        <x:v>9</x:v>
      </x:c>
    </x:row>
    <x:row r="56">
      <x:c r="A56" s="80"/>
      <x:c r="B56" s="80"/>
      <x:c r="C56" s="80"/>
      <x:c r="D56" s="80"/>
      <x:c r="E56" s="80"/>
      <x:c r="F56" s="80"/>
      <x:c r="G56" s="80"/>
      <x:c r="H56" s="80"/>
      <x:c r="I56" s="80"/>
      <x:c r="J56" s="80"/>
      <x:c r="K56" s="80"/>
      <x:c r="L56" s="80"/>
      <x:c r="M56" s="80"/>
      <x:c r="N56" s="80"/>
      <x:c r="O56" s="80"/>
      <x:c r="P56" s="80"/>
      <x:c r="Q56" s="80"/>
      <x:c r="R56" s="80"/>
      <x:c r="S56" s="285" t="n">
        <x:v>9</x:v>
      </x:c>
      <x:c r="T56" s="286" t="n">
        <x:v>5</x:v>
      </x:c>
      <x:c r="U56" s="286" t="n">
        <x:v>483</x:v>
      </x:c>
      <x:c r="V56" s="287" t="n">
        <x:v>9</x:v>
      </x:c>
    </x:row>
    <x:row r="57">
      <x:c r="A57" s="80"/>
      <x:c r="B57" s="80"/>
      <x:c r="C57" s="80"/>
      <x:c r="D57" s="80"/>
      <x:c r="E57" s="80"/>
      <x:c r="F57" s="80"/>
      <x:c r="G57" s="80"/>
      <x:c r="H57" s="80"/>
      <x:c r="I57" s="80"/>
      <x:c r="J57" s="80"/>
      <x:c r="K57" s="80"/>
      <x:c r="L57" s="80"/>
      <x:c r="M57" s="80"/>
      <x:c r="N57" s="80"/>
      <x:c r="O57" s="80"/>
      <x:c r="P57" s="80"/>
      <x:c r="Q57" s="80"/>
      <x:c r="R57" s="80"/>
      <x:c r="S57" s="285" t="n">
        <x:v>9</x:v>
      </x:c>
      <x:c r="T57" s="286" t="n">
        <x:v>6</x:v>
      </x:c>
      <x:c r="U57" s="286" t="n">
        <x:v>492</x:v>
      </x:c>
      <x:c r="V57" s="287" t="n">
        <x:v>10</x:v>
      </x:c>
    </x:row>
    <x:row r="58">
      <x:c r="A58" s="80"/>
      <x:c r="B58" s="80"/>
      <x:c r="C58" s="80"/>
      <x:c r="D58" s="80"/>
      <x:c r="E58" s="80"/>
      <x:c r="F58" s="80"/>
      <x:c r="G58" s="80"/>
      <x:c r="H58" s="80"/>
      <x:c r="I58" s="80"/>
      <x:c r="J58" s="80"/>
      <x:c r="K58" s="80"/>
      <x:c r="L58" s="80"/>
      <x:c r="M58" s="80"/>
      <x:c r="N58" s="80"/>
      <x:c r="O58" s="80"/>
      <x:c r="P58" s="80"/>
      <x:c r="Q58" s="80"/>
      <x:c r="R58" s="80"/>
      <x:c r="S58" s="285" t="n">
        <x:v>10</x:v>
      </x:c>
      <x:c r="T58" s="286" t="n">
        <x:v>1</x:v>
      </x:c>
      <x:c r="U58" s="286" t="n">
        <x:v>502</x:v>
      </x:c>
      <x:c r="V58" s="287" t="n">
        <x:v>9</x:v>
      </x:c>
    </x:row>
    <x:row r="59">
      <x:c r="A59" s="80"/>
      <x:c r="B59" s="80"/>
      <x:c r="C59" s="80"/>
      <x:c r="D59" s="80"/>
      <x:c r="E59" s="80"/>
      <x:c r="F59" s="80"/>
      <x:c r="G59" s="80"/>
      <x:c r="H59" s="80"/>
      <x:c r="I59" s="80"/>
      <x:c r="J59" s="80"/>
      <x:c r="K59" s="80"/>
      <x:c r="L59" s="80"/>
      <x:c r="M59" s="80"/>
      <x:c r="N59" s="80"/>
      <x:c r="O59" s="80"/>
      <x:c r="P59" s="80"/>
      <x:c r="Q59" s="80"/>
      <x:c r="R59" s="80"/>
      <x:c r="S59" s="285" t="n">
        <x:v>10</x:v>
      </x:c>
      <x:c r="T59" s="286" t="n">
        <x:v>2</x:v>
      </x:c>
      <x:c r="U59" s="286" t="n">
        <x:v>511</x:v>
      </x:c>
      <x:c r="V59" s="287" t="n">
        <x:v>10</x:v>
      </x:c>
    </x:row>
    <x:row r="60">
      <x:c r="A60" s="80"/>
      <x:c r="B60" s="80"/>
      <x:c r="C60" s="80"/>
      <x:c r="D60" s="80"/>
      <x:c r="E60" s="80"/>
      <x:c r="F60" s="80"/>
      <x:c r="G60" s="80"/>
      <x:c r="H60" s="80"/>
      <x:c r="I60" s="80"/>
      <x:c r="J60" s="80"/>
      <x:c r="K60" s="80"/>
      <x:c r="L60" s="80"/>
      <x:c r="M60" s="80"/>
      <x:c r="N60" s="80"/>
      <x:c r="O60" s="80"/>
      <x:c r="P60" s="80"/>
      <x:c r="Q60" s="80"/>
      <x:c r="R60" s="80"/>
      <x:c r="S60" s="285" t="n">
        <x:v>10</x:v>
      </x:c>
      <x:c r="T60" s="286" t="n">
        <x:v>3</x:v>
      </x:c>
      <x:c r="U60" s="286" t="n">
        <x:v>521</x:v>
      </x:c>
      <x:c r="V60" s="287" t="n">
        <x:v>9</x:v>
      </x:c>
    </x:row>
    <x:row r="61">
      <x:c r="A61" s="80"/>
      <x:c r="B61" s="80"/>
      <x:c r="C61" s="80"/>
      <x:c r="D61" s="80"/>
      <x:c r="E61" s="80"/>
      <x:c r="F61" s="80"/>
      <x:c r="G61" s="80"/>
      <x:c r="H61" s="80"/>
      <x:c r="I61" s="80"/>
      <x:c r="J61" s="80"/>
      <x:c r="K61" s="80"/>
      <x:c r="L61" s="80"/>
      <x:c r="M61" s="80"/>
      <x:c r="N61" s="80"/>
      <x:c r="O61" s="80"/>
      <x:c r="P61" s="80"/>
      <x:c r="Q61" s="80"/>
      <x:c r="R61" s="80"/>
      <x:c r="S61" s="285" t="n">
        <x:v>10</x:v>
      </x:c>
      <x:c r="T61" s="286" t="n">
        <x:v>4</x:v>
      </x:c>
      <x:c r="U61" s="286" t="n">
        <x:v>530</x:v>
      </x:c>
      <x:c r="V61" s="287" t="n">
        <x:v>9</x:v>
      </x:c>
    </x:row>
    <x:row r="62">
      <x:c r="A62" s="80"/>
      <x:c r="B62" s="80"/>
      <x:c r="C62" s="80"/>
      <x:c r="D62" s="80"/>
      <x:c r="E62" s="80"/>
      <x:c r="F62" s="80"/>
      <x:c r="G62" s="80"/>
      <x:c r="H62" s="80"/>
      <x:c r="I62" s="80"/>
      <x:c r="J62" s="80"/>
      <x:c r="K62" s="80"/>
      <x:c r="L62" s="80"/>
      <x:c r="M62" s="80"/>
      <x:c r="N62" s="80"/>
      <x:c r="O62" s="80"/>
      <x:c r="P62" s="80"/>
      <x:c r="Q62" s="80"/>
      <x:c r="R62" s="80"/>
      <x:c r="S62" s="285" t="n">
        <x:v>10</x:v>
      </x:c>
      <x:c r="T62" s="286" t="n">
        <x:v>5</x:v>
      </x:c>
      <x:c r="U62" s="286" t="n">
        <x:v>539</x:v>
      </x:c>
      <x:c r="V62" s="287" t="n">
        <x:v>9</x:v>
      </x:c>
    </x:row>
    <x:row r="63">
      <x:c r="A63" s="80"/>
      <x:c r="B63" s="80"/>
      <x:c r="C63" s="80"/>
      <x:c r="D63" s="80"/>
      <x:c r="E63" s="80"/>
      <x:c r="F63" s="80"/>
      <x:c r="G63" s="80"/>
      <x:c r="H63" s="80"/>
      <x:c r="I63" s="80"/>
      <x:c r="J63" s="80"/>
      <x:c r="K63" s="80"/>
      <x:c r="L63" s="80"/>
      <x:c r="M63" s="80"/>
      <x:c r="N63" s="80"/>
      <x:c r="O63" s="80"/>
      <x:c r="P63" s="80"/>
      <x:c r="Q63" s="80"/>
      <x:c r="R63" s="80"/>
      <x:c r="S63" s="285" t="n">
        <x:v>10</x:v>
      </x:c>
      <x:c r="T63" s="286" t="n">
        <x:v>6</x:v>
      </x:c>
      <x:c r="U63" s="286" t="n">
        <x:v>548</x:v>
      </x:c>
      <x:c r="V63" s="287" t="n">
        <x:v>10</x:v>
      </x:c>
    </x:row>
    <x:row r="64">
      <x:c r="A64" s="80"/>
      <x:c r="B64" s="80"/>
      <x:c r="C64" s="80"/>
      <x:c r="D64" s="80"/>
      <x:c r="E64" s="80"/>
      <x:c r="F64" s="80"/>
      <x:c r="G64" s="80"/>
      <x:c r="H64" s="80"/>
      <x:c r="I64" s="80"/>
      <x:c r="J64" s="80"/>
      <x:c r="K64" s="80"/>
      <x:c r="L64" s="80"/>
      <x:c r="M64" s="80"/>
      <x:c r="N64" s="80"/>
      <x:c r="O64" s="80"/>
      <x:c r="P64" s="80"/>
      <x:c r="Q64" s="80"/>
      <x:c r="R64" s="80"/>
      <x:c r="S64" s="285" t="n">
        <x:v>11</x:v>
      </x:c>
      <x:c r="T64" s="286" t="n">
        <x:v>1</x:v>
      </x:c>
      <x:c r="U64" s="286" t="n">
        <x:v>558</x:v>
      </x:c>
      <x:c r="V64" s="287" t="n">
        <x:v>9</x:v>
      </x:c>
    </x:row>
    <x:row r="65">
      <x:c r="A65" s="80"/>
      <x:c r="B65" s="80"/>
      <x:c r="C65" s="80"/>
      <x:c r="D65" s="80"/>
      <x:c r="E65" s="80"/>
      <x:c r="F65" s="80"/>
      <x:c r="G65" s="80"/>
      <x:c r="H65" s="80"/>
      <x:c r="I65" s="80"/>
      <x:c r="J65" s="80"/>
      <x:c r="K65" s="80"/>
      <x:c r="L65" s="80"/>
      <x:c r="M65" s="80"/>
      <x:c r="N65" s="80"/>
      <x:c r="O65" s="80"/>
      <x:c r="P65" s="80"/>
      <x:c r="Q65" s="80"/>
      <x:c r="R65" s="80"/>
      <x:c r="S65" s="285" t="n">
        <x:v>11</x:v>
      </x:c>
      <x:c r="T65" s="286" t="n">
        <x:v>2</x:v>
      </x:c>
      <x:c r="U65" s="286" t="n">
        <x:v>567</x:v>
      </x:c>
      <x:c r="V65" s="287" t="n">
        <x:v>10</x:v>
      </x:c>
    </x:row>
    <x:row r="66">
      <x:c r="A66" s="80"/>
      <x:c r="B66" s="80"/>
      <x:c r="C66" s="80"/>
      <x:c r="D66" s="80"/>
      <x:c r="E66" s="80"/>
      <x:c r="F66" s="80"/>
      <x:c r="G66" s="80"/>
      <x:c r="H66" s="80"/>
      <x:c r="I66" s="80"/>
      <x:c r="J66" s="80"/>
      <x:c r="K66" s="80"/>
      <x:c r="L66" s="80"/>
      <x:c r="M66" s="80"/>
      <x:c r="N66" s="80"/>
      <x:c r="O66" s="80"/>
      <x:c r="P66" s="80"/>
      <x:c r="Q66" s="80"/>
      <x:c r="R66" s="80"/>
      <x:c r="S66" s="285" t="n">
        <x:v>11</x:v>
      </x:c>
      <x:c r="T66" s="286" t="n">
        <x:v>3</x:v>
      </x:c>
      <x:c r="U66" s="286" t="n">
        <x:v>577</x:v>
      </x:c>
      <x:c r="V66" s="287" t="n">
        <x:v>9</x:v>
      </x:c>
    </x:row>
    <x:row r="67">
      <x:c r="A67" s="80"/>
      <x:c r="B67" s="80"/>
      <x:c r="C67" s="80"/>
      <x:c r="D67" s="80"/>
      <x:c r="E67" s="80"/>
      <x:c r="F67" s="80"/>
      <x:c r="G67" s="80"/>
      <x:c r="H67" s="80"/>
      <x:c r="I67" s="80"/>
      <x:c r="J67" s="80"/>
      <x:c r="K67" s="80"/>
      <x:c r="L67" s="80"/>
      <x:c r="M67" s="80"/>
      <x:c r="N67" s="80"/>
      <x:c r="O67" s="80"/>
      <x:c r="P67" s="80"/>
      <x:c r="Q67" s="80"/>
      <x:c r="R67" s="80"/>
      <x:c r="S67" s="285" t="n">
        <x:v>11</x:v>
      </x:c>
      <x:c r="T67" s="286" t="n">
        <x:v>4</x:v>
      </x:c>
      <x:c r="U67" s="286" t="n">
        <x:v>586</x:v>
      </x:c>
      <x:c r="V67" s="287" t="n">
        <x:v>9</x:v>
      </x:c>
    </x:row>
    <x:row r="68">
      <x:c r="A68" s="80"/>
      <x:c r="B68" s="80"/>
      <x:c r="C68" s="80"/>
      <x:c r="D68" s="80"/>
      <x:c r="E68" s="80"/>
      <x:c r="F68" s="80"/>
      <x:c r="G68" s="80"/>
      <x:c r="H68" s="80"/>
      <x:c r="I68" s="80"/>
      <x:c r="J68" s="80"/>
      <x:c r="K68" s="80"/>
      <x:c r="L68" s="80"/>
      <x:c r="M68" s="80"/>
      <x:c r="N68" s="80"/>
      <x:c r="O68" s="80"/>
      <x:c r="P68" s="80"/>
      <x:c r="Q68" s="80"/>
      <x:c r="R68" s="80"/>
      <x:c r="S68" s="285" t="n">
        <x:v>11</x:v>
      </x:c>
      <x:c r="T68" s="286" t="n">
        <x:v>5</x:v>
      </x:c>
      <x:c r="U68" s="286" t="n">
        <x:v>595</x:v>
      </x:c>
      <x:c r="V68" s="287" t="n">
        <x:v>9</x:v>
      </x:c>
    </x:row>
    <x:row r="69">
      <x:c r="A69" s="80"/>
      <x:c r="B69" s="80"/>
      <x:c r="C69" s="80"/>
      <x:c r="D69" s="80"/>
      <x:c r="E69" s="80"/>
      <x:c r="F69" s="80"/>
      <x:c r="G69" s="80"/>
      <x:c r="H69" s="80"/>
      <x:c r="I69" s="80"/>
      <x:c r="J69" s="80"/>
      <x:c r="K69" s="80"/>
      <x:c r="L69" s="80"/>
      <x:c r="M69" s="80"/>
      <x:c r="N69" s="80"/>
      <x:c r="O69" s="80"/>
      <x:c r="P69" s="80"/>
      <x:c r="Q69" s="80"/>
      <x:c r="R69" s="80"/>
      <x:c r="S69" s="285" t="n">
        <x:v>11</x:v>
      </x:c>
      <x:c r="T69" s="286" t="n">
        <x:v>6</x:v>
      </x:c>
      <x:c r="U69" s="286" t="n">
        <x:v>604</x:v>
      </x:c>
      <x:c r="V69" s="287" t="n">
        <x:v>10</x:v>
      </x:c>
    </x:row>
    <x:row r="70">
      <x:c r="A70" s="80"/>
      <x:c r="B70" s="80"/>
      <x:c r="C70" s="80"/>
      <x:c r="D70" s="80"/>
      <x:c r="E70" s="80"/>
      <x:c r="F70" s="80"/>
      <x:c r="G70" s="80"/>
      <x:c r="H70" s="80"/>
      <x:c r="I70" s="80"/>
      <x:c r="J70" s="80"/>
      <x:c r="K70" s="80"/>
      <x:c r="L70" s="80"/>
      <x:c r="M70" s="80"/>
      <x:c r="N70" s="80"/>
      <x:c r="O70" s="80"/>
      <x:c r="P70" s="80"/>
      <x:c r="Q70" s="80"/>
      <x:c r="R70" s="80"/>
      <x:c r="S70" s="285" t="n">
        <x:v>12</x:v>
      </x:c>
      <x:c r="T70" s="286" t="n">
        <x:v>1</x:v>
      </x:c>
      <x:c r="U70" s="286" t="n">
        <x:v>614</x:v>
      </x:c>
      <x:c r="V70" s="287" t="n">
        <x:v>9</x:v>
      </x:c>
    </x:row>
    <x:row r="71">
      <x:c r="A71" s="80"/>
      <x:c r="B71" s="80"/>
      <x:c r="C71" s="80"/>
      <x:c r="D71" s="80"/>
      <x:c r="E71" s="80"/>
      <x:c r="F71" s="80"/>
      <x:c r="G71" s="80"/>
      <x:c r="H71" s="80"/>
      <x:c r="I71" s="80"/>
      <x:c r="J71" s="80"/>
      <x:c r="K71" s="80"/>
      <x:c r="L71" s="80"/>
      <x:c r="M71" s="80"/>
      <x:c r="N71" s="80"/>
      <x:c r="O71" s="80"/>
      <x:c r="P71" s="80"/>
      <x:c r="Q71" s="80"/>
      <x:c r="R71" s="80"/>
      <x:c r="S71" s="285" t="n">
        <x:v>12</x:v>
      </x:c>
      <x:c r="T71" s="286" t="n">
        <x:v>2</x:v>
      </x:c>
      <x:c r="U71" s="286" t="n">
        <x:v>623</x:v>
      </x:c>
      <x:c r="V71" s="287" t="n">
        <x:v>10</x:v>
      </x:c>
    </x:row>
    <x:row r="72">
      <x:c r="A72" s="80"/>
      <x:c r="B72" s="80"/>
      <x:c r="C72" s="80"/>
      <x:c r="D72" s="80"/>
      <x:c r="E72" s="80"/>
      <x:c r="F72" s="80"/>
      <x:c r="G72" s="80"/>
      <x:c r="H72" s="80"/>
      <x:c r="I72" s="80"/>
      <x:c r="J72" s="80"/>
      <x:c r="K72" s="80"/>
      <x:c r="L72" s="80"/>
      <x:c r="M72" s="80"/>
      <x:c r="N72" s="80"/>
      <x:c r="O72" s="80"/>
      <x:c r="P72" s="80"/>
      <x:c r="Q72" s="80"/>
      <x:c r="R72" s="80"/>
      <x:c r="S72" s="285" t="n">
        <x:v>12</x:v>
      </x:c>
      <x:c r="T72" s="286" t="n">
        <x:v>3</x:v>
      </x:c>
      <x:c r="U72" s="286" t="n">
        <x:v>633</x:v>
      </x:c>
      <x:c r="V72" s="287" t="n">
        <x:v>9</x:v>
      </x:c>
    </x:row>
    <x:row r="73">
      <x:c r="A73" s="80"/>
      <x:c r="B73" s="80"/>
      <x:c r="C73" s="80"/>
      <x:c r="D73" s="80"/>
      <x:c r="E73" s="80"/>
      <x:c r="F73" s="80"/>
      <x:c r="G73" s="80"/>
      <x:c r="H73" s="80"/>
      <x:c r="I73" s="80"/>
      <x:c r="J73" s="80"/>
      <x:c r="K73" s="80"/>
      <x:c r="L73" s="80"/>
      <x:c r="M73" s="80"/>
      <x:c r="N73" s="80"/>
      <x:c r="O73" s="80"/>
      <x:c r="P73" s="80"/>
      <x:c r="Q73" s="80"/>
      <x:c r="R73" s="80"/>
      <x:c r="S73" s="285" t="n">
        <x:v>12</x:v>
      </x:c>
      <x:c r="T73" s="286" t="n">
        <x:v>4</x:v>
      </x:c>
      <x:c r="U73" s="286" t="n">
        <x:v>642</x:v>
      </x:c>
      <x:c r="V73" s="287" t="n">
        <x:v>9</x:v>
      </x:c>
    </x:row>
    <x:row r="74">
      <x:c r="A74" s="80"/>
      <x:c r="B74" s="80"/>
      <x:c r="C74" s="80"/>
      <x:c r="D74" s="80"/>
      <x:c r="E74" s="80"/>
      <x:c r="F74" s="80"/>
      <x:c r="G74" s="80"/>
      <x:c r="H74" s="80"/>
      <x:c r="I74" s="80"/>
      <x:c r="J74" s="80"/>
      <x:c r="K74" s="80"/>
      <x:c r="L74" s="80"/>
      <x:c r="M74" s="80"/>
      <x:c r="N74" s="80"/>
      <x:c r="O74" s="80"/>
      <x:c r="P74" s="80"/>
      <x:c r="Q74" s="80"/>
      <x:c r="R74" s="80"/>
      <x:c r="S74" s="285" t="n">
        <x:v>12</x:v>
      </x:c>
      <x:c r="T74" s="286" t="n">
        <x:v>5</x:v>
      </x:c>
      <x:c r="U74" s="286" t="n">
        <x:v>651</x:v>
      </x:c>
      <x:c r="V74" s="287" t="n">
        <x:v>9</x:v>
      </x:c>
    </x:row>
    <x:row r="75">
      <x:c r="A75" s="80"/>
      <x:c r="B75" s="80"/>
      <x:c r="C75" s="80"/>
      <x:c r="D75" s="80"/>
      <x:c r="E75" s="80"/>
      <x:c r="F75" s="80"/>
      <x:c r="G75" s="80"/>
      <x:c r="H75" s="80"/>
      <x:c r="I75" s="80"/>
      <x:c r="J75" s="80"/>
      <x:c r="K75" s="80"/>
      <x:c r="L75" s="80"/>
      <x:c r="M75" s="80"/>
      <x:c r="N75" s="80"/>
      <x:c r="O75" s="80"/>
      <x:c r="P75" s="80"/>
      <x:c r="Q75" s="80"/>
      <x:c r="R75" s="80"/>
      <x:c r="S75" s="300" t="n">
        <x:v>12</x:v>
      </x:c>
      <x:c r="T75" s="301" t="n">
        <x:v>6</x:v>
      </x:c>
      <x:c r="U75" s="301" t="n">
        <x:v>660</x:v>
      </x:c>
      <x:c r="V75" s="302" t="n">
        <x:v>10</x:v>
      </x:c>
    </x:row>
  </x:sheetData>
  <x:mergeCells>
    <x:mergeCell ref="A1:Q1"/>
    <x:mergeCell ref="A2:Q2"/>
    <x:mergeCell ref="A6:H6"/>
    <x:mergeCell ref="B7:H7"/>
    <x:mergeCell ref="B8:H8"/>
    <x:mergeCell ref="B9:H9"/>
    <x:mergeCell ref="B10:H10"/>
    <x:mergeCell ref="B11:H11"/>
    <x:mergeCell ref="B12:H12"/>
    <x:mergeCell ref="B13:H13"/>
    <x:mergeCell ref="A15:I15"/>
  </x:mergeCells>
  <x:dataValidations count="2">
    <x:dataValidation type="whole" operator="between" sqref="B3">
      <x:formula1>1</x:formula1>
      <x:formula2>12</x:formula2>
    </x:dataValidation>
    <x:dataValidation type="whole" operator="between" sqref="D3">
      <x:formula1>1</x:formula1>
      <x:formula2>6</x:formula2>
    </x:dataValidation>
  </x:dataValidations>
  <x:pageMargins left="0.7" right="0.7" top="0.75" bottom="0.75" header="0.3" footer="0.3"/>
  <x:drawing xmlns:r="http://schemas.openxmlformats.org/officeDocument/2006/relationships" r:id="R0cbe350ac0f046da"/>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7" hidden="0" customWidth="1"/>
    <x:col min="3" max="3" width="7" hidden="0" customWidth="1"/>
    <x:col min="4" max="4" width="24" hidden="0" customWidth="1"/>
    <x:col min="5" max="5" width="11" hidden="0" customWidth="1"/>
    <x:col min="6" max="6" width="11" hidden="0" customWidth="1"/>
    <x:col min="7" max="7" width="12" hidden="0" customWidth="1"/>
    <x:col min="8" max="8" width="10" hidden="0" customWidth="1"/>
    <x:col min="9" max="9" width="13" hidden="0" customWidth="1"/>
    <x:col min="10" max="10" width="11" hidden="0" customWidth="1"/>
    <x:col min="11" max="11" width="12" hidden="0" customWidth="1"/>
    <x:col min="12" max="12" width="14" hidden="0" customWidth="1"/>
    <x:col min="13" max="13" width="42" hidden="0" customWidth="1"/>
    <x:col min="14" max="14" width="12" hidden="0" customWidth="1"/>
    <x:col min="15" max="15" width="10" hidden="0" customWidth="1"/>
    <x:col min="16" max="16" width="12" hidden="0" customWidth="1"/>
    <x:col min="17" max="17" width="36" hidden="0" customWidth="1"/>
    <x:col min="18" max="18" width="13" hidden="0" customWidth="1"/>
    <x:col min="19" max="19" width="11" hidden="0" customWidth="1"/>
    <x:col min="20" max="20" width="11" hidden="0" customWidth="1"/>
    <x:col min="21" max="21" width="11" hidden="0" customWidth="1"/>
  </x:cols>
  <x:sheetData>
    <x:row r="1" ht="34" customHeight="1">
      <x:c r="A1" s="78" t="str">
        <x:v>Daily Readiness &amp; Session Feedback</x:v>
      </x:c>
      <x:c r="B1" s="78" t="str">
        <x:v>Daily Readiness &amp; Session Feedback</x:v>
      </x:c>
      <x:c r="C1" s="78" t="str">
        <x:v>Daily Readiness &amp; Session Feedback</x:v>
      </x:c>
      <x:c r="D1" s="78" t="str">
        <x:v>Daily Readiness &amp; Session Feedback</x:v>
      </x:c>
      <x:c r="E1" s="78" t="str">
        <x:v>Daily Readiness &amp; Session Feedback</x:v>
      </x:c>
      <x:c r="F1" s="78" t="str">
        <x:v>Daily Readiness &amp; Session Feedback</x:v>
      </x:c>
      <x:c r="G1" s="78" t="str">
        <x:v>Daily Readiness &amp; Session Feedback</x:v>
      </x:c>
      <x:c r="H1" s="78" t="str">
        <x:v>Daily Readiness &amp; Session Feedback</x:v>
      </x:c>
      <x:c r="I1" s="78" t="str">
        <x:v>Daily Readiness &amp; Session Feedback</x:v>
      </x:c>
      <x:c r="J1" s="78" t="str">
        <x:v>Daily Readiness &amp; Session Feedback</x:v>
      </x:c>
      <x:c r="K1" s="78" t="str">
        <x:v>Daily Readiness &amp; Session Feedback</x:v>
      </x:c>
      <x:c r="L1" s="78" t="str">
        <x:v>Daily Readiness &amp; Session Feedback</x:v>
      </x:c>
      <x:c r="M1" s="78" t="str">
        <x:v>Daily Readiness &amp; Session Feedback</x:v>
      </x:c>
      <x:c r="N1" s="78" t="str">
        <x:v>Daily Readiness &amp; Session Feedback</x:v>
      </x:c>
      <x:c r="O1" s="78" t="str">
        <x:v>Daily Readiness &amp; Session Feedback</x:v>
      </x:c>
      <x:c r="P1" s="78" t="str">
        <x:v>Daily Readiness &amp; Session Feedback</x:v>
      </x:c>
      <x:c r="Q1" s="78" t="str">
        <x:v>Daily Readiness &amp; Session Feedback</x:v>
      </x:c>
      <x:c r="R1" s="78" t="str">
        <x:v>Daily Readiness &amp; Session Feedback</x:v>
      </x:c>
      <x:c r="S1" s="78" t="str">
        <x:v>Daily Readiness &amp; Session Feedback</x:v>
      </x:c>
      <x:c r="T1" s="78" t="str">
        <x:v>Daily Readiness &amp; Session Feedback</x:v>
      </x:c>
      <x:c r="U1" s="78" t="str">
        <x:v>Daily Readiness &amp; Session Feedback</x:v>
      </x:c>
    </x:row>
    <x:row r="2" ht="28" customHeight="1">
      <x:c r="A2" s="79" t="str">
        <x:v>Enter blue cells before and after each session. Blank readiness does not reduce the workout.</x:v>
      </x:c>
      <x:c r="B2" s="79" t="str">
        <x:v>Enter blue cells before and after each session. Blank readiness does not reduce the workout.</x:v>
      </x:c>
      <x:c r="C2" s="79" t="str">
        <x:v>Enter blue cells before and after each session. Blank readiness does not reduce the workout.</x:v>
      </x:c>
      <x:c r="D2" s="79" t="str">
        <x:v>Enter blue cells before and after each session. Blank readiness does not reduce the workout.</x:v>
      </x:c>
      <x:c r="E2" s="79" t="str">
        <x:v>Enter blue cells before and after each session. Blank readiness does not reduce the workout.</x:v>
      </x:c>
      <x:c r="F2" s="79" t="str">
        <x:v>Enter blue cells before and after each session. Blank readiness does not reduce the workout.</x:v>
      </x:c>
      <x:c r="G2" s="79" t="str">
        <x:v>Enter blue cells before and after each session. Blank readiness does not reduce the workout.</x:v>
      </x:c>
      <x:c r="H2" s="79" t="str">
        <x:v>Enter blue cells before and after each session. Blank readiness does not reduce the workout.</x:v>
      </x:c>
      <x:c r="I2" s="79" t="str">
        <x:v>Enter blue cells before and after each session. Blank readiness does not reduce the workout.</x:v>
      </x:c>
      <x:c r="J2" s="79" t="str">
        <x:v>Enter blue cells before and after each session. Blank readiness does not reduce the workout.</x:v>
      </x:c>
      <x:c r="K2" s="79" t="str">
        <x:v>Enter blue cells before and after each session. Blank readiness does not reduce the workout.</x:v>
      </x:c>
      <x:c r="L2" s="79" t="str">
        <x:v>Enter blue cells before and after each session. Blank readiness does not reduce the workout.</x:v>
      </x:c>
      <x:c r="M2" s="79" t="str">
        <x:v>Enter blue cells before and after each session. Blank readiness does not reduce the workout.</x:v>
      </x:c>
      <x:c r="N2" s="79" t="str">
        <x:v>Enter blue cells before and after each session. Blank readiness does not reduce the workout.</x:v>
      </x:c>
      <x:c r="O2" s="79" t="str">
        <x:v>Enter blue cells before and after each session. Blank readiness does not reduce the workout.</x:v>
      </x:c>
      <x:c r="P2" s="79" t="str">
        <x:v>Enter blue cells before and after each session. Blank readiness does not reduce the workout.</x:v>
      </x:c>
      <x:c r="Q2" s="79" t="str">
        <x:v>Enter blue cells before and after each session. Blank readiness does not reduce the workout.</x:v>
      </x:c>
      <x:c r="R2" s="79" t="str">
        <x:v>Enter blue cells before and after each session. Blank readiness does not reduce the workout.</x:v>
      </x:c>
      <x:c r="S2" s="79" t="str">
        <x:v>Enter blue cells before and after each session. Blank readiness does not reduce the workout.</x:v>
      </x:c>
      <x:c r="T2" s="79" t="str">
        <x:v>Enter blue cells before and after each session. Blank readiness does not reduce the workout.</x:v>
      </x:c>
      <x:c r="U2" s="79" t="str">
        <x:v>Enter blue cells before and after each session. Blank readiness does not reduce the workout.</x:v>
      </x:c>
    </x:row>
    <x:row r="3">
      <x:c r="A3" s="80"/>
      <x:c r="B3" s="80"/>
      <x:c r="C3" s="80"/>
      <x:c r="D3" s="80"/>
      <x:c r="E3" s="80"/>
      <x:c r="F3" s="80"/>
      <x:c r="G3" s="80"/>
      <x:c r="H3" s="80"/>
      <x:c r="I3" s="80"/>
      <x:c r="J3" s="80"/>
      <x:c r="K3" s="80"/>
      <x:c r="L3" s="80"/>
      <x:c r="M3" s="80"/>
      <x:c r="N3" s="80"/>
      <x:c r="O3" s="80"/>
      <x:c r="P3" s="80"/>
      <x:c r="Q3" s="80"/>
      <x:c r="R3" s="80"/>
      <x:c r="S3" s="80"/>
      <x:c r="T3" s="80"/>
      <x:c r="U3" s="80"/>
    </x:row>
    <x:row r="4">
      <x:c r="A4" s="303" t="str">
        <x:v>Scales: sleep, energy, motivation 1 = poor and 5 = excellent. Soreness and stress 1 = low and 5 = high. Pain 0 = none and 10 = severe. Helper columns keep the score auditable.</x:v>
      </x:c>
      <x:c r="B4" s="303" t="str">
        <x:v>Scales: sleep, energy, motivation 1 = poor and 5 = excellent. Soreness and stress 1 = low and 5 = high. Pain 0 = none and 10 = severe. Helper columns keep the score auditable.</x:v>
      </x:c>
      <x:c r="C4" s="303" t="str">
        <x:v>Scales: sleep, energy, motivation 1 = poor and 5 = excellent. Soreness and stress 1 = low and 5 = high. Pain 0 = none and 10 = severe. Helper columns keep the score auditable.</x:v>
      </x:c>
      <x:c r="D4" s="303" t="str">
        <x:v>Scales: sleep, energy, motivation 1 = poor and 5 = excellent. Soreness and stress 1 = low and 5 = high. Pain 0 = none and 10 = severe. Helper columns keep the score auditable.</x:v>
      </x:c>
      <x:c r="E4" s="303" t="str">
        <x:v>Scales: sleep, energy, motivation 1 = poor and 5 = excellent. Soreness and stress 1 = low and 5 = high. Pain 0 = none and 10 = severe. Helper columns keep the score auditable.</x:v>
      </x:c>
      <x:c r="F4" s="303" t="str">
        <x:v>Scales: sleep, energy, motivation 1 = poor and 5 = excellent. Soreness and stress 1 = low and 5 = high. Pain 0 = none and 10 = severe. Helper columns keep the score auditable.</x:v>
      </x:c>
      <x:c r="G4" s="303" t="str">
        <x:v>Scales: sleep, energy, motivation 1 = poor and 5 = excellent. Soreness and stress 1 = low and 5 = high. Pain 0 = none and 10 = severe. Helper columns keep the score auditable.</x:v>
      </x:c>
      <x:c r="H4" s="303" t="str">
        <x:v>Scales: sleep, energy, motivation 1 = poor and 5 = excellent. Soreness and stress 1 = low and 5 = high. Pain 0 = none and 10 = severe. Helper columns keep the score auditable.</x:v>
      </x:c>
      <x:c r="I4" s="303" t="str">
        <x:v>Scales: sleep, energy, motivation 1 = poor and 5 = excellent. Soreness and stress 1 = low and 5 = high. Pain 0 = none and 10 = severe. Helper columns keep the score auditable.</x:v>
      </x:c>
      <x:c r="J4" s="303" t="str">
        <x:v>Scales: sleep, energy, motivation 1 = poor and 5 = excellent. Soreness and stress 1 = low and 5 = high. Pain 0 = none and 10 = severe. Helper columns keep the score auditable.</x:v>
      </x:c>
      <x:c r="K4" s="303" t="str">
        <x:v>Scales: sleep, energy, motivation 1 = poor and 5 = excellent. Soreness and stress 1 = low and 5 = high. Pain 0 = none and 10 = severe. Helper columns keep the score auditable.</x:v>
      </x:c>
      <x:c r="L4" s="303" t="str">
        <x:v>Scales: sleep, energy, motivation 1 = poor and 5 = excellent. Soreness and stress 1 = low and 5 = high. Pain 0 = none and 10 = severe. Helper columns keep the score auditable.</x:v>
      </x:c>
      <x:c r="M4" s="303" t="str">
        <x:v>Scales: sleep, energy, motivation 1 = poor and 5 = excellent. Soreness and stress 1 = low and 5 = high. Pain 0 = none and 10 = severe. Helper columns keep the score auditable.</x:v>
      </x:c>
      <x:c r="N4" s="303" t="str">
        <x:v>Scales: sleep, energy, motivation 1 = poor and 5 = excellent. Soreness and stress 1 = low and 5 = high. Pain 0 = none and 10 = severe. Helper columns keep the score auditable.</x:v>
      </x:c>
      <x:c r="O4" s="303" t="str">
        <x:v>Scales: sleep, energy, motivation 1 = poor and 5 = excellent. Soreness and stress 1 = low and 5 = high. Pain 0 = none and 10 = severe. Helper columns keep the score auditable.</x:v>
      </x:c>
      <x:c r="P4" s="303" t="str">
        <x:v>Scales: sleep, energy, motivation 1 = poor and 5 = excellent. Soreness and stress 1 = low and 5 = high. Pain 0 = none and 10 = severe. Helper columns keep the score auditable.</x:v>
      </x:c>
      <x:c r="Q4" s="303" t="str">
        <x:v>Scales: sleep, energy, motivation 1 = poor and 5 = excellent. Soreness and stress 1 = low and 5 = high. Pain 0 = none and 10 = severe. Helper columns keep the score auditable.</x:v>
      </x:c>
      <x:c r="R4" s="303" t="str">
        <x:v>Scales: sleep, energy, motivation 1 = poor and 5 = excellent. Soreness and stress 1 = low and 5 = high. Pain 0 = none and 10 = severe. Helper columns keep the score auditable.</x:v>
      </x:c>
      <x:c r="S4" s="303" t="str">
        <x:v>Scales: sleep, energy, motivation 1 = poor and 5 = excellent. Soreness and stress 1 = low and 5 = high. Pain 0 = none and 10 = severe. Helper columns keep the score auditable.</x:v>
      </x:c>
      <x:c r="T4" s="303" t="str">
        <x:v>Scales: sleep, energy, motivation 1 = poor and 5 = excellent. Soreness and stress 1 = low and 5 = high. Pain 0 = none and 10 = severe. Helper columns keep the score auditable.</x:v>
      </x:c>
      <x:c r="U4" s="303" t="str">
        <x:v>Scales: sleep, energy, motivation 1 = poor and 5 = excellent. Soreness and stress 1 = low and 5 = high. Pain 0 = none and 10 = severe. Helper columns keep the score auditable.</x:v>
      </x:c>
    </x:row>
    <x:row r="5">
      <x:c r="A5" s="80"/>
      <x:c r="B5" s="80"/>
      <x:c r="C5" s="80"/>
      <x:c r="D5" s="80"/>
      <x:c r="E5" s="80"/>
      <x:c r="F5" s="80"/>
      <x:c r="G5" s="80"/>
      <x:c r="H5" s="80"/>
      <x:c r="I5" s="80"/>
      <x:c r="J5" s="80"/>
      <x:c r="K5" s="80"/>
      <x:c r="L5" s="80"/>
      <x:c r="M5" s="80"/>
      <x:c r="N5" s="80"/>
      <x:c r="O5" s="80"/>
      <x:c r="P5" s="80"/>
      <x:c r="Q5" s="80"/>
      <x:c r="R5" s="80"/>
      <x:c r="S5" s="80"/>
      <x:c r="T5" s="80"/>
      <x:c r="U5" s="80"/>
    </x:row>
    <x:row r="6" ht="30" customHeight="1">
      <x:c r="A6" s="95" t="str">
        <x:v>Date</x:v>
      </x:c>
      <x:c r="B6" s="96" t="str">
        <x:v>Week</x:v>
      </x:c>
      <x:c r="C6" s="96" t="str">
        <x:v>Day</x:v>
      </x:c>
      <x:c r="D6" s="96" t="str">
        <x:v>Session</x:v>
      </x:c>
      <x:c r="E6" s="96" t="str">
        <x:v>Sleep 1–5</x:v>
      </x:c>
      <x:c r="F6" s="96" t="str">
        <x:v>Energy 1–5</x:v>
      </x:c>
      <x:c r="G6" s="96" t="str">
        <x:v>Soreness 1–5</x:v>
      </x:c>
      <x:c r="H6" s="96" t="str">
        <x:v>Stress 1–5</x:v>
      </x:c>
      <x:c r="I6" s="96" t="str">
        <x:v>Motivation 1–5</x:v>
      </x:c>
      <x:c r="J6" s="96" t="str">
        <x:v>Pain 0–10</x:v>
      </x:c>
      <x:c r="K6" s="96" t="str">
        <x:v>Readiness %</x:v>
      </x:c>
      <x:c r="L6" s="96" t="str">
        <x:v>Volume modifier</x:v>
      </x:c>
      <x:c r="M6" s="96" t="str">
        <x:v>Today’s action</x:v>
      </x:c>
      <x:c r="N6" s="96" t="str">
        <x:v>Session RPE</x:v>
      </x:c>
      <x:c r="O6" s="96" t="str">
        <x:v>Minutes</x:v>
      </x:c>
      <x:c r="P6" s="96" t="str">
        <x:v>Completed?</x:v>
      </x:c>
      <x:c r="Q6" s="96" t="str">
        <x:v>Session notes</x:v>
      </x:c>
      <x:c r="R6" s="96" t="str">
        <x:v>Check-in logged?</x:v>
      </x:c>
      <x:c r="S6" s="96" t="str">
        <x:v>Base score</x:v>
      </x:c>
      <x:c r="T6" s="96" t="str">
        <x:v>Raw score</x:v>
      </x:c>
      <x:c r="U6" s="97" t="str">
        <x:v>Status code</x:v>
      </x:c>
    </x:row>
    <x:row r="7">
      <x:c r="A7" s="304" t="n">
        <x:f>'Setup'!$B$3+(B7-1)*7+(C7-1)</x:f>
        <x:v>46244</x:v>
      </x:c>
      <x:c r="B7" s="305" t="n">
        <x:v>1</x:v>
      </x:c>
      <x:c r="C7" s="305" t="n">
        <x:v>1</x:v>
      </x:c>
      <x:c r="D7" s="305" t="str">
        <x:v>Legs A</x:v>
      </x:c>
      <x:c r="E7" s="306"/>
      <x:c r="F7" s="306"/>
      <x:c r="G7" s="306"/>
      <x:c r="H7" s="306"/>
      <x:c r="I7" s="306"/>
      <x:c r="J7" s="306"/>
      <x:c r="K7" s="307" t="str">
        <x:f>IF(R7="","",ROUND(T7,0))</x:f>
      </x:c>
      <x:c r="L7" s="308" t="n">
        <x:f>INDEX('Setup'!$I$4:$I$8,U7+1)</x:f>
        <x:v>1</x:v>
      </x:c>
      <x:c r="M7" s="309" t="str">
        <x:f>INDEX('Setup'!$J$4:$J$8,U7+1)</x:f>
        <x:v>Enter readiness</x:v>
      </x:c>
      <x:c r="N7" s="306"/>
      <x:c r="O7" s="306"/>
      <x:c r="P7" s="306"/>
      <x:c r="Q7" s="306"/>
      <x:c r="R7" s="309" t="str">
        <x:f>IF(COUNT(E7:J7)&gt;0,"Yes","")</x:f>
      </x:c>
      <x:c r="S7" s="283" t="n">
        <x:f>IF(E7="",3,E7)+IF(F7="",3,F7)+(6-IF(G7="",3,G7))+(6-IF(H7="",3,H7))+IF(I7="",3,I7)</x:f>
        <x:v>15</x:v>
      </x:c>
      <x:c r="T7" s="283" t="n">
        <x:f>S7/25*100-IF(J7="",0,J7)*4</x:f>
        <x:v>60</x:v>
      </x:c>
      <x:c r="U7" s="284" t="n">
        <x:f>IF(R7="",0,IF(J7&gt;='Setup'!$B$14,4,1+(K7&lt;'Setup'!$B$12)+(K7&lt;'Setup'!$B$13)))</x:f>
        <x:v>0</x:v>
      </x:c>
    </x:row>
    <x:row r="8">
      <x:c r="A8" s="310" t="n">
        <x:f>'Setup'!$B$3+(B8-1)*7+(C8-1)</x:f>
        <x:v>46245</x:v>
      </x:c>
      <x:c r="B8" s="311" t="n">
        <x:v>1</x:v>
      </x:c>
      <x:c r="C8" s="311" t="n">
        <x:v>2</x:v>
      </x:c>
      <x:c r="D8" s="311" t="str">
        <x:v>Pull A</x:v>
      </x:c>
      <x:c r="E8" s="312"/>
      <x:c r="F8" s="312"/>
      <x:c r="G8" s="312"/>
      <x:c r="H8" s="312"/>
      <x:c r="I8" s="312"/>
      <x:c r="J8" s="312"/>
      <x:c r="K8" s="313" t="str">
        <x:f>IF(R8="","",ROUND(T8,0))</x:f>
      </x:c>
      <x:c r="L8" s="314" t="n">
        <x:f>INDEX('Setup'!$I$4:$I$8,U8+1)</x:f>
        <x:v>1</x:v>
      </x:c>
      <x:c r="M8" s="315" t="str">
        <x:f>INDEX('Setup'!$J$4:$J$8,U8+1)</x:f>
        <x:v>Enter readiness</x:v>
      </x:c>
      <x:c r="N8" s="312"/>
      <x:c r="O8" s="312"/>
      <x:c r="P8" s="312"/>
      <x:c r="Q8" s="312"/>
      <x:c r="R8" s="315" t="str">
        <x:f>IF(COUNT(E8:J8)&gt;0,"Yes","")</x:f>
      </x:c>
      <x:c r="S8" s="286" t="n">
        <x:f>IF(E8="",3,E8)+IF(F8="",3,F8)+(6-IF(G8="",3,G8))+(6-IF(H8="",3,H8))+IF(I8="",3,I8)</x:f>
        <x:v>15</x:v>
      </x:c>
      <x:c r="T8" s="286" t="n">
        <x:f>S8/25*100-IF(J8="",0,J8)*4</x:f>
        <x:v>60</x:v>
      </x:c>
      <x:c r="U8" s="287" t="n">
        <x:f>IF(R8="",0,IF(J8&gt;='Setup'!$B$14,4,1+(K8&lt;'Setup'!$B$12)+(K8&lt;'Setup'!$B$13)))</x:f>
        <x:v>0</x:v>
      </x:c>
    </x:row>
    <x:row r="9">
      <x:c r="A9" s="310" t="n">
        <x:f>'Setup'!$B$3+(B9-1)*7+(C9-1)</x:f>
        <x:v>46246</x:v>
      </x:c>
      <x:c r="B9" s="311" t="n">
        <x:v>1</x:v>
      </x:c>
      <x:c r="C9" s="311" t="n">
        <x:v>3</x:v>
      </x:c>
      <x:c r="D9" s="311" t="str">
        <x:v>Push A</x:v>
      </x:c>
      <x:c r="E9" s="312"/>
      <x:c r="F9" s="312"/>
      <x:c r="G9" s="312"/>
      <x:c r="H9" s="312"/>
      <x:c r="I9" s="312"/>
      <x:c r="J9" s="312"/>
      <x:c r="K9" s="313" t="str">
        <x:f>IF(R9="","",ROUND(T9,0))</x:f>
      </x:c>
      <x:c r="L9" s="314" t="n">
        <x:f>INDEX('Setup'!$I$4:$I$8,U9+1)</x:f>
        <x:v>1</x:v>
      </x:c>
      <x:c r="M9" s="315" t="str">
        <x:f>INDEX('Setup'!$J$4:$J$8,U9+1)</x:f>
        <x:v>Enter readiness</x:v>
      </x:c>
      <x:c r="N9" s="312"/>
      <x:c r="O9" s="312"/>
      <x:c r="P9" s="312"/>
      <x:c r="Q9" s="312"/>
      <x:c r="R9" s="315" t="str">
        <x:f>IF(COUNT(E9:J9)&gt;0,"Yes","")</x:f>
      </x:c>
      <x:c r="S9" s="286" t="n">
        <x:f>IF(E9="",3,E9)+IF(F9="",3,F9)+(6-IF(G9="",3,G9))+(6-IF(H9="",3,H9))+IF(I9="",3,I9)</x:f>
        <x:v>15</x:v>
      </x:c>
      <x:c r="T9" s="286" t="n">
        <x:f>S9/25*100-IF(J9="",0,J9)*4</x:f>
        <x:v>60</x:v>
      </x:c>
      <x:c r="U9" s="287" t="n">
        <x:f>IF(R9="",0,IF(J9&gt;='Setup'!$B$14,4,1+(K9&lt;'Setup'!$B$12)+(K9&lt;'Setup'!$B$13)))</x:f>
        <x:v>0</x:v>
      </x:c>
    </x:row>
    <x:row r="10">
      <x:c r="A10" s="310" t="n">
        <x:f>'Setup'!$B$3+(B10-1)*7+(C10-1)</x:f>
        <x:v>46247</x:v>
      </x:c>
      <x:c r="B10" s="311" t="n">
        <x:v>1</x:v>
      </x:c>
      <x:c r="C10" s="311" t="n">
        <x:v>4</x:v>
      </x:c>
      <x:c r="D10" s="311" t="str">
        <x:v>Legs B + Athletic</x:v>
      </x:c>
      <x:c r="E10" s="312"/>
      <x:c r="F10" s="312"/>
      <x:c r="G10" s="312"/>
      <x:c r="H10" s="312"/>
      <x:c r="I10" s="312"/>
      <x:c r="J10" s="312"/>
      <x:c r="K10" s="313" t="str">
        <x:f>IF(R10="","",ROUND(T10,0))</x:f>
      </x:c>
      <x:c r="L10" s="314" t="n">
        <x:f>INDEX('Setup'!$I$4:$I$8,U10+1)</x:f>
        <x:v>1</x:v>
      </x:c>
      <x:c r="M10" s="315" t="str">
        <x:f>INDEX('Setup'!$J$4:$J$8,U10+1)</x:f>
        <x:v>Enter readiness</x:v>
      </x:c>
      <x:c r="N10" s="312"/>
      <x:c r="O10" s="312"/>
      <x:c r="P10" s="312"/>
      <x:c r="Q10" s="312"/>
      <x:c r="R10" s="315" t="str">
        <x:f>IF(COUNT(E10:J10)&gt;0,"Yes","")</x:f>
      </x:c>
      <x:c r="S10" s="286" t="n">
        <x:f>IF(E10="",3,E10)+IF(F10="",3,F10)+(6-IF(G10="",3,G10))+(6-IF(H10="",3,H10))+IF(I10="",3,I10)</x:f>
        <x:v>15</x:v>
      </x:c>
      <x:c r="T10" s="286" t="n">
        <x:f>S10/25*100-IF(J10="",0,J10)*4</x:f>
        <x:v>60</x:v>
      </x:c>
      <x:c r="U10" s="287" t="n">
        <x:f>IF(R10="",0,IF(J10&gt;='Setup'!$B$14,4,1+(K10&lt;'Setup'!$B$12)+(K10&lt;'Setup'!$B$13)))</x:f>
        <x:v>0</x:v>
      </x:c>
    </x:row>
    <x:row r="11">
      <x:c r="A11" s="310" t="n">
        <x:f>'Setup'!$B$3+(B11-1)*7+(C11-1)</x:f>
        <x:v>46248</x:v>
      </x:c>
      <x:c r="B11" s="311" t="n">
        <x:v>1</x:v>
      </x:c>
      <x:c r="C11" s="311" t="n">
        <x:v>5</x:v>
      </x:c>
      <x:c r="D11" s="311" t="str">
        <x:v>Pull B</x:v>
      </x:c>
      <x:c r="E11" s="312"/>
      <x:c r="F11" s="312"/>
      <x:c r="G11" s="312"/>
      <x:c r="H11" s="312"/>
      <x:c r="I11" s="312"/>
      <x:c r="J11" s="312"/>
      <x:c r="K11" s="313" t="str">
        <x:f>IF(R11="","",ROUND(T11,0))</x:f>
      </x:c>
      <x:c r="L11" s="314" t="n">
        <x:f>INDEX('Setup'!$I$4:$I$8,U11+1)</x:f>
        <x:v>1</x:v>
      </x:c>
      <x:c r="M11" s="315" t="str">
        <x:f>INDEX('Setup'!$J$4:$J$8,U11+1)</x:f>
        <x:v>Enter readiness</x:v>
      </x:c>
      <x:c r="N11" s="312"/>
      <x:c r="O11" s="312"/>
      <x:c r="P11" s="312"/>
      <x:c r="Q11" s="312"/>
      <x:c r="R11" s="315" t="str">
        <x:f>IF(COUNT(E11:J11)&gt;0,"Yes","")</x:f>
      </x:c>
      <x:c r="S11" s="286" t="n">
        <x:f>IF(E11="",3,E11)+IF(F11="",3,F11)+(6-IF(G11="",3,G11))+(6-IF(H11="",3,H11))+IF(I11="",3,I11)</x:f>
        <x:v>15</x:v>
      </x:c>
      <x:c r="T11" s="286" t="n">
        <x:f>S11/25*100-IF(J11="",0,J11)*4</x:f>
        <x:v>60</x:v>
      </x:c>
      <x:c r="U11" s="287" t="n">
        <x:f>IF(R11="",0,IF(J11&gt;='Setup'!$B$14,4,1+(K11&lt;'Setup'!$B$12)+(K11&lt;'Setup'!$B$13)))</x:f>
        <x:v>0</x:v>
      </x:c>
    </x:row>
    <x:row r="12">
      <x:c r="A12" s="310" t="n">
        <x:f>'Setup'!$B$3+(B12-1)*7+(C12-1)</x:f>
        <x:v>46249</x:v>
      </x:c>
      <x:c r="B12" s="311" t="n">
        <x:v>1</x:v>
      </x:c>
      <x:c r="C12" s="311" t="n">
        <x:v>6</x:v>
      </x:c>
      <x:c r="D12" s="311" t="str">
        <x:v>Push B</x:v>
      </x:c>
      <x:c r="E12" s="312"/>
      <x:c r="F12" s="312"/>
      <x:c r="G12" s="312"/>
      <x:c r="H12" s="312"/>
      <x:c r="I12" s="312"/>
      <x:c r="J12" s="312"/>
      <x:c r="K12" s="313" t="str">
        <x:f>IF(R12="","",ROUND(T12,0))</x:f>
      </x:c>
      <x:c r="L12" s="314" t="n">
        <x:f>INDEX('Setup'!$I$4:$I$8,U12+1)</x:f>
        <x:v>1</x:v>
      </x:c>
      <x:c r="M12" s="315" t="str">
        <x:f>INDEX('Setup'!$J$4:$J$8,U12+1)</x:f>
        <x:v>Enter readiness</x:v>
      </x:c>
      <x:c r="N12" s="312"/>
      <x:c r="O12" s="312"/>
      <x:c r="P12" s="312"/>
      <x:c r="Q12" s="312"/>
      <x:c r="R12" s="315" t="str">
        <x:f>IF(COUNT(E12:J12)&gt;0,"Yes","")</x:f>
      </x:c>
      <x:c r="S12" s="286" t="n">
        <x:f>IF(E12="",3,E12)+IF(F12="",3,F12)+(6-IF(G12="",3,G12))+(6-IF(H12="",3,H12))+IF(I12="",3,I12)</x:f>
        <x:v>15</x:v>
      </x:c>
      <x:c r="T12" s="286" t="n">
        <x:f>S12/25*100-IF(J12="",0,J12)*4</x:f>
        <x:v>60</x:v>
      </x:c>
      <x:c r="U12" s="287" t="n">
        <x:f>IF(R12="",0,IF(J12&gt;='Setup'!$B$14,4,1+(K12&lt;'Setup'!$B$12)+(K12&lt;'Setup'!$B$13)))</x:f>
        <x:v>0</x:v>
      </x:c>
    </x:row>
    <x:row r="13">
      <x:c r="A13" s="310" t="n">
        <x:f>'Setup'!$B$3+(B13-1)*7+(C13-1)</x:f>
        <x:v>46251</x:v>
      </x:c>
      <x:c r="B13" s="311" t="n">
        <x:v>2</x:v>
      </x:c>
      <x:c r="C13" s="311" t="n">
        <x:v>1</x:v>
      </x:c>
      <x:c r="D13" s="311" t="str">
        <x:v>Legs A</x:v>
      </x:c>
      <x:c r="E13" s="312"/>
      <x:c r="F13" s="312"/>
      <x:c r="G13" s="312"/>
      <x:c r="H13" s="312"/>
      <x:c r="I13" s="312"/>
      <x:c r="J13" s="312"/>
      <x:c r="K13" s="313" t="str">
        <x:f>IF(R13="","",ROUND(T13,0))</x:f>
      </x:c>
      <x:c r="L13" s="314" t="n">
        <x:f>INDEX('Setup'!$I$4:$I$8,U13+1)</x:f>
        <x:v>1</x:v>
      </x:c>
      <x:c r="M13" s="315" t="str">
        <x:f>INDEX('Setup'!$J$4:$J$8,U13+1)</x:f>
        <x:v>Enter readiness</x:v>
      </x:c>
      <x:c r="N13" s="312"/>
      <x:c r="O13" s="312"/>
      <x:c r="P13" s="312"/>
      <x:c r="Q13" s="312"/>
      <x:c r="R13" s="315" t="str">
        <x:f>IF(COUNT(E13:J13)&gt;0,"Yes","")</x:f>
      </x:c>
      <x:c r="S13" s="286" t="n">
        <x:f>IF(E13="",3,E13)+IF(F13="",3,F13)+(6-IF(G13="",3,G13))+(6-IF(H13="",3,H13))+IF(I13="",3,I13)</x:f>
        <x:v>15</x:v>
      </x:c>
      <x:c r="T13" s="286" t="n">
        <x:f>S13/25*100-IF(J13="",0,J13)*4</x:f>
        <x:v>60</x:v>
      </x:c>
      <x:c r="U13" s="287" t="n">
        <x:f>IF(R13="",0,IF(J13&gt;='Setup'!$B$14,4,1+(K13&lt;'Setup'!$B$12)+(K13&lt;'Setup'!$B$13)))</x:f>
        <x:v>0</x:v>
      </x:c>
    </x:row>
    <x:row r="14">
      <x:c r="A14" s="310" t="n">
        <x:f>'Setup'!$B$3+(B14-1)*7+(C14-1)</x:f>
        <x:v>46252</x:v>
      </x:c>
      <x:c r="B14" s="311" t="n">
        <x:v>2</x:v>
      </x:c>
      <x:c r="C14" s="311" t="n">
        <x:v>2</x:v>
      </x:c>
      <x:c r="D14" s="311" t="str">
        <x:v>Pull A</x:v>
      </x:c>
      <x:c r="E14" s="312"/>
      <x:c r="F14" s="312"/>
      <x:c r="G14" s="312"/>
      <x:c r="H14" s="312"/>
      <x:c r="I14" s="312"/>
      <x:c r="J14" s="312"/>
      <x:c r="K14" s="313" t="str">
        <x:f>IF(R14="","",ROUND(T14,0))</x:f>
      </x:c>
      <x:c r="L14" s="314" t="n">
        <x:f>INDEX('Setup'!$I$4:$I$8,U14+1)</x:f>
        <x:v>1</x:v>
      </x:c>
      <x:c r="M14" s="315" t="str">
        <x:f>INDEX('Setup'!$J$4:$J$8,U14+1)</x:f>
        <x:v>Enter readiness</x:v>
      </x:c>
      <x:c r="N14" s="312"/>
      <x:c r="O14" s="312"/>
      <x:c r="P14" s="312"/>
      <x:c r="Q14" s="312"/>
      <x:c r="R14" s="315" t="str">
        <x:f>IF(COUNT(E14:J14)&gt;0,"Yes","")</x:f>
      </x:c>
      <x:c r="S14" s="286" t="n">
        <x:f>IF(E14="",3,E14)+IF(F14="",3,F14)+(6-IF(G14="",3,G14))+(6-IF(H14="",3,H14))+IF(I14="",3,I14)</x:f>
        <x:v>15</x:v>
      </x:c>
      <x:c r="T14" s="286" t="n">
        <x:f>S14/25*100-IF(J14="",0,J14)*4</x:f>
        <x:v>60</x:v>
      </x:c>
      <x:c r="U14" s="287" t="n">
        <x:f>IF(R14="",0,IF(J14&gt;='Setup'!$B$14,4,1+(K14&lt;'Setup'!$B$12)+(K14&lt;'Setup'!$B$13)))</x:f>
        <x:v>0</x:v>
      </x:c>
    </x:row>
    <x:row r="15">
      <x:c r="A15" s="310" t="n">
        <x:f>'Setup'!$B$3+(B15-1)*7+(C15-1)</x:f>
        <x:v>46253</x:v>
      </x:c>
      <x:c r="B15" s="311" t="n">
        <x:v>2</x:v>
      </x:c>
      <x:c r="C15" s="311" t="n">
        <x:v>3</x:v>
      </x:c>
      <x:c r="D15" s="311" t="str">
        <x:v>Push A</x:v>
      </x:c>
      <x:c r="E15" s="312"/>
      <x:c r="F15" s="312"/>
      <x:c r="G15" s="312"/>
      <x:c r="H15" s="312"/>
      <x:c r="I15" s="312"/>
      <x:c r="J15" s="312"/>
      <x:c r="K15" s="313" t="str">
        <x:f>IF(R15="","",ROUND(T15,0))</x:f>
      </x:c>
      <x:c r="L15" s="314" t="n">
        <x:f>INDEX('Setup'!$I$4:$I$8,U15+1)</x:f>
        <x:v>1</x:v>
      </x:c>
      <x:c r="M15" s="315" t="str">
        <x:f>INDEX('Setup'!$J$4:$J$8,U15+1)</x:f>
        <x:v>Enter readiness</x:v>
      </x:c>
      <x:c r="N15" s="312"/>
      <x:c r="O15" s="312"/>
      <x:c r="P15" s="312"/>
      <x:c r="Q15" s="312"/>
      <x:c r="R15" s="315" t="str">
        <x:f>IF(COUNT(E15:J15)&gt;0,"Yes","")</x:f>
      </x:c>
      <x:c r="S15" s="286" t="n">
        <x:f>IF(E15="",3,E15)+IF(F15="",3,F15)+(6-IF(G15="",3,G15))+(6-IF(H15="",3,H15))+IF(I15="",3,I15)</x:f>
        <x:v>15</x:v>
      </x:c>
      <x:c r="T15" s="286" t="n">
        <x:f>S15/25*100-IF(J15="",0,J15)*4</x:f>
        <x:v>60</x:v>
      </x:c>
      <x:c r="U15" s="287" t="n">
        <x:f>IF(R15="",0,IF(J15&gt;='Setup'!$B$14,4,1+(K15&lt;'Setup'!$B$12)+(K15&lt;'Setup'!$B$13)))</x:f>
        <x:v>0</x:v>
      </x:c>
    </x:row>
    <x:row r="16">
      <x:c r="A16" s="310" t="n">
        <x:f>'Setup'!$B$3+(B16-1)*7+(C16-1)</x:f>
        <x:v>46254</x:v>
      </x:c>
      <x:c r="B16" s="311" t="n">
        <x:v>2</x:v>
      </x:c>
      <x:c r="C16" s="311" t="n">
        <x:v>4</x:v>
      </x:c>
      <x:c r="D16" s="311" t="str">
        <x:v>Legs B + Athletic</x:v>
      </x:c>
      <x:c r="E16" s="312"/>
      <x:c r="F16" s="312"/>
      <x:c r="G16" s="312"/>
      <x:c r="H16" s="312"/>
      <x:c r="I16" s="312"/>
      <x:c r="J16" s="312"/>
      <x:c r="K16" s="313" t="str">
        <x:f>IF(R16="","",ROUND(T16,0))</x:f>
      </x:c>
      <x:c r="L16" s="314" t="n">
        <x:f>INDEX('Setup'!$I$4:$I$8,U16+1)</x:f>
        <x:v>1</x:v>
      </x:c>
      <x:c r="M16" s="315" t="str">
        <x:f>INDEX('Setup'!$J$4:$J$8,U16+1)</x:f>
        <x:v>Enter readiness</x:v>
      </x:c>
      <x:c r="N16" s="312"/>
      <x:c r="O16" s="312"/>
      <x:c r="P16" s="312"/>
      <x:c r="Q16" s="312"/>
      <x:c r="R16" s="315" t="str">
        <x:f>IF(COUNT(E16:J16)&gt;0,"Yes","")</x:f>
      </x:c>
      <x:c r="S16" s="286" t="n">
        <x:f>IF(E16="",3,E16)+IF(F16="",3,F16)+(6-IF(G16="",3,G16))+(6-IF(H16="",3,H16))+IF(I16="",3,I16)</x:f>
        <x:v>15</x:v>
      </x:c>
      <x:c r="T16" s="286" t="n">
        <x:f>S16/25*100-IF(J16="",0,J16)*4</x:f>
        <x:v>60</x:v>
      </x:c>
      <x:c r="U16" s="287" t="n">
        <x:f>IF(R16="",0,IF(J16&gt;='Setup'!$B$14,4,1+(K16&lt;'Setup'!$B$12)+(K16&lt;'Setup'!$B$13)))</x:f>
        <x:v>0</x:v>
      </x:c>
    </x:row>
    <x:row r="17">
      <x:c r="A17" s="310" t="n">
        <x:f>'Setup'!$B$3+(B17-1)*7+(C17-1)</x:f>
        <x:v>46255</x:v>
      </x:c>
      <x:c r="B17" s="311" t="n">
        <x:v>2</x:v>
      </x:c>
      <x:c r="C17" s="311" t="n">
        <x:v>5</x:v>
      </x:c>
      <x:c r="D17" s="311" t="str">
        <x:v>Pull B</x:v>
      </x:c>
      <x:c r="E17" s="312"/>
      <x:c r="F17" s="312"/>
      <x:c r="G17" s="312"/>
      <x:c r="H17" s="312"/>
      <x:c r="I17" s="312"/>
      <x:c r="J17" s="312"/>
      <x:c r="K17" s="313" t="str">
        <x:f>IF(R17="","",ROUND(T17,0))</x:f>
      </x:c>
      <x:c r="L17" s="314" t="n">
        <x:f>INDEX('Setup'!$I$4:$I$8,U17+1)</x:f>
        <x:v>1</x:v>
      </x:c>
      <x:c r="M17" s="315" t="str">
        <x:f>INDEX('Setup'!$J$4:$J$8,U17+1)</x:f>
        <x:v>Enter readiness</x:v>
      </x:c>
      <x:c r="N17" s="312"/>
      <x:c r="O17" s="312"/>
      <x:c r="P17" s="312"/>
      <x:c r="Q17" s="312"/>
      <x:c r="R17" s="315" t="str">
        <x:f>IF(COUNT(E17:J17)&gt;0,"Yes","")</x:f>
      </x:c>
      <x:c r="S17" s="286" t="n">
        <x:f>IF(E17="",3,E17)+IF(F17="",3,F17)+(6-IF(G17="",3,G17))+(6-IF(H17="",3,H17))+IF(I17="",3,I17)</x:f>
        <x:v>15</x:v>
      </x:c>
      <x:c r="T17" s="286" t="n">
        <x:f>S17/25*100-IF(J17="",0,J17)*4</x:f>
        <x:v>60</x:v>
      </x:c>
      <x:c r="U17" s="287" t="n">
        <x:f>IF(R17="",0,IF(J17&gt;='Setup'!$B$14,4,1+(K17&lt;'Setup'!$B$12)+(K17&lt;'Setup'!$B$13)))</x:f>
        <x:v>0</x:v>
      </x:c>
    </x:row>
    <x:row r="18">
      <x:c r="A18" s="310" t="n">
        <x:f>'Setup'!$B$3+(B18-1)*7+(C18-1)</x:f>
        <x:v>46256</x:v>
      </x:c>
      <x:c r="B18" s="311" t="n">
        <x:v>2</x:v>
      </x:c>
      <x:c r="C18" s="311" t="n">
        <x:v>6</x:v>
      </x:c>
      <x:c r="D18" s="311" t="str">
        <x:v>Push B</x:v>
      </x:c>
      <x:c r="E18" s="312"/>
      <x:c r="F18" s="312"/>
      <x:c r="G18" s="312"/>
      <x:c r="H18" s="312"/>
      <x:c r="I18" s="312"/>
      <x:c r="J18" s="312"/>
      <x:c r="K18" s="313" t="str">
        <x:f>IF(R18="","",ROUND(T18,0))</x:f>
      </x:c>
      <x:c r="L18" s="314" t="n">
        <x:f>INDEX('Setup'!$I$4:$I$8,U18+1)</x:f>
        <x:v>1</x:v>
      </x:c>
      <x:c r="M18" s="315" t="str">
        <x:f>INDEX('Setup'!$J$4:$J$8,U18+1)</x:f>
        <x:v>Enter readiness</x:v>
      </x:c>
      <x:c r="N18" s="312"/>
      <x:c r="O18" s="312"/>
      <x:c r="P18" s="312"/>
      <x:c r="Q18" s="312"/>
      <x:c r="R18" s="315" t="str">
        <x:f>IF(COUNT(E18:J18)&gt;0,"Yes","")</x:f>
      </x:c>
      <x:c r="S18" s="286" t="n">
        <x:f>IF(E18="",3,E18)+IF(F18="",3,F18)+(6-IF(G18="",3,G18))+(6-IF(H18="",3,H18))+IF(I18="",3,I18)</x:f>
        <x:v>15</x:v>
      </x:c>
      <x:c r="T18" s="286" t="n">
        <x:f>S18/25*100-IF(J18="",0,J18)*4</x:f>
        <x:v>60</x:v>
      </x:c>
      <x:c r="U18" s="287" t="n">
        <x:f>IF(R18="",0,IF(J18&gt;='Setup'!$B$14,4,1+(K18&lt;'Setup'!$B$12)+(K18&lt;'Setup'!$B$13)))</x:f>
        <x:v>0</x:v>
      </x:c>
    </x:row>
    <x:row r="19">
      <x:c r="A19" s="310" t="n">
        <x:f>'Setup'!$B$3+(B19-1)*7+(C19-1)</x:f>
        <x:v>46258</x:v>
      </x:c>
      <x:c r="B19" s="311" t="n">
        <x:v>3</x:v>
      </x:c>
      <x:c r="C19" s="311" t="n">
        <x:v>1</x:v>
      </x:c>
      <x:c r="D19" s="311" t="str">
        <x:v>Legs A</x:v>
      </x:c>
      <x:c r="E19" s="312"/>
      <x:c r="F19" s="312"/>
      <x:c r="G19" s="312"/>
      <x:c r="H19" s="312"/>
      <x:c r="I19" s="312"/>
      <x:c r="J19" s="312"/>
      <x:c r="K19" s="313" t="str">
        <x:f>IF(R19="","",ROUND(T19,0))</x:f>
      </x:c>
      <x:c r="L19" s="314" t="n">
        <x:f>INDEX('Setup'!$I$4:$I$8,U19+1)</x:f>
        <x:v>1</x:v>
      </x:c>
      <x:c r="M19" s="315" t="str">
        <x:f>INDEX('Setup'!$J$4:$J$8,U19+1)</x:f>
        <x:v>Enter readiness</x:v>
      </x:c>
      <x:c r="N19" s="312"/>
      <x:c r="O19" s="312"/>
      <x:c r="P19" s="312"/>
      <x:c r="Q19" s="312"/>
      <x:c r="R19" s="315" t="str">
        <x:f>IF(COUNT(E19:J19)&gt;0,"Yes","")</x:f>
      </x:c>
      <x:c r="S19" s="286" t="n">
        <x:f>IF(E19="",3,E19)+IF(F19="",3,F19)+(6-IF(G19="",3,G19))+(6-IF(H19="",3,H19))+IF(I19="",3,I19)</x:f>
        <x:v>15</x:v>
      </x:c>
      <x:c r="T19" s="286" t="n">
        <x:f>S19/25*100-IF(J19="",0,J19)*4</x:f>
        <x:v>60</x:v>
      </x:c>
      <x:c r="U19" s="287" t="n">
        <x:f>IF(R19="",0,IF(J19&gt;='Setup'!$B$14,4,1+(K19&lt;'Setup'!$B$12)+(K19&lt;'Setup'!$B$13)))</x:f>
        <x:v>0</x:v>
      </x:c>
    </x:row>
    <x:row r="20">
      <x:c r="A20" s="310" t="n">
        <x:f>'Setup'!$B$3+(B20-1)*7+(C20-1)</x:f>
        <x:v>46259</x:v>
      </x:c>
      <x:c r="B20" s="311" t="n">
        <x:v>3</x:v>
      </x:c>
      <x:c r="C20" s="311" t="n">
        <x:v>2</x:v>
      </x:c>
      <x:c r="D20" s="311" t="str">
        <x:v>Pull A</x:v>
      </x:c>
      <x:c r="E20" s="312"/>
      <x:c r="F20" s="312"/>
      <x:c r="G20" s="312"/>
      <x:c r="H20" s="312"/>
      <x:c r="I20" s="312"/>
      <x:c r="J20" s="312"/>
      <x:c r="K20" s="313" t="str">
        <x:f>IF(R20="","",ROUND(T20,0))</x:f>
      </x:c>
      <x:c r="L20" s="314" t="n">
        <x:f>INDEX('Setup'!$I$4:$I$8,U20+1)</x:f>
        <x:v>1</x:v>
      </x:c>
      <x:c r="M20" s="315" t="str">
        <x:f>INDEX('Setup'!$J$4:$J$8,U20+1)</x:f>
        <x:v>Enter readiness</x:v>
      </x:c>
      <x:c r="N20" s="312"/>
      <x:c r="O20" s="312"/>
      <x:c r="P20" s="312"/>
      <x:c r="Q20" s="312"/>
      <x:c r="R20" s="315" t="str">
        <x:f>IF(COUNT(E20:J20)&gt;0,"Yes","")</x:f>
      </x:c>
      <x:c r="S20" s="286" t="n">
        <x:f>IF(E20="",3,E20)+IF(F20="",3,F20)+(6-IF(G20="",3,G20))+(6-IF(H20="",3,H20))+IF(I20="",3,I20)</x:f>
        <x:v>15</x:v>
      </x:c>
      <x:c r="T20" s="286" t="n">
        <x:f>S20/25*100-IF(J20="",0,J20)*4</x:f>
        <x:v>60</x:v>
      </x:c>
      <x:c r="U20" s="287" t="n">
        <x:f>IF(R20="",0,IF(J20&gt;='Setup'!$B$14,4,1+(K20&lt;'Setup'!$B$12)+(K20&lt;'Setup'!$B$13)))</x:f>
        <x:v>0</x:v>
      </x:c>
    </x:row>
    <x:row r="21">
      <x:c r="A21" s="310" t="n">
        <x:f>'Setup'!$B$3+(B21-1)*7+(C21-1)</x:f>
        <x:v>46260</x:v>
      </x:c>
      <x:c r="B21" s="311" t="n">
        <x:v>3</x:v>
      </x:c>
      <x:c r="C21" s="311" t="n">
        <x:v>3</x:v>
      </x:c>
      <x:c r="D21" s="311" t="str">
        <x:v>Push A</x:v>
      </x:c>
      <x:c r="E21" s="312"/>
      <x:c r="F21" s="312"/>
      <x:c r="G21" s="312"/>
      <x:c r="H21" s="312"/>
      <x:c r="I21" s="312"/>
      <x:c r="J21" s="312"/>
      <x:c r="K21" s="313" t="str">
        <x:f>IF(R21="","",ROUND(T21,0))</x:f>
      </x:c>
      <x:c r="L21" s="314" t="n">
        <x:f>INDEX('Setup'!$I$4:$I$8,U21+1)</x:f>
        <x:v>1</x:v>
      </x:c>
      <x:c r="M21" s="315" t="str">
        <x:f>INDEX('Setup'!$J$4:$J$8,U21+1)</x:f>
        <x:v>Enter readiness</x:v>
      </x:c>
      <x:c r="N21" s="312"/>
      <x:c r="O21" s="312"/>
      <x:c r="P21" s="312"/>
      <x:c r="Q21" s="312"/>
      <x:c r="R21" s="315" t="str">
        <x:f>IF(COUNT(E21:J21)&gt;0,"Yes","")</x:f>
      </x:c>
      <x:c r="S21" s="286" t="n">
        <x:f>IF(E21="",3,E21)+IF(F21="",3,F21)+(6-IF(G21="",3,G21))+(6-IF(H21="",3,H21))+IF(I21="",3,I21)</x:f>
        <x:v>15</x:v>
      </x:c>
      <x:c r="T21" s="286" t="n">
        <x:f>S21/25*100-IF(J21="",0,J21)*4</x:f>
        <x:v>60</x:v>
      </x:c>
      <x:c r="U21" s="287" t="n">
        <x:f>IF(R21="",0,IF(J21&gt;='Setup'!$B$14,4,1+(K21&lt;'Setup'!$B$12)+(K21&lt;'Setup'!$B$13)))</x:f>
        <x:v>0</x:v>
      </x:c>
    </x:row>
    <x:row r="22">
      <x:c r="A22" s="310" t="n">
        <x:f>'Setup'!$B$3+(B22-1)*7+(C22-1)</x:f>
        <x:v>46261</x:v>
      </x:c>
      <x:c r="B22" s="311" t="n">
        <x:v>3</x:v>
      </x:c>
      <x:c r="C22" s="311" t="n">
        <x:v>4</x:v>
      </x:c>
      <x:c r="D22" s="311" t="str">
        <x:v>Legs B + Athletic</x:v>
      </x:c>
      <x:c r="E22" s="312"/>
      <x:c r="F22" s="312"/>
      <x:c r="G22" s="312"/>
      <x:c r="H22" s="312"/>
      <x:c r="I22" s="312"/>
      <x:c r="J22" s="312"/>
      <x:c r="K22" s="313" t="str">
        <x:f>IF(R22="","",ROUND(T22,0))</x:f>
      </x:c>
      <x:c r="L22" s="314" t="n">
        <x:f>INDEX('Setup'!$I$4:$I$8,U22+1)</x:f>
        <x:v>1</x:v>
      </x:c>
      <x:c r="M22" s="315" t="str">
        <x:f>INDEX('Setup'!$J$4:$J$8,U22+1)</x:f>
        <x:v>Enter readiness</x:v>
      </x:c>
      <x:c r="N22" s="312"/>
      <x:c r="O22" s="312"/>
      <x:c r="P22" s="312"/>
      <x:c r="Q22" s="312"/>
      <x:c r="R22" s="315" t="str">
        <x:f>IF(COUNT(E22:J22)&gt;0,"Yes","")</x:f>
      </x:c>
      <x:c r="S22" s="286" t="n">
        <x:f>IF(E22="",3,E22)+IF(F22="",3,F22)+(6-IF(G22="",3,G22))+(6-IF(H22="",3,H22))+IF(I22="",3,I22)</x:f>
        <x:v>15</x:v>
      </x:c>
      <x:c r="T22" s="286" t="n">
        <x:f>S22/25*100-IF(J22="",0,J22)*4</x:f>
        <x:v>60</x:v>
      </x:c>
      <x:c r="U22" s="287" t="n">
        <x:f>IF(R22="",0,IF(J22&gt;='Setup'!$B$14,4,1+(K22&lt;'Setup'!$B$12)+(K22&lt;'Setup'!$B$13)))</x:f>
        <x:v>0</x:v>
      </x:c>
    </x:row>
    <x:row r="23">
      <x:c r="A23" s="310" t="n">
        <x:f>'Setup'!$B$3+(B23-1)*7+(C23-1)</x:f>
        <x:v>46262</x:v>
      </x:c>
      <x:c r="B23" s="311" t="n">
        <x:v>3</x:v>
      </x:c>
      <x:c r="C23" s="311" t="n">
        <x:v>5</x:v>
      </x:c>
      <x:c r="D23" s="311" t="str">
        <x:v>Pull B</x:v>
      </x:c>
      <x:c r="E23" s="312"/>
      <x:c r="F23" s="312"/>
      <x:c r="G23" s="312"/>
      <x:c r="H23" s="312"/>
      <x:c r="I23" s="312"/>
      <x:c r="J23" s="312"/>
      <x:c r="K23" s="313" t="str">
        <x:f>IF(R23="","",ROUND(T23,0))</x:f>
      </x:c>
      <x:c r="L23" s="314" t="n">
        <x:f>INDEX('Setup'!$I$4:$I$8,U23+1)</x:f>
        <x:v>1</x:v>
      </x:c>
      <x:c r="M23" s="315" t="str">
        <x:f>INDEX('Setup'!$J$4:$J$8,U23+1)</x:f>
        <x:v>Enter readiness</x:v>
      </x:c>
      <x:c r="N23" s="312"/>
      <x:c r="O23" s="312"/>
      <x:c r="P23" s="312"/>
      <x:c r="Q23" s="312"/>
      <x:c r="R23" s="315" t="str">
        <x:f>IF(COUNT(E23:J23)&gt;0,"Yes","")</x:f>
      </x:c>
      <x:c r="S23" s="286" t="n">
        <x:f>IF(E23="",3,E23)+IF(F23="",3,F23)+(6-IF(G23="",3,G23))+(6-IF(H23="",3,H23))+IF(I23="",3,I23)</x:f>
        <x:v>15</x:v>
      </x:c>
      <x:c r="T23" s="286" t="n">
        <x:f>S23/25*100-IF(J23="",0,J23)*4</x:f>
        <x:v>60</x:v>
      </x:c>
      <x:c r="U23" s="287" t="n">
        <x:f>IF(R23="",0,IF(J23&gt;='Setup'!$B$14,4,1+(K23&lt;'Setup'!$B$12)+(K23&lt;'Setup'!$B$13)))</x:f>
        <x:v>0</x:v>
      </x:c>
    </x:row>
    <x:row r="24">
      <x:c r="A24" s="310" t="n">
        <x:f>'Setup'!$B$3+(B24-1)*7+(C24-1)</x:f>
        <x:v>46263</x:v>
      </x:c>
      <x:c r="B24" s="311" t="n">
        <x:v>3</x:v>
      </x:c>
      <x:c r="C24" s="311" t="n">
        <x:v>6</x:v>
      </x:c>
      <x:c r="D24" s="311" t="str">
        <x:v>Push B</x:v>
      </x:c>
      <x:c r="E24" s="312"/>
      <x:c r="F24" s="312"/>
      <x:c r="G24" s="312"/>
      <x:c r="H24" s="312"/>
      <x:c r="I24" s="312"/>
      <x:c r="J24" s="312"/>
      <x:c r="K24" s="313" t="str">
        <x:f>IF(R24="","",ROUND(T24,0))</x:f>
      </x:c>
      <x:c r="L24" s="314" t="n">
        <x:f>INDEX('Setup'!$I$4:$I$8,U24+1)</x:f>
        <x:v>1</x:v>
      </x:c>
      <x:c r="M24" s="315" t="str">
        <x:f>INDEX('Setup'!$J$4:$J$8,U24+1)</x:f>
        <x:v>Enter readiness</x:v>
      </x:c>
      <x:c r="N24" s="312"/>
      <x:c r="O24" s="312"/>
      <x:c r="P24" s="312"/>
      <x:c r="Q24" s="312"/>
      <x:c r="R24" s="315" t="str">
        <x:f>IF(COUNT(E24:J24)&gt;0,"Yes","")</x:f>
      </x:c>
      <x:c r="S24" s="286" t="n">
        <x:f>IF(E24="",3,E24)+IF(F24="",3,F24)+(6-IF(G24="",3,G24))+(6-IF(H24="",3,H24))+IF(I24="",3,I24)</x:f>
        <x:v>15</x:v>
      </x:c>
      <x:c r="T24" s="286" t="n">
        <x:f>S24/25*100-IF(J24="",0,J24)*4</x:f>
        <x:v>60</x:v>
      </x:c>
      <x:c r="U24" s="287" t="n">
        <x:f>IF(R24="",0,IF(J24&gt;='Setup'!$B$14,4,1+(K24&lt;'Setup'!$B$12)+(K24&lt;'Setup'!$B$13)))</x:f>
        <x:v>0</x:v>
      </x:c>
    </x:row>
    <x:row r="25">
      <x:c r="A25" s="310" t="n">
        <x:f>'Setup'!$B$3+(B25-1)*7+(C25-1)</x:f>
        <x:v>46265</x:v>
      </x:c>
      <x:c r="B25" s="311" t="n">
        <x:v>4</x:v>
      </x:c>
      <x:c r="C25" s="311" t="n">
        <x:v>1</x:v>
      </x:c>
      <x:c r="D25" s="311" t="str">
        <x:v>Legs A</x:v>
      </x:c>
      <x:c r="E25" s="312"/>
      <x:c r="F25" s="312"/>
      <x:c r="G25" s="312"/>
      <x:c r="H25" s="312"/>
      <x:c r="I25" s="312"/>
      <x:c r="J25" s="312"/>
      <x:c r="K25" s="313" t="str">
        <x:f>IF(R25="","",ROUND(T25,0))</x:f>
      </x:c>
      <x:c r="L25" s="314" t="n">
        <x:f>INDEX('Setup'!$I$4:$I$8,U25+1)</x:f>
        <x:v>1</x:v>
      </x:c>
      <x:c r="M25" s="315" t="str">
        <x:f>INDEX('Setup'!$J$4:$J$8,U25+1)</x:f>
        <x:v>Enter readiness</x:v>
      </x:c>
      <x:c r="N25" s="312"/>
      <x:c r="O25" s="312"/>
      <x:c r="P25" s="312"/>
      <x:c r="Q25" s="312"/>
      <x:c r="R25" s="315" t="str">
        <x:f>IF(COUNT(E25:J25)&gt;0,"Yes","")</x:f>
      </x:c>
      <x:c r="S25" s="286" t="n">
        <x:f>IF(E25="",3,E25)+IF(F25="",3,F25)+(6-IF(G25="",3,G25))+(6-IF(H25="",3,H25))+IF(I25="",3,I25)</x:f>
        <x:v>15</x:v>
      </x:c>
      <x:c r="T25" s="286" t="n">
        <x:f>S25/25*100-IF(J25="",0,J25)*4</x:f>
        <x:v>60</x:v>
      </x:c>
      <x:c r="U25" s="287" t="n">
        <x:f>IF(R25="",0,IF(J25&gt;='Setup'!$B$14,4,1+(K25&lt;'Setup'!$B$12)+(K25&lt;'Setup'!$B$13)))</x:f>
        <x:v>0</x:v>
      </x:c>
    </x:row>
    <x:row r="26">
      <x:c r="A26" s="310" t="n">
        <x:f>'Setup'!$B$3+(B26-1)*7+(C26-1)</x:f>
        <x:v>46266</x:v>
      </x:c>
      <x:c r="B26" s="311" t="n">
        <x:v>4</x:v>
      </x:c>
      <x:c r="C26" s="311" t="n">
        <x:v>2</x:v>
      </x:c>
      <x:c r="D26" s="311" t="str">
        <x:v>Pull A</x:v>
      </x:c>
      <x:c r="E26" s="312"/>
      <x:c r="F26" s="312"/>
      <x:c r="G26" s="312"/>
      <x:c r="H26" s="312"/>
      <x:c r="I26" s="312"/>
      <x:c r="J26" s="312"/>
      <x:c r="K26" s="313" t="str">
        <x:f>IF(R26="","",ROUND(T26,0))</x:f>
      </x:c>
      <x:c r="L26" s="314" t="n">
        <x:f>INDEX('Setup'!$I$4:$I$8,U26+1)</x:f>
        <x:v>1</x:v>
      </x:c>
      <x:c r="M26" s="315" t="str">
        <x:f>INDEX('Setup'!$J$4:$J$8,U26+1)</x:f>
        <x:v>Enter readiness</x:v>
      </x:c>
      <x:c r="N26" s="312"/>
      <x:c r="O26" s="312"/>
      <x:c r="P26" s="312"/>
      <x:c r="Q26" s="312"/>
      <x:c r="R26" s="315" t="str">
        <x:f>IF(COUNT(E26:J26)&gt;0,"Yes","")</x:f>
      </x:c>
      <x:c r="S26" s="286" t="n">
        <x:f>IF(E26="",3,E26)+IF(F26="",3,F26)+(6-IF(G26="",3,G26))+(6-IF(H26="",3,H26))+IF(I26="",3,I26)</x:f>
        <x:v>15</x:v>
      </x:c>
      <x:c r="T26" s="286" t="n">
        <x:f>S26/25*100-IF(J26="",0,J26)*4</x:f>
        <x:v>60</x:v>
      </x:c>
      <x:c r="U26" s="287" t="n">
        <x:f>IF(R26="",0,IF(J26&gt;='Setup'!$B$14,4,1+(K26&lt;'Setup'!$B$12)+(K26&lt;'Setup'!$B$13)))</x:f>
        <x:v>0</x:v>
      </x:c>
    </x:row>
    <x:row r="27">
      <x:c r="A27" s="310" t="n">
        <x:f>'Setup'!$B$3+(B27-1)*7+(C27-1)</x:f>
        <x:v>46267</x:v>
      </x:c>
      <x:c r="B27" s="311" t="n">
        <x:v>4</x:v>
      </x:c>
      <x:c r="C27" s="311" t="n">
        <x:v>3</x:v>
      </x:c>
      <x:c r="D27" s="311" t="str">
        <x:v>Push A</x:v>
      </x:c>
      <x:c r="E27" s="312"/>
      <x:c r="F27" s="312"/>
      <x:c r="G27" s="312"/>
      <x:c r="H27" s="312"/>
      <x:c r="I27" s="312"/>
      <x:c r="J27" s="312"/>
      <x:c r="K27" s="313" t="str">
        <x:f>IF(R27="","",ROUND(T27,0))</x:f>
      </x:c>
      <x:c r="L27" s="314" t="n">
        <x:f>INDEX('Setup'!$I$4:$I$8,U27+1)</x:f>
        <x:v>1</x:v>
      </x:c>
      <x:c r="M27" s="315" t="str">
        <x:f>INDEX('Setup'!$J$4:$J$8,U27+1)</x:f>
        <x:v>Enter readiness</x:v>
      </x:c>
      <x:c r="N27" s="312"/>
      <x:c r="O27" s="312"/>
      <x:c r="P27" s="312"/>
      <x:c r="Q27" s="312"/>
      <x:c r="R27" s="315" t="str">
        <x:f>IF(COUNT(E27:J27)&gt;0,"Yes","")</x:f>
      </x:c>
      <x:c r="S27" s="286" t="n">
        <x:f>IF(E27="",3,E27)+IF(F27="",3,F27)+(6-IF(G27="",3,G27))+(6-IF(H27="",3,H27))+IF(I27="",3,I27)</x:f>
        <x:v>15</x:v>
      </x:c>
      <x:c r="T27" s="286" t="n">
        <x:f>S27/25*100-IF(J27="",0,J27)*4</x:f>
        <x:v>60</x:v>
      </x:c>
      <x:c r="U27" s="287" t="n">
        <x:f>IF(R27="",0,IF(J27&gt;='Setup'!$B$14,4,1+(K27&lt;'Setup'!$B$12)+(K27&lt;'Setup'!$B$13)))</x:f>
        <x:v>0</x:v>
      </x:c>
    </x:row>
    <x:row r="28">
      <x:c r="A28" s="310" t="n">
        <x:f>'Setup'!$B$3+(B28-1)*7+(C28-1)</x:f>
        <x:v>46268</x:v>
      </x:c>
      <x:c r="B28" s="311" t="n">
        <x:v>4</x:v>
      </x:c>
      <x:c r="C28" s="311" t="n">
        <x:v>4</x:v>
      </x:c>
      <x:c r="D28" s="311" t="str">
        <x:v>Legs B + Athletic</x:v>
      </x:c>
      <x:c r="E28" s="312"/>
      <x:c r="F28" s="312"/>
      <x:c r="G28" s="312"/>
      <x:c r="H28" s="312"/>
      <x:c r="I28" s="312"/>
      <x:c r="J28" s="312"/>
      <x:c r="K28" s="313" t="str">
        <x:f>IF(R28="","",ROUND(T28,0))</x:f>
      </x:c>
      <x:c r="L28" s="314" t="n">
        <x:f>INDEX('Setup'!$I$4:$I$8,U28+1)</x:f>
        <x:v>1</x:v>
      </x:c>
      <x:c r="M28" s="315" t="str">
        <x:f>INDEX('Setup'!$J$4:$J$8,U28+1)</x:f>
        <x:v>Enter readiness</x:v>
      </x:c>
      <x:c r="N28" s="312"/>
      <x:c r="O28" s="312"/>
      <x:c r="P28" s="312"/>
      <x:c r="Q28" s="312"/>
      <x:c r="R28" s="315" t="str">
        <x:f>IF(COUNT(E28:J28)&gt;0,"Yes","")</x:f>
      </x:c>
      <x:c r="S28" s="286" t="n">
        <x:f>IF(E28="",3,E28)+IF(F28="",3,F28)+(6-IF(G28="",3,G28))+(6-IF(H28="",3,H28))+IF(I28="",3,I28)</x:f>
        <x:v>15</x:v>
      </x:c>
      <x:c r="T28" s="286" t="n">
        <x:f>S28/25*100-IF(J28="",0,J28)*4</x:f>
        <x:v>60</x:v>
      </x:c>
      <x:c r="U28" s="287" t="n">
        <x:f>IF(R28="",0,IF(J28&gt;='Setup'!$B$14,4,1+(K28&lt;'Setup'!$B$12)+(K28&lt;'Setup'!$B$13)))</x:f>
        <x:v>0</x:v>
      </x:c>
    </x:row>
    <x:row r="29">
      <x:c r="A29" s="310" t="n">
        <x:f>'Setup'!$B$3+(B29-1)*7+(C29-1)</x:f>
        <x:v>46269</x:v>
      </x:c>
      <x:c r="B29" s="311" t="n">
        <x:v>4</x:v>
      </x:c>
      <x:c r="C29" s="311" t="n">
        <x:v>5</x:v>
      </x:c>
      <x:c r="D29" s="311" t="str">
        <x:v>Pull B</x:v>
      </x:c>
      <x:c r="E29" s="312"/>
      <x:c r="F29" s="312"/>
      <x:c r="G29" s="312"/>
      <x:c r="H29" s="312"/>
      <x:c r="I29" s="312"/>
      <x:c r="J29" s="312"/>
      <x:c r="K29" s="313" t="str">
        <x:f>IF(R29="","",ROUND(T29,0))</x:f>
      </x:c>
      <x:c r="L29" s="314" t="n">
        <x:f>INDEX('Setup'!$I$4:$I$8,U29+1)</x:f>
        <x:v>1</x:v>
      </x:c>
      <x:c r="M29" s="315" t="str">
        <x:f>INDEX('Setup'!$J$4:$J$8,U29+1)</x:f>
        <x:v>Enter readiness</x:v>
      </x:c>
      <x:c r="N29" s="312"/>
      <x:c r="O29" s="312"/>
      <x:c r="P29" s="312"/>
      <x:c r="Q29" s="312"/>
      <x:c r="R29" s="315" t="str">
        <x:f>IF(COUNT(E29:J29)&gt;0,"Yes","")</x:f>
      </x:c>
      <x:c r="S29" s="286" t="n">
        <x:f>IF(E29="",3,E29)+IF(F29="",3,F29)+(6-IF(G29="",3,G29))+(6-IF(H29="",3,H29))+IF(I29="",3,I29)</x:f>
        <x:v>15</x:v>
      </x:c>
      <x:c r="T29" s="286" t="n">
        <x:f>S29/25*100-IF(J29="",0,J29)*4</x:f>
        <x:v>60</x:v>
      </x:c>
      <x:c r="U29" s="287" t="n">
        <x:f>IF(R29="",0,IF(J29&gt;='Setup'!$B$14,4,1+(K29&lt;'Setup'!$B$12)+(K29&lt;'Setup'!$B$13)))</x:f>
        <x:v>0</x:v>
      </x:c>
    </x:row>
    <x:row r="30">
      <x:c r="A30" s="310" t="n">
        <x:f>'Setup'!$B$3+(B30-1)*7+(C30-1)</x:f>
        <x:v>46270</x:v>
      </x:c>
      <x:c r="B30" s="311" t="n">
        <x:v>4</x:v>
      </x:c>
      <x:c r="C30" s="311" t="n">
        <x:v>6</x:v>
      </x:c>
      <x:c r="D30" s="311" t="str">
        <x:v>Push B</x:v>
      </x:c>
      <x:c r="E30" s="312"/>
      <x:c r="F30" s="312"/>
      <x:c r="G30" s="312"/>
      <x:c r="H30" s="312"/>
      <x:c r="I30" s="312"/>
      <x:c r="J30" s="312"/>
      <x:c r="K30" s="313" t="str">
        <x:f>IF(R30="","",ROUND(T30,0))</x:f>
      </x:c>
      <x:c r="L30" s="314" t="n">
        <x:f>INDEX('Setup'!$I$4:$I$8,U30+1)</x:f>
        <x:v>1</x:v>
      </x:c>
      <x:c r="M30" s="315" t="str">
        <x:f>INDEX('Setup'!$J$4:$J$8,U30+1)</x:f>
        <x:v>Enter readiness</x:v>
      </x:c>
      <x:c r="N30" s="312"/>
      <x:c r="O30" s="312"/>
      <x:c r="P30" s="312"/>
      <x:c r="Q30" s="312"/>
      <x:c r="R30" s="315" t="str">
        <x:f>IF(COUNT(E30:J30)&gt;0,"Yes","")</x:f>
      </x:c>
      <x:c r="S30" s="286" t="n">
        <x:f>IF(E30="",3,E30)+IF(F30="",3,F30)+(6-IF(G30="",3,G30))+(6-IF(H30="",3,H30))+IF(I30="",3,I30)</x:f>
        <x:v>15</x:v>
      </x:c>
      <x:c r="T30" s="286" t="n">
        <x:f>S30/25*100-IF(J30="",0,J30)*4</x:f>
        <x:v>60</x:v>
      </x:c>
      <x:c r="U30" s="287" t="n">
        <x:f>IF(R30="",0,IF(J30&gt;='Setup'!$B$14,4,1+(K30&lt;'Setup'!$B$12)+(K30&lt;'Setup'!$B$13)))</x:f>
        <x:v>0</x:v>
      </x:c>
    </x:row>
    <x:row r="31">
      <x:c r="A31" s="310" t="n">
        <x:f>'Setup'!$B$3+(B31-1)*7+(C31-1)</x:f>
        <x:v>46272</x:v>
      </x:c>
      <x:c r="B31" s="311" t="n">
        <x:v>5</x:v>
      </x:c>
      <x:c r="C31" s="311" t="n">
        <x:v>1</x:v>
      </x:c>
      <x:c r="D31" s="311" t="str">
        <x:v>Lower Strength</x:v>
      </x:c>
      <x:c r="E31" s="312"/>
      <x:c r="F31" s="312"/>
      <x:c r="G31" s="312"/>
      <x:c r="H31" s="312"/>
      <x:c r="I31" s="312"/>
      <x:c r="J31" s="312"/>
      <x:c r="K31" s="313" t="str">
        <x:f>IF(R31="","",ROUND(T31,0))</x:f>
      </x:c>
      <x:c r="L31" s="314" t="n">
        <x:f>INDEX('Setup'!$I$4:$I$8,U31+1)</x:f>
        <x:v>1</x:v>
      </x:c>
      <x:c r="M31" s="315" t="str">
        <x:f>INDEX('Setup'!$J$4:$J$8,U31+1)</x:f>
        <x:v>Enter readiness</x:v>
      </x:c>
      <x:c r="N31" s="312"/>
      <x:c r="O31" s="312"/>
      <x:c r="P31" s="312"/>
      <x:c r="Q31" s="312"/>
      <x:c r="R31" s="315" t="str">
        <x:f>IF(COUNT(E31:J31)&gt;0,"Yes","")</x:f>
      </x:c>
      <x:c r="S31" s="286" t="n">
        <x:f>IF(E31="",3,E31)+IF(F31="",3,F31)+(6-IF(G31="",3,G31))+(6-IF(H31="",3,H31))+IF(I31="",3,I31)</x:f>
        <x:v>15</x:v>
      </x:c>
      <x:c r="T31" s="286" t="n">
        <x:f>S31/25*100-IF(J31="",0,J31)*4</x:f>
        <x:v>60</x:v>
      </x:c>
      <x:c r="U31" s="287" t="n">
        <x:f>IF(R31="",0,IF(J31&gt;='Setup'!$B$14,4,1+(K31&lt;'Setup'!$B$12)+(K31&lt;'Setup'!$B$13)))</x:f>
        <x:v>0</x:v>
      </x:c>
    </x:row>
    <x:row r="32">
      <x:c r="A32" s="310" t="n">
        <x:f>'Setup'!$B$3+(B32-1)*7+(C32-1)</x:f>
        <x:v>46273</x:v>
      </x:c>
      <x:c r="B32" s="311" t="n">
        <x:v>5</x:v>
      </x:c>
      <x:c r="C32" s="311" t="n">
        <x:v>2</x:v>
      </x:c>
      <x:c r="D32" s="311" t="str">
        <x:v>Upper Strength</x:v>
      </x:c>
      <x:c r="E32" s="312"/>
      <x:c r="F32" s="312"/>
      <x:c r="G32" s="312"/>
      <x:c r="H32" s="312"/>
      <x:c r="I32" s="312"/>
      <x:c r="J32" s="312"/>
      <x:c r="K32" s="313" t="str">
        <x:f>IF(R32="","",ROUND(T32,0))</x:f>
      </x:c>
      <x:c r="L32" s="314" t="n">
        <x:f>INDEX('Setup'!$I$4:$I$8,U32+1)</x:f>
        <x:v>1</x:v>
      </x:c>
      <x:c r="M32" s="315" t="str">
        <x:f>INDEX('Setup'!$J$4:$J$8,U32+1)</x:f>
        <x:v>Enter readiness</x:v>
      </x:c>
      <x:c r="N32" s="312"/>
      <x:c r="O32" s="312"/>
      <x:c r="P32" s="312"/>
      <x:c r="Q32" s="312"/>
      <x:c r="R32" s="315" t="str">
        <x:f>IF(COUNT(E32:J32)&gt;0,"Yes","")</x:f>
      </x:c>
      <x:c r="S32" s="286" t="n">
        <x:f>IF(E32="",3,E32)+IF(F32="",3,F32)+(6-IF(G32="",3,G32))+(6-IF(H32="",3,H32))+IF(I32="",3,I32)</x:f>
        <x:v>15</x:v>
      </x:c>
      <x:c r="T32" s="286" t="n">
        <x:f>S32/25*100-IF(J32="",0,J32)*4</x:f>
        <x:v>60</x:v>
      </x:c>
      <x:c r="U32" s="287" t="n">
        <x:f>IF(R32="",0,IF(J32&gt;='Setup'!$B$14,4,1+(K32&lt;'Setup'!$B$12)+(K32&lt;'Setup'!$B$13)))</x:f>
        <x:v>0</x:v>
      </x:c>
    </x:row>
    <x:row r="33">
      <x:c r="A33" s="310" t="n">
        <x:f>'Setup'!$B$3+(B33-1)*7+(C33-1)</x:f>
        <x:v>46274</x:v>
      </x:c>
      <x:c r="B33" s="311" t="n">
        <x:v>5</x:v>
      </x:c>
      <x:c r="C33" s="311" t="n">
        <x:v>3</x:v>
      </x:c>
      <x:c r="D33" s="311" t="str">
        <x:v>Legs Hypertrophy</x:v>
      </x:c>
      <x:c r="E33" s="312"/>
      <x:c r="F33" s="312"/>
      <x:c r="G33" s="312"/>
      <x:c r="H33" s="312"/>
      <x:c r="I33" s="312"/>
      <x:c r="J33" s="312"/>
      <x:c r="K33" s="313" t="str">
        <x:f>IF(R33="","",ROUND(T33,0))</x:f>
      </x:c>
      <x:c r="L33" s="314" t="n">
        <x:f>INDEX('Setup'!$I$4:$I$8,U33+1)</x:f>
        <x:v>1</x:v>
      </x:c>
      <x:c r="M33" s="315" t="str">
        <x:f>INDEX('Setup'!$J$4:$J$8,U33+1)</x:f>
        <x:v>Enter readiness</x:v>
      </x:c>
      <x:c r="N33" s="312"/>
      <x:c r="O33" s="312"/>
      <x:c r="P33" s="312"/>
      <x:c r="Q33" s="312"/>
      <x:c r="R33" s="315" t="str">
        <x:f>IF(COUNT(E33:J33)&gt;0,"Yes","")</x:f>
      </x:c>
      <x:c r="S33" s="286" t="n">
        <x:f>IF(E33="",3,E33)+IF(F33="",3,F33)+(6-IF(G33="",3,G33))+(6-IF(H33="",3,H33))+IF(I33="",3,I33)</x:f>
        <x:v>15</x:v>
      </x:c>
      <x:c r="T33" s="286" t="n">
        <x:f>S33/25*100-IF(J33="",0,J33)*4</x:f>
        <x:v>60</x:v>
      </x:c>
      <x:c r="U33" s="287" t="n">
        <x:f>IF(R33="",0,IF(J33&gt;='Setup'!$B$14,4,1+(K33&lt;'Setup'!$B$12)+(K33&lt;'Setup'!$B$13)))</x:f>
        <x:v>0</x:v>
      </x:c>
    </x:row>
    <x:row r="34">
      <x:c r="A34" s="310" t="n">
        <x:f>'Setup'!$B$3+(B34-1)*7+(C34-1)</x:f>
        <x:v>46275</x:v>
      </x:c>
      <x:c r="B34" s="311" t="n">
        <x:v>5</x:v>
      </x:c>
      <x:c r="C34" s="311" t="n">
        <x:v>4</x:v>
      </x:c>
      <x:c r="D34" s="311" t="str">
        <x:v>Push Hypertrophy</x:v>
      </x:c>
      <x:c r="E34" s="312"/>
      <x:c r="F34" s="312"/>
      <x:c r="G34" s="312"/>
      <x:c r="H34" s="312"/>
      <x:c r="I34" s="312"/>
      <x:c r="J34" s="312"/>
      <x:c r="K34" s="313" t="str">
        <x:f>IF(R34="","",ROUND(T34,0))</x:f>
      </x:c>
      <x:c r="L34" s="314" t="n">
        <x:f>INDEX('Setup'!$I$4:$I$8,U34+1)</x:f>
        <x:v>1</x:v>
      </x:c>
      <x:c r="M34" s="315" t="str">
        <x:f>INDEX('Setup'!$J$4:$J$8,U34+1)</x:f>
        <x:v>Enter readiness</x:v>
      </x:c>
      <x:c r="N34" s="312"/>
      <x:c r="O34" s="312"/>
      <x:c r="P34" s="312"/>
      <x:c r="Q34" s="312"/>
      <x:c r="R34" s="315" t="str">
        <x:f>IF(COUNT(E34:J34)&gt;0,"Yes","")</x:f>
      </x:c>
      <x:c r="S34" s="286" t="n">
        <x:f>IF(E34="",3,E34)+IF(F34="",3,F34)+(6-IF(G34="",3,G34))+(6-IF(H34="",3,H34))+IF(I34="",3,I34)</x:f>
        <x:v>15</x:v>
      </x:c>
      <x:c r="T34" s="286" t="n">
        <x:f>S34/25*100-IF(J34="",0,J34)*4</x:f>
        <x:v>60</x:v>
      </x:c>
      <x:c r="U34" s="287" t="n">
        <x:f>IF(R34="",0,IF(J34&gt;='Setup'!$B$14,4,1+(K34&lt;'Setup'!$B$12)+(K34&lt;'Setup'!$B$13)))</x:f>
        <x:v>0</x:v>
      </x:c>
    </x:row>
    <x:row r="35">
      <x:c r="A35" s="310" t="n">
        <x:f>'Setup'!$B$3+(B35-1)*7+(C35-1)</x:f>
        <x:v>46276</x:v>
      </x:c>
      <x:c r="B35" s="311" t="n">
        <x:v>5</x:v>
      </x:c>
      <x:c r="C35" s="311" t="n">
        <x:v>5</x:v>
      </x:c>
      <x:c r="D35" s="311" t="str">
        <x:v>Pull Hypertrophy</x:v>
      </x:c>
      <x:c r="E35" s="312"/>
      <x:c r="F35" s="312"/>
      <x:c r="G35" s="312"/>
      <x:c r="H35" s="312"/>
      <x:c r="I35" s="312"/>
      <x:c r="J35" s="312"/>
      <x:c r="K35" s="313" t="str">
        <x:f>IF(R35="","",ROUND(T35,0))</x:f>
      </x:c>
      <x:c r="L35" s="314" t="n">
        <x:f>INDEX('Setup'!$I$4:$I$8,U35+1)</x:f>
        <x:v>1</x:v>
      </x:c>
      <x:c r="M35" s="315" t="str">
        <x:f>INDEX('Setup'!$J$4:$J$8,U35+1)</x:f>
        <x:v>Enter readiness</x:v>
      </x:c>
      <x:c r="N35" s="312"/>
      <x:c r="O35" s="312"/>
      <x:c r="P35" s="312"/>
      <x:c r="Q35" s="312"/>
      <x:c r="R35" s="315" t="str">
        <x:f>IF(COUNT(E35:J35)&gt;0,"Yes","")</x:f>
      </x:c>
      <x:c r="S35" s="286" t="n">
        <x:f>IF(E35="",3,E35)+IF(F35="",3,F35)+(6-IF(G35="",3,G35))+(6-IF(H35="",3,H35))+IF(I35="",3,I35)</x:f>
        <x:v>15</x:v>
      </x:c>
      <x:c r="T35" s="286" t="n">
        <x:f>S35/25*100-IF(J35="",0,J35)*4</x:f>
        <x:v>60</x:v>
      </x:c>
      <x:c r="U35" s="287" t="n">
        <x:f>IF(R35="",0,IF(J35&gt;='Setup'!$B$14,4,1+(K35&lt;'Setup'!$B$12)+(K35&lt;'Setup'!$B$13)))</x:f>
        <x:v>0</x:v>
      </x:c>
    </x:row>
    <x:row r="36">
      <x:c r="A36" s="310" t="n">
        <x:f>'Setup'!$B$3+(B36-1)*7+(C36-1)</x:f>
        <x:v>46277</x:v>
      </x:c>
      <x:c r="B36" s="311" t="n">
        <x:v>5</x:v>
      </x:c>
      <x:c r="C36" s="311" t="n">
        <x:v>6</x:v>
      </x:c>
      <x:c r="D36" s="311" t="str">
        <x:v>Athletic Full Body</x:v>
      </x:c>
      <x:c r="E36" s="312"/>
      <x:c r="F36" s="312"/>
      <x:c r="G36" s="312"/>
      <x:c r="H36" s="312"/>
      <x:c r="I36" s="312"/>
      <x:c r="J36" s="312"/>
      <x:c r="K36" s="313" t="str">
        <x:f>IF(R36="","",ROUND(T36,0))</x:f>
      </x:c>
      <x:c r="L36" s="314" t="n">
        <x:f>INDEX('Setup'!$I$4:$I$8,U36+1)</x:f>
        <x:v>1</x:v>
      </x:c>
      <x:c r="M36" s="315" t="str">
        <x:f>INDEX('Setup'!$J$4:$J$8,U36+1)</x:f>
        <x:v>Enter readiness</x:v>
      </x:c>
      <x:c r="N36" s="312"/>
      <x:c r="O36" s="312"/>
      <x:c r="P36" s="312"/>
      <x:c r="Q36" s="312"/>
      <x:c r="R36" s="315" t="str">
        <x:f>IF(COUNT(E36:J36)&gt;0,"Yes","")</x:f>
      </x:c>
      <x:c r="S36" s="286" t="n">
        <x:f>IF(E36="",3,E36)+IF(F36="",3,F36)+(6-IF(G36="",3,G36))+(6-IF(H36="",3,H36))+IF(I36="",3,I36)</x:f>
        <x:v>15</x:v>
      </x:c>
      <x:c r="T36" s="286" t="n">
        <x:f>S36/25*100-IF(J36="",0,J36)*4</x:f>
        <x:v>60</x:v>
      </x:c>
      <x:c r="U36" s="287" t="n">
        <x:f>IF(R36="",0,IF(J36&gt;='Setup'!$B$14,4,1+(K36&lt;'Setup'!$B$12)+(K36&lt;'Setup'!$B$13)))</x:f>
        <x:v>0</x:v>
      </x:c>
    </x:row>
    <x:row r="37">
      <x:c r="A37" s="310" t="n">
        <x:f>'Setup'!$B$3+(B37-1)*7+(C37-1)</x:f>
        <x:v>46279</x:v>
      </x:c>
      <x:c r="B37" s="311" t="n">
        <x:v>6</x:v>
      </x:c>
      <x:c r="C37" s="311" t="n">
        <x:v>1</x:v>
      </x:c>
      <x:c r="D37" s="311" t="str">
        <x:v>Lower Strength</x:v>
      </x:c>
      <x:c r="E37" s="312"/>
      <x:c r="F37" s="312"/>
      <x:c r="G37" s="312"/>
      <x:c r="H37" s="312"/>
      <x:c r="I37" s="312"/>
      <x:c r="J37" s="312"/>
      <x:c r="K37" s="313" t="str">
        <x:f>IF(R37="","",ROUND(T37,0))</x:f>
      </x:c>
      <x:c r="L37" s="314" t="n">
        <x:f>INDEX('Setup'!$I$4:$I$8,U37+1)</x:f>
        <x:v>1</x:v>
      </x:c>
      <x:c r="M37" s="315" t="str">
        <x:f>INDEX('Setup'!$J$4:$J$8,U37+1)</x:f>
        <x:v>Enter readiness</x:v>
      </x:c>
      <x:c r="N37" s="312"/>
      <x:c r="O37" s="312"/>
      <x:c r="P37" s="312"/>
      <x:c r="Q37" s="312"/>
      <x:c r="R37" s="315" t="str">
        <x:f>IF(COUNT(E37:J37)&gt;0,"Yes","")</x:f>
      </x:c>
      <x:c r="S37" s="286" t="n">
        <x:f>IF(E37="",3,E37)+IF(F37="",3,F37)+(6-IF(G37="",3,G37))+(6-IF(H37="",3,H37))+IF(I37="",3,I37)</x:f>
        <x:v>15</x:v>
      </x:c>
      <x:c r="T37" s="286" t="n">
        <x:f>S37/25*100-IF(J37="",0,J37)*4</x:f>
        <x:v>60</x:v>
      </x:c>
      <x:c r="U37" s="287" t="n">
        <x:f>IF(R37="",0,IF(J37&gt;='Setup'!$B$14,4,1+(K37&lt;'Setup'!$B$12)+(K37&lt;'Setup'!$B$13)))</x:f>
        <x:v>0</x:v>
      </x:c>
    </x:row>
    <x:row r="38">
      <x:c r="A38" s="310" t="n">
        <x:f>'Setup'!$B$3+(B38-1)*7+(C38-1)</x:f>
        <x:v>46280</x:v>
      </x:c>
      <x:c r="B38" s="311" t="n">
        <x:v>6</x:v>
      </x:c>
      <x:c r="C38" s="311" t="n">
        <x:v>2</x:v>
      </x:c>
      <x:c r="D38" s="311" t="str">
        <x:v>Upper Strength</x:v>
      </x:c>
      <x:c r="E38" s="312"/>
      <x:c r="F38" s="312"/>
      <x:c r="G38" s="312"/>
      <x:c r="H38" s="312"/>
      <x:c r="I38" s="312"/>
      <x:c r="J38" s="312"/>
      <x:c r="K38" s="313" t="str">
        <x:f>IF(R38="","",ROUND(T38,0))</x:f>
      </x:c>
      <x:c r="L38" s="314" t="n">
        <x:f>INDEX('Setup'!$I$4:$I$8,U38+1)</x:f>
        <x:v>1</x:v>
      </x:c>
      <x:c r="M38" s="315" t="str">
        <x:f>INDEX('Setup'!$J$4:$J$8,U38+1)</x:f>
        <x:v>Enter readiness</x:v>
      </x:c>
      <x:c r="N38" s="312"/>
      <x:c r="O38" s="312"/>
      <x:c r="P38" s="312"/>
      <x:c r="Q38" s="312"/>
      <x:c r="R38" s="315" t="str">
        <x:f>IF(COUNT(E38:J38)&gt;0,"Yes","")</x:f>
      </x:c>
      <x:c r="S38" s="286" t="n">
        <x:f>IF(E38="",3,E38)+IF(F38="",3,F38)+(6-IF(G38="",3,G38))+(6-IF(H38="",3,H38))+IF(I38="",3,I38)</x:f>
        <x:v>15</x:v>
      </x:c>
      <x:c r="T38" s="286" t="n">
        <x:f>S38/25*100-IF(J38="",0,J38)*4</x:f>
        <x:v>60</x:v>
      </x:c>
      <x:c r="U38" s="287" t="n">
        <x:f>IF(R38="",0,IF(J38&gt;='Setup'!$B$14,4,1+(K38&lt;'Setup'!$B$12)+(K38&lt;'Setup'!$B$13)))</x:f>
        <x:v>0</x:v>
      </x:c>
    </x:row>
    <x:row r="39">
      <x:c r="A39" s="310" t="n">
        <x:f>'Setup'!$B$3+(B39-1)*7+(C39-1)</x:f>
        <x:v>46281</x:v>
      </x:c>
      <x:c r="B39" s="311" t="n">
        <x:v>6</x:v>
      </x:c>
      <x:c r="C39" s="311" t="n">
        <x:v>3</x:v>
      </x:c>
      <x:c r="D39" s="311" t="str">
        <x:v>Legs Hypertrophy</x:v>
      </x:c>
      <x:c r="E39" s="312"/>
      <x:c r="F39" s="312"/>
      <x:c r="G39" s="312"/>
      <x:c r="H39" s="312"/>
      <x:c r="I39" s="312"/>
      <x:c r="J39" s="312"/>
      <x:c r="K39" s="313" t="str">
        <x:f>IF(R39="","",ROUND(T39,0))</x:f>
      </x:c>
      <x:c r="L39" s="314" t="n">
        <x:f>INDEX('Setup'!$I$4:$I$8,U39+1)</x:f>
        <x:v>1</x:v>
      </x:c>
      <x:c r="M39" s="315" t="str">
        <x:f>INDEX('Setup'!$J$4:$J$8,U39+1)</x:f>
        <x:v>Enter readiness</x:v>
      </x:c>
      <x:c r="N39" s="312"/>
      <x:c r="O39" s="312"/>
      <x:c r="P39" s="312"/>
      <x:c r="Q39" s="312"/>
      <x:c r="R39" s="315" t="str">
        <x:f>IF(COUNT(E39:J39)&gt;0,"Yes","")</x:f>
      </x:c>
      <x:c r="S39" s="286" t="n">
        <x:f>IF(E39="",3,E39)+IF(F39="",3,F39)+(6-IF(G39="",3,G39))+(6-IF(H39="",3,H39))+IF(I39="",3,I39)</x:f>
        <x:v>15</x:v>
      </x:c>
      <x:c r="T39" s="286" t="n">
        <x:f>S39/25*100-IF(J39="",0,J39)*4</x:f>
        <x:v>60</x:v>
      </x:c>
      <x:c r="U39" s="287" t="n">
        <x:f>IF(R39="",0,IF(J39&gt;='Setup'!$B$14,4,1+(K39&lt;'Setup'!$B$12)+(K39&lt;'Setup'!$B$13)))</x:f>
        <x:v>0</x:v>
      </x:c>
    </x:row>
    <x:row r="40">
      <x:c r="A40" s="310" t="n">
        <x:f>'Setup'!$B$3+(B40-1)*7+(C40-1)</x:f>
        <x:v>46282</x:v>
      </x:c>
      <x:c r="B40" s="311" t="n">
        <x:v>6</x:v>
      </x:c>
      <x:c r="C40" s="311" t="n">
        <x:v>4</x:v>
      </x:c>
      <x:c r="D40" s="311" t="str">
        <x:v>Push Hypertrophy</x:v>
      </x:c>
      <x:c r="E40" s="312"/>
      <x:c r="F40" s="312"/>
      <x:c r="G40" s="312"/>
      <x:c r="H40" s="312"/>
      <x:c r="I40" s="312"/>
      <x:c r="J40" s="312"/>
      <x:c r="K40" s="313" t="str">
        <x:f>IF(R40="","",ROUND(T40,0))</x:f>
      </x:c>
      <x:c r="L40" s="314" t="n">
        <x:f>INDEX('Setup'!$I$4:$I$8,U40+1)</x:f>
        <x:v>1</x:v>
      </x:c>
      <x:c r="M40" s="315" t="str">
        <x:f>INDEX('Setup'!$J$4:$J$8,U40+1)</x:f>
        <x:v>Enter readiness</x:v>
      </x:c>
      <x:c r="N40" s="312"/>
      <x:c r="O40" s="312"/>
      <x:c r="P40" s="312"/>
      <x:c r="Q40" s="312"/>
      <x:c r="R40" s="315" t="str">
        <x:f>IF(COUNT(E40:J40)&gt;0,"Yes","")</x:f>
      </x:c>
      <x:c r="S40" s="286" t="n">
        <x:f>IF(E40="",3,E40)+IF(F40="",3,F40)+(6-IF(G40="",3,G40))+(6-IF(H40="",3,H40))+IF(I40="",3,I40)</x:f>
        <x:v>15</x:v>
      </x:c>
      <x:c r="T40" s="286" t="n">
        <x:f>S40/25*100-IF(J40="",0,J40)*4</x:f>
        <x:v>60</x:v>
      </x:c>
      <x:c r="U40" s="287" t="n">
        <x:f>IF(R40="",0,IF(J40&gt;='Setup'!$B$14,4,1+(K40&lt;'Setup'!$B$12)+(K40&lt;'Setup'!$B$13)))</x:f>
        <x:v>0</x:v>
      </x:c>
    </x:row>
    <x:row r="41">
      <x:c r="A41" s="310" t="n">
        <x:f>'Setup'!$B$3+(B41-1)*7+(C41-1)</x:f>
        <x:v>46283</x:v>
      </x:c>
      <x:c r="B41" s="311" t="n">
        <x:v>6</x:v>
      </x:c>
      <x:c r="C41" s="311" t="n">
        <x:v>5</x:v>
      </x:c>
      <x:c r="D41" s="311" t="str">
        <x:v>Pull Hypertrophy</x:v>
      </x:c>
      <x:c r="E41" s="312"/>
      <x:c r="F41" s="312"/>
      <x:c r="G41" s="312"/>
      <x:c r="H41" s="312"/>
      <x:c r="I41" s="312"/>
      <x:c r="J41" s="312"/>
      <x:c r="K41" s="313" t="str">
        <x:f>IF(R41="","",ROUND(T41,0))</x:f>
      </x:c>
      <x:c r="L41" s="314" t="n">
        <x:f>INDEX('Setup'!$I$4:$I$8,U41+1)</x:f>
        <x:v>1</x:v>
      </x:c>
      <x:c r="M41" s="315" t="str">
        <x:f>INDEX('Setup'!$J$4:$J$8,U41+1)</x:f>
        <x:v>Enter readiness</x:v>
      </x:c>
      <x:c r="N41" s="312"/>
      <x:c r="O41" s="312"/>
      <x:c r="P41" s="312"/>
      <x:c r="Q41" s="312"/>
      <x:c r="R41" s="315" t="str">
        <x:f>IF(COUNT(E41:J41)&gt;0,"Yes","")</x:f>
      </x:c>
      <x:c r="S41" s="286" t="n">
        <x:f>IF(E41="",3,E41)+IF(F41="",3,F41)+(6-IF(G41="",3,G41))+(6-IF(H41="",3,H41))+IF(I41="",3,I41)</x:f>
        <x:v>15</x:v>
      </x:c>
      <x:c r="T41" s="286" t="n">
        <x:f>S41/25*100-IF(J41="",0,J41)*4</x:f>
        <x:v>60</x:v>
      </x:c>
      <x:c r="U41" s="287" t="n">
        <x:f>IF(R41="",0,IF(J41&gt;='Setup'!$B$14,4,1+(K41&lt;'Setup'!$B$12)+(K41&lt;'Setup'!$B$13)))</x:f>
        <x:v>0</x:v>
      </x:c>
    </x:row>
    <x:row r="42">
      <x:c r="A42" s="310" t="n">
        <x:f>'Setup'!$B$3+(B42-1)*7+(C42-1)</x:f>
        <x:v>46284</x:v>
      </x:c>
      <x:c r="B42" s="311" t="n">
        <x:v>6</x:v>
      </x:c>
      <x:c r="C42" s="311" t="n">
        <x:v>6</x:v>
      </x:c>
      <x:c r="D42" s="311" t="str">
        <x:v>Athletic Full Body</x:v>
      </x:c>
      <x:c r="E42" s="312"/>
      <x:c r="F42" s="312"/>
      <x:c r="G42" s="312"/>
      <x:c r="H42" s="312"/>
      <x:c r="I42" s="312"/>
      <x:c r="J42" s="312"/>
      <x:c r="K42" s="313" t="str">
        <x:f>IF(R42="","",ROUND(T42,0))</x:f>
      </x:c>
      <x:c r="L42" s="314" t="n">
        <x:f>INDEX('Setup'!$I$4:$I$8,U42+1)</x:f>
        <x:v>1</x:v>
      </x:c>
      <x:c r="M42" s="315" t="str">
        <x:f>INDEX('Setup'!$J$4:$J$8,U42+1)</x:f>
        <x:v>Enter readiness</x:v>
      </x:c>
      <x:c r="N42" s="312"/>
      <x:c r="O42" s="312"/>
      <x:c r="P42" s="312"/>
      <x:c r="Q42" s="312"/>
      <x:c r="R42" s="315" t="str">
        <x:f>IF(COUNT(E42:J42)&gt;0,"Yes","")</x:f>
      </x:c>
      <x:c r="S42" s="286" t="n">
        <x:f>IF(E42="",3,E42)+IF(F42="",3,F42)+(6-IF(G42="",3,G42))+(6-IF(H42="",3,H42))+IF(I42="",3,I42)</x:f>
        <x:v>15</x:v>
      </x:c>
      <x:c r="T42" s="286" t="n">
        <x:f>S42/25*100-IF(J42="",0,J42)*4</x:f>
        <x:v>60</x:v>
      </x:c>
      <x:c r="U42" s="287" t="n">
        <x:f>IF(R42="",0,IF(J42&gt;='Setup'!$B$14,4,1+(K42&lt;'Setup'!$B$12)+(K42&lt;'Setup'!$B$13)))</x:f>
        <x:v>0</x:v>
      </x:c>
    </x:row>
    <x:row r="43">
      <x:c r="A43" s="310" t="n">
        <x:f>'Setup'!$B$3+(B43-1)*7+(C43-1)</x:f>
        <x:v>46286</x:v>
      </x:c>
      <x:c r="B43" s="311" t="n">
        <x:v>7</x:v>
      </x:c>
      <x:c r="C43" s="311" t="n">
        <x:v>1</x:v>
      </x:c>
      <x:c r="D43" s="311" t="str">
        <x:v>Lower Strength</x:v>
      </x:c>
      <x:c r="E43" s="312"/>
      <x:c r="F43" s="312"/>
      <x:c r="G43" s="312"/>
      <x:c r="H43" s="312"/>
      <x:c r="I43" s="312"/>
      <x:c r="J43" s="312"/>
      <x:c r="K43" s="313" t="str">
        <x:f>IF(R43="","",ROUND(T43,0))</x:f>
      </x:c>
      <x:c r="L43" s="314" t="n">
        <x:f>INDEX('Setup'!$I$4:$I$8,U43+1)</x:f>
        <x:v>1</x:v>
      </x:c>
      <x:c r="M43" s="315" t="str">
        <x:f>INDEX('Setup'!$J$4:$J$8,U43+1)</x:f>
        <x:v>Enter readiness</x:v>
      </x:c>
      <x:c r="N43" s="312"/>
      <x:c r="O43" s="312"/>
      <x:c r="P43" s="312"/>
      <x:c r="Q43" s="312"/>
      <x:c r="R43" s="315" t="str">
        <x:f>IF(COUNT(E43:J43)&gt;0,"Yes","")</x:f>
      </x:c>
      <x:c r="S43" s="286" t="n">
        <x:f>IF(E43="",3,E43)+IF(F43="",3,F43)+(6-IF(G43="",3,G43))+(6-IF(H43="",3,H43))+IF(I43="",3,I43)</x:f>
        <x:v>15</x:v>
      </x:c>
      <x:c r="T43" s="286" t="n">
        <x:f>S43/25*100-IF(J43="",0,J43)*4</x:f>
        <x:v>60</x:v>
      </x:c>
      <x:c r="U43" s="287" t="n">
        <x:f>IF(R43="",0,IF(J43&gt;='Setup'!$B$14,4,1+(K43&lt;'Setup'!$B$12)+(K43&lt;'Setup'!$B$13)))</x:f>
        <x:v>0</x:v>
      </x:c>
    </x:row>
    <x:row r="44">
      <x:c r="A44" s="310" t="n">
        <x:f>'Setup'!$B$3+(B44-1)*7+(C44-1)</x:f>
        <x:v>46287</x:v>
      </x:c>
      <x:c r="B44" s="311" t="n">
        <x:v>7</x:v>
      </x:c>
      <x:c r="C44" s="311" t="n">
        <x:v>2</x:v>
      </x:c>
      <x:c r="D44" s="311" t="str">
        <x:v>Upper Strength</x:v>
      </x:c>
      <x:c r="E44" s="312"/>
      <x:c r="F44" s="312"/>
      <x:c r="G44" s="312"/>
      <x:c r="H44" s="312"/>
      <x:c r="I44" s="312"/>
      <x:c r="J44" s="312"/>
      <x:c r="K44" s="313" t="str">
        <x:f>IF(R44="","",ROUND(T44,0))</x:f>
      </x:c>
      <x:c r="L44" s="314" t="n">
        <x:f>INDEX('Setup'!$I$4:$I$8,U44+1)</x:f>
        <x:v>1</x:v>
      </x:c>
      <x:c r="M44" s="315" t="str">
        <x:f>INDEX('Setup'!$J$4:$J$8,U44+1)</x:f>
        <x:v>Enter readiness</x:v>
      </x:c>
      <x:c r="N44" s="312"/>
      <x:c r="O44" s="312"/>
      <x:c r="P44" s="312"/>
      <x:c r="Q44" s="312"/>
      <x:c r="R44" s="315" t="str">
        <x:f>IF(COUNT(E44:J44)&gt;0,"Yes","")</x:f>
      </x:c>
      <x:c r="S44" s="286" t="n">
        <x:f>IF(E44="",3,E44)+IF(F44="",3,F44)+(6-IF(G44="",3,G44))+(6-IF(H44="",3,H44))+IF(I44="",3,I44)</x:f>
        <x:v>15</x:v>
      </x:c>
      <x:c r="T44" s="286" t="n">
        <x:f>S44/25*100-IF(J44="",0,J44)*4</x:f>
        <x:v>60</x:v>
      </x:c>
      <x:c r="U44" s="287" t="n">
        <x:f>IF(R44="",0,IF(J44&gt;='Setup'!$B$14,4,1+(K44&lt;'Setup'!$B$12)+(K44&lt;'Setup'!$B$13)))</x:f>
        <x:v>0</x:v>
      </x:c>
    </x:row>
    <x:row r="45">
      <x:c r="A45" s="310" t="n">
        <x:f>'Setup'!$B$3+(B45-1)*7+(C45-1)</x:f>
        <x:v>46288</x:v>
      </x:c>
      <x:c r="B45" s="311" t="n">
        <x:v>7</x:v>
      </x:c>
      <x:c r="C45" s="311" t="n">
        <x:v>3</x:v>
      </x:c>
      <x:c r="D45" s="311" t="str">
        <x:v>Legs Hypertrophy</x:v>
      </x:c>
      <x:c r="E45" s="312"/>
      <x:c r="F45" s="312"/>
      <x:c r="G45" s="312"/>
      <x:c r="H45" s="312"/>
      <x:c r="I45" s="312"/>
      <x:c r="J45" s="312"/>
      <x:c r="K45" s="313" t="str">
        <x:f>IF(R45="","",ROUND(T45,0))</x:f>
      </x:c>
      <x:c r="L45" s="314" t="n">
        <x:f>INDEX('Setup'!$I$4:$I$8,U45+1)</x:f>
        <x:v>1</x:v>
      </x:c>
      <x:c r="M45" s="315" t="str">
        <x:f>INDEX('Setup'!$J$4:$J$8,U45+1)</x:f>
        <x:v>Enter readiness</x:v>
      </x:c>
      <x:c r="N45" s="312"/>
      <x:c r="O45" s="312"/>
      <x:c r="P45" s="312"/>
      <x:c r="Q45" s="312"/>
      <x:c r="R45" s="315" t="str">
        <x:f>IF(COUNT(E45:J45)&gt;0,"Yes","")</x:f>
      </x:c>
      <x:c r="S45" s="286" t="n">
        <x:f>IF(E45="",3,E45)+IF(F45="",3,F45)+(6-IF(G45="",3,G45))+(6-IF(H45="",3,H45))+IF(I45="",3,I45)</x:f>
        <x:v>15</x:v>
      </x:c>
      <x:c r="T45" s="286" t="n">
        <x:f>S45/25*100-IF(J45="",0,J45)*4</x:f>
        <x:v>60</x:v>
      </x:c>
      <x:c r="U45" s="287" t="n">
        <x:f>IF(R45="",0,IF(J45&gt;='Setup'!$B$14,4,1+(K45&lt;'Setup'!$B$12)+(K45&lt;'Setup'!$B$13)))</x:f>
        <x:v>0</x:v>
      </x:c>
    </x:row>
    <x:row r="46">
      <x:c r="A46" s="310" t="n">
        <x:f>'Setup'!$B$3+(B46-1)*7+(C46-1)</x:f>
        <x:v>46289</x:v>
      </x:c>
      <x:c r="B46" s="311" t="n">
        <x:v>7</x:v>
      </x:c>
      <x:c r="C46" s="311" t="n">
        <x:v>4</x:v>
      </x:c>
      <x:c r="D46" s="311" t="str">
        <x:v>Push Hypertrophy</x:v>
      </x:c>
      <x:c r="E46" s="312"/>
      <x:c r="F46" s="312"/>
      <x:c r="G46" s="312"/>
      <x:c r="H46" s="312"/>
      <x:c r="I46" s="312"/>
      <x:c r="J46" s="312"/>
      <x:c r="K46" s="313" t="str">
        <x:f>IF(R46="","",ROUND(T46,0))</x:f>
      </x:c>
      <x:c r="L46" s="314" t="n">
        <x:f>INDEX('Setup'!$I$4:$I$8,U46+1)</x:f>
        <x:v>1</x:v>
      </x:c>
      <x:c r="M46" s="315" t="str">
        <x:f>INDEX('Setup'!$J$4:$J$8,U46+1)</x:f>
        <x:v>Enter readiness</x:v>
      </x:c>
      <x:c r="N46" s="312"/>
      <x:c r="O46" s="312"/>
      <x:c r="P46" s="312"/>
      <x:c r="Q46" s="312"/>
      <x:c r="R46" s="315" t="str">
        <x:f>IF(COUNT(E46:J46)&gt;0,"Yes","")</x:f>
      </x:c>
      <x:c r="S46" s="286" t="n">
        <x:f>IF(E46="",3,E46)+IF(F46="",3,F46)+(6-IF(G46="",3,G46))+(6-IF(H46="",3,H46))+IF(I46="",3,I46)</x:f>
        <x:v>15</x:v>
      </x:c>
      <x:c r="T46" s="286" t="n">
        <x:f>S46/25*100-IF(J46="",0,J46)*4</x:f>
        <x:v>60</x:v>
      </x:c>
      <x:c r="U46" s="287" t="n">
        <x:f>IF(R46="",0,IF(J46&gt;='Setup'!$B$14,4,1+(K46&lt;'Setup'!$B$12)+(K46&lt;'Setup'!$B$13)))</x:f>
        <x:v>0</x:v>
      </x:c>
    </x:row>
    <x:row r="47">
      <x:c r="A47" s="310" t="n">
        <x:f>'Setup'!$B$3+(B47-1)*7+(C47-1)</x:f>
        <x:v>46290</x:v>
      </x:c>
      <x:c r="B47" s="311" t="n">
        <x:v>7</x:v>
      </x:c>
      <x:c r="C47" s="311" t="n">
        <x:v>5</x:v>
      </x:c>
      <x:c r="D47" s="311" t="str">
        <x:v>Pull Hypertrophy</x:v>
      </x:c>
      <x:c r="E47" s="312"/>
      <x:c r="F47" s="312"/>
      <x:c r="G47" s="312"/>
      <x:c r="H47" s="312"/>
      <x:c r="I47" s="312"/>
      <x:c r="J47" s="312"/>
      <x:c r="K47" s="313" t="str">
        <x:f>IF(R47="","",ROUND(T47,0))</x:f>
      </x:c>
      <x:c r="L47" s="314" t="n">
        <x:f>INDEX('Setup'!$I$4:$I$8,U47+1)</x:f>
        <x:v>1</x:v>
      </x:c>
      <x:c r="M47" s="315" t="str">
        <x:f>INDEX('Setup'!$J$4:$J$8,U47+1)</x:f>
        <x:v>Enter readiness</x:v>
      </x:c>
      <x:c r="N47" s="312"/>
      <x:c r="O47" s="312"/>
      <x:c r="P47" s="312"/>
      <x:c r="Q47" s="312"/>
      <x:c r="R47" s="315" t="str">
        <x:f>IF(COUNT(E47:J47)&gt;0,"Yes","")</x:f>
      </x:c>
      <x:c r="S47" s="286" t="n">
        <x:f>IF(E47="",3,E47)+IF(F47="",3,F47)+(6-IF(G47="",3,G47))+(6-IF(H47="",3,H47))+IF(I47="",3,I47)</x:f>
        <x:v>15</x:v>
      </x:c>
      <x:c r="T47" s="286" t="n">
        <x:f>S47/25*100-IF(J47="",0,J47)*4</x:f>
        <x:v>60</x:v>
      </x:c>
      <x:c r="U47" s="287" t="n">
        <x:f>IF(R47="",0,IF(J47&gt;='Setup'!$B$14,4,1+(K47&lt;'Setup'!$B$12)+(K47&lt;'Setup'!$B$13)))</x:f>
        <x:v>0</x:v>
      </x:c>
    </x:row>
    <x:row r="48">
      <x:c r="A48" s="310" t="n">
        <x:f>'Setup'!$B$3+(B48-1)*7+(C48-1)</x:f>
        <x:v>46291</x:v>
      </x:c>
      <x:c r="B48" s="311" t="n">
        <x:v>7</x:v>
      </x:c>
      <x:c r="C48" s="311" t="n">
        <x:v>6</x:v>
      </x:c>
      <x:c r="D48" s="311" t="str">
        <x:v>Athletic Full Body</x:v>
      </x:c>
      <x:c r="E48" s="312"/>
      <x:c r="F48" s="312"/>
      <x:c r="G48" s="312"/>
      <x:c r="H48" s="312"/>
      <x:c r="I48" s="312"/>
      <x:c r="J48" s="312"/>
      <x:c r="K48" s="313" t="str">
        <x:f>IF(R48="","",ROUND(T48,0))</x:f>
      </x:c>
      <x:c r="L48" s="314" t="n">
        <x:f>INDEX('Setup'!$I$4:$I$8,U48+1)</x:f>
        <x:v>1</x:v>
      </x:c>
      <x:c r="M48" s="315" t="str">
        <x:f>INDEX('Setup'!$J$4:$J$8,U48+1)</x:f>
        <x:v>Enter readiness</x:v>
      </x:c>
      <x:c r="N48" s="312"/>
      <x:c r="O48" s="312"/>
      <x:c r="P48" s="312"/>
      <x:c r="Q48" s="312"/>
      <x:c r="R48" s="315" t="str">
        <x:f>IF(COUNT(E48:J48)&gt;0,"Yes","")</x:f>
      </x:c>
      <x:c r="S48" s="286" t="n">
        <x:f>IF(E48="",3,E48)+IF(F48="",3,F48)+(6-IF(G48="",3,G48))+(6-IF(H48="",3,H48))+IF(I48="",3,I48)</x:f>
        <x:v>15</x:v>
      </x:c>
      <x:c r="T48" s="286" t="n">
        <x:f>S48/25*100-IF(J48="",0,J48)*4</x:f>
        <x:v>60</x:v>
      </x:c>
      <x:c r="U48" s="287" t="n">
        <x:f>IF(R48="",0,IF(J48&gt;='Setup'!$B$14,4,1+(K48&lt;'Setup'!$B$12)+(K48&lt;'Setup'!$B$13)))</x:f>
        <x:v>0</x:v>
      </x:c>
    </x:row>
    <x:row r="49">
      <x:c r="A49" s="310" t="n">
        <x:f>'Setup'!$B$3+(B49-1)*7+(C49-1)</x:f>
        <x:v>46293</x:v>
      </x:c>
      <x:c r="B49" s="311" t="n">
        <x:v>8</x:v>
      </x:c>
      <x:c r="C49" s="311" t="n">
        <x:v>1</x:v>
      </x:c>
      <x:c r="D49" s="311" t="str">
        <x:v>Lower Strength</x:v>
      </x:c>
      <x:c r="E49" s="312"/>
      <x:c r="F49" s="312"/>
      <x:c r="G49" s="312"/>
      <x:c r="H49" s="312"/>
      <x:c r="I49" s="312"/>
      <x:c r="J49" s="312"/>
      <x:c r="K49" s="313" t="str">
        <x:f>IF(R49="","",ROUND(T49,0))</x:f>
      </x:c>
      <x:c r="L49" s="314" t="n">
        <x:f>INDEX('Setup'!$I$4:$I$8,U49+1)</x:f>
        <x:v>1</x:v>
      </x:c>
      <x:c r="M49" s="315" t="str">
        <x:f>INDEX('Setup'!$J$4:$J$8,U49+1)</x:f>
        <x:v>Enter readiness</x:v>
      </x:c>
      <x:c r="N49" s="312"/>
      <x:c r="O49" s="312"/>
      <x:c r="P49" s="312"/>
      <x:c r="Q49" s="312"/>
      <x:c r="R49" s="315" t="str">
        <x:f>IF(COUNT(E49:J49)&gt;0,"Yes","")</x:f>
      </x:c>
      <x:c r="S49" s="286" t="n">
        <x:f>IF(E49="",3,E49)+IF(F49="",3,F49)+(6-IF(G49="",3,G49))+(6-IF(H49="",3,H49))+IF(I49="",3,I49)</x:f>
        <x:v>15</x:v>
      </x:c>
      <x:c r="T49" s="286" t="n">
        <x:f>S49/25*100-IF(J49="",0,J49)*4</x:f>
        <x:v>60</x:v>
      </x:c>
      <x:c r="U49" s="287" t="n">
        <x:f>IF(R49="",0,IF(J49&gt;='Setup'!$B$14,4,1+(K49&lt;'Setup'!$B$12)+(K49&lt;'Setup'!$B$13)))</x:f>
        <x:v>0</x:v>
      </x:c>
    </x:row>
    <x:row r="50">
      <x:c r="A50" s="310" t="n">
        <x:f>'Setup'!$B$3+(B50-1)*7+(C50-1)</x:f>
        <x:v>46294</x:v>
      </x:c>
      <x:c r="B50" s="311" t="n">
        <x:v>8</x:v>
      </x:c>
      <x:c r="C50" s="311" t="n">
        <x:v>2</x:v>
      </x:c>
      <x:c r="D50" s="311" t="str">
        <x:v>Upper Strength</x:v>
      </x:c>
      <x:c r="E50" s="312"/>
      <x:c r="F50" s="312"/>
      <x:c r="G50" s="312"/>
      <x:c r="H50" s="312"/>
      <x:c r="I50" s="312"/>
      <x:c r="J50" s="312"/>
      <x:c r="K50" s="313" t="str">
        <x:f>IF(R50="","",ROUND(T50,0))</x:f>
      </x:c>
      <x:c r="L50" s="314" t="n">
        <x:f>INDEX('Setup'!$I$4:$I$8,U50+1)</x:f>
        <x:v>1</x:v>
      </x:c>
      <x:c r="M50" s="315" t="str">
        <x:f>INDEX('Setup'!$J$4:$J$8,U50+1)</x:f>
        <x:v>Enter readiness</x:v>
      </x:c>
      <x:c r="N50" s="312"/>
      <x:c r="O50" s="312"/>
      <x:c r="P50" s="312"/>
      <x:c r="Q50" s="312"/>
      <x:c r="R50" s="315" t="str">
        <x:f>IF(COUNT(E50:J50)&gt;0,"Yes","")</x:f>
      </x:c>
      <x:c r="S50" s="286" t="n">
        <x:f>IF(E50="",3,E50)+IF(F50="",3,F50)+(6-IF(G50="",3,G50))+(6-IF(H50="",3,H50))+IF(I50="",3,I50)</x:f>
        <x:v>15</x:v>
      </x:c>
      <x:c r="T50" s="286" t="n">
        <x:f>S50/25*100-IF(J50="",0,J50)*4</x:f>
        <x:v>60</x:v>
      </x:c>
      <x:c r="U50" s="287" t="n">
        <x:f>IF(R50="",0,IF(J50&gt;='Setup'!$B$14,4,1+(K50&lt;'Setup'!$B$12)+(K50&lt;'Setup'!$B$13)))</x:f>
        <x:v>0</x:v>
      </x:c>
    </x:row>
    <x:row r="51">
      <x:c r="A51" s="310" t="n">
        <x:f>'Setup'!$B$3+(B51-1)*7+(C51-1)</x:f>
        <x:v>46295</x:v>
      </x:c>
      <x:c r="B51" s="311" t="n">
        <x:v>8</x:v>
      </x:c>
      <x:c r="C51" s="311" t="n">
        <x:v>3</x:v>
      </x:c>
      <x:c r="D51" s="311" t="str">
        <x:v>Legs Hypertrophy</x:v>
      </x:c>
      <x:c r="E51" s="312"/>
      <x:c r="F51" s="312"/>
      <x:c r="G51" s="312"/>
      <x:c r="H51" s="312"/>
      <x:c r="I51" s="312"/>
      <x:c r="J51" s="312"/>
      <x:c r="K51" s="313" t="str">
        <x:f>IF(R51="","",ROUND(T51,0))</x:f>
      </x:c>
      <x:c r="L51" s="314" t="n">
        <x:f>INDEX('Setup'!$I$4:$I$8,U51+1)</x:f>
        <x:v>1</x:v>
      </x:c>
      <x:c r="M51" s="315" t="str">
        <x:f>INDEX('Setup'!$J$4:$J$8,U51+1)</x:f>
        <x:v>Enter readiness</x:v>
      </x:c>
      <x:c r="N51" s="312"/>
      <x:c r="O51" s="312"/>
      <x:c r="P51" s="312"/>
      <x:c r="Q51" s="312"/>
      <x:c r="R51" s="315" t="str">
        <x:f>IF(COUNT(E51:J51)&gt;0,"Yes","")</x:f>
      </x:c>
      <x:c r="S51" s="286" t="n">
        <x:f>IF(E51="",3,E51)+IF(F51="",3,F51)+(6-IF(G51="",3,G51))+(6-IF(H51="",3,H51))+IF(I51="",3,I51)</x:f>
        <x:v>15</x:v>
      </x:c>
      <x:c r="T51" s="286" t="n">
        <x:f>S51/25*100-IF(J51="",0,J51)*4</x:f>
        <x:v>60</x:v>
      </x:c>
      <x:c r="U51" s="287" t="n">
        <x:f>IF(R51="",0,IF(J51&gt;='Setup'!$B$14,4,1+(K51&lt;'Setup'!$B$12)+(K51&lt;'Setup'!$B$13)))</x:f>
        <x:v>0</x:v>
      </x:c>
    </x:row>
    <x:row r="52">
      <x:c r="A52" s="310" t="n">
        <x:f>'Setup'!$B$3+(B52-1)*7+(C52-1)</x:f>
        <x:v>46296</x:v>
      </x:c>
      <x:c r="B52" s="311" t="n">
        <x:v>8</x:v>
      </x:c>
      <x:c r="C52" s="311" t="n">
        <x:v>4</x:v>
      </x:c>
      <x:c r="D52" s="311" t="str">
        <x:v>Push Hypertrophy</x:v>
      </x:c>
      <x:c r="E52" s="312"/>
      <x:c r="F52" s="312"/>
      <x:c r="G52" s="312"/>
      <x:c r="H52" s="312"/>
      <x:c r="I52" s="312"/>
      <x:c r="J52" s="312"/>
      <x:c r="K52" s="313" t="str">
        <x:f>IF(R52="","",ROUND(T52,0))</x:f>
      </x:c>
      <x:c r="L52" s="314" t="n">
        <x:f>INDEX('Setup'!$I$4:$I$8,U52+1)</x:f>
        <x:v>1</x:v>
      </x:c>
      <x:c r="M52" s="315" t="str">
        <x:f>INDEX('Setup'!$J$4:$J$8,U52+1)</x:f>
        <x:v>Enter readiness</x:v>
      </x:c>
      <x:c r="N52" s="312"/>
      <x:c r="O52" s="312"/>
      <x:c r="P52" s="312"/>
      <x:c r="Q52" s="312"/>
      <x:c r="R52" s="315" t="str">
        <x:f>IF(COUNT(E52:J52)&gt;0,"Yes","")</x:f>
      </x:c>
      <x:c r="S52" s="286" t="n">
        <x:f>IF(E52="",3,E52)+IF(F52="",3,F52)+(6-IF(G52="",3,G52))+(6-IF(H52="",3,H52))+IF(I52="",3,I52)</x:f>
        <x:v>15</x:v>
      </x:c>
      <x:c r="T52" s="286" t="n">
        <x:f>S52/25*100-IF(J52="",0,J52)*4</x:f>
        <x:v>60</x:v>
      </x:c>
      <x:c r="U52" s="287" t="n">
        <x:f>IF(R52="",0,IF(J52&gt;='Setup'!$B$14,4,1+(K52&lt;'Setup'!$B$12)+(K52&lt;'Setup'!$B$13)))</x:f>
        <x:v>0</x:v>
      </x:c>
    </x:row>
    <x:row r="53">
      <x:c r="A53" s="310" t="n">
        <x:f>'Setup'!$B$3+(B53-1)*7+(C53-1)</x:f>
        <x:v>46297</x:v>
      </x:c>
      <x:c r="B53" s="311" t="n">
        <x:v>8</x:v>
      </x:c>
      <x:c r="C53" s="311" t="n">
        <x:v>5</x:v>
      </x:c>
      <x:c r="D53" s="311" t="str">
        <x:v>Pull Hypertrophy</x:v>
      </x:c>
      <x:c r="E53" s="312"/>
      <x:c r="F53" s="312"/>
      <x:c r="G53" s="312"/>
      <x:c r="H53" s="312"/>
      <x:c r="I53" s="312"/>
      <x:c r="J53" s="312"/>
      <x:c r="K53" s="313" t="str">
        <x:f>IF(R53="","",ROUND(T53,0))</x:f>
      </x:c>
      <x:c r="L53" s="314" t="n">
        <x:f>INDEX('Setup'!$I$4:$I$8,U53+1)</x:f>
        <x:v>1</x:v>
      </x:c>
      <x:c r="M53" s="315" t="str">
        <x:f>INDEX('Setup'!$J$4:$J$8,U53+1)</x:f>
        <x:v>Enter readiness</x:v>
      </x:c>
      <x:c r="N53" s="312"/>
      <x:c r="O53" s="312"/>
      <x:c r="P53" s="312"/>
      <x:c r="Q53" s="312"/>
      <x:c r="R53" s="315" t="str">
        <x:f>IF(COUNT(E53:J53)&gt;0,"Yes","")</x:f>
      </x:c>
      <x:c r="S53" s="286" t="n">
        <x:f>IF(E53="",3,E53)+IF(F53="",3,F53)+(6-IF(G53="",3,G53))+(6-IF(H53="",3,H53))+IF(I53="",3,I53)</x:f>
        <x:v>15</x:v>
      </x:c>
      <x:c r="T53" s="286" t="n">
        <x:f>S53/25*100-IF(J53="",0,J53)*4</x:f>
        <x:v>60</x:v>
      </x:c>
      <x:c r="U53" s="287" t="n">
        <x:f>IF(R53="",0,IF(J53&gt;='Setup'!$B$14,4,1+(K53&lt;'Setup'!$B$12)+(K53&lt;'Setup'!$B$13)))</x:f>
        <x:v>0</x:v>
      </x:c>
    </x:row>
    <x:row r="54">
      <x:c r="A54" s="310" t="n">
        <x:f>'Setup'!$B$3+(B54-1)*7+(C54-1)</x:f>
        <x:v>46298</x:v>
      </x:c>
      <x:c r="B54" s="311" t="n">
        <x:v>8</x:v>
      </x:c>
      <x:c r="C54" s="311" t="n">
        <x:v>6</x:v>
      </x:c>
      <x:c r="D54" s="311" t="str">
        <x:v>Athletic Full Body</x:v>
      </x:c>
      <x:c r="E54" s="312"/>
      <x:c r="F54" s="312"/>
      <x:c r="G54" s="312"/>
      <x:c r="H54" s="312"/>
      <x:c r="I54" s="312"/>
      <x:c r="J54" s="312"/>
      <x:c r="K54" s="313" t="str">
        <x:f>IF(R54="","",ROUND(T54,0))</x:f>
      </x:c>
      <x:c r="L54" s="314" t="n">
        <x:f>INDEX('Setup'!$I$4:$I$8,U54+1)</x:f>
        <x:v>1</x:v>
      </x:c>
      <x:c r="M54" s="315" t="str">
        <x:f>INDEX('Setup'!$J$4:$J$8,U54+1)</x:f>
        <x:v>Enter readiness</x:v>
      </x:c>
      <x:c r="N54" s="312"/>
      <x:c r="O54" s="312"/>
      <x:c r="P54" s="312"/>
      <x:c r="Q54" s="312"/>
      <x:c r="R54" s="315" t="str">
        <x:f>IF(COUNT(E54:J54)&gt;0,"Yes","")</x:f>
      </x:c>
      <x:c r="S54" s="286" t="n">
        <x:f>IF(E54="",3,E54)+IF(F54="",3,F54)+(6-IF(G54="",3,G54))+(6-IF(H54="",3,H54))+IF(I54="",3,I54)</x:f>
        <x:v>15</x:v>
      </x:c>
      <x:c r="T54" s="286" t="n">
        <x:f>S54/25*100-IF(J54="",0,J54)*4</x:f>
        <x:v>60</x:v>
      </x:c>
      <x:c r="U54" s="287" t="n">
        <x:f>IF(R54="",0,IF(J54&gt;='Setup'!$B$14,4,1+(K54&lt;'Setup'!$B$12)+(K54&lt;'Setup'!$B$13)))</x:f>
        <x:v>0</x:v>
      </x:c>
    </x:row>
    <x:row r="55">
      <x:c r="A55" s="310" t="n">
        <x:f>'Setup'!$B$3+(B55-1)*7+(C55-1)</x:f>
        <x:v>46300</x:v>
      </x:c>
      <x:c r="B55" s="311" t="n">
        <x:v>9</x:v>
      </x:c>
      <x:c r="C55" s="311" t="n">
        <x:v>1</x:v>
      </x:c>
      <x:c r="D55" s="311" t="str">
        <x:v>Lower Power + Squat</x:v>
      </x:c>
      <x:c r="E55" s="312"/>
      <x:c r="F55" s="312"/>
      <x:c r="G55" s="312"/>
      <x:c r="H55" s="312"/>
      <x:c r="I55" s="312"/>
      <x:c r="J55" s="312"/>
      <x:c r="K55" s="313" t="str">
        <x:f>IF(R55="","",ROUND(T55,0))</x:f>
      </x:c>
      <x:c r="L55" s="314" t="n">
        <x:f>INDEX('Setup'!$I$4:$I$8,U55+1)</x:f>
        <x:v>1</x:v>
      </x:c>
      <x:c r="M55" s="315" t="str">
        <x:f>INDEX('Setup'!$J$4:$J$8,U55+1)</x:f>
        <x:v>Enter readiness</x:v>
      </x:c>
      <x:c r="N55" s="312"/>
      <x:c r="O55" s="312"/>
      <x:c r="P55" s="312"/>
      <x:c r="Q55" s="312"/>
      <x:c r="R55" s="315" t="str">
        <x:f>IF(COUNT(E55:J55)&gt;0,"Yes","")</x:f>
      </x:c>
      <x:c r="S55" s="286" t="n">
        <x:f>IF(E55="",3,E55)+IF(F55="",3,F55)+(6-IF(G55="",3,G55))+(6-IF(H55="",3,H55))+IF(I55="",3,I55)</x:f>
        <x:v>15</x:v>
      </x:c>
      <x:c r="T55" s="286" t="n">
        <x:f>S55/25*100-IF(J55="",0,J55)*4</x:f>
        <x:v>60</x:v>
      </x:c>
      <x:c r="U55" s="287" t="n">
        <x:f>IF(R55="",0,IF(J55&gt;='Setup'!$B$14,4,1+(K55&lt;'Setup'!$B$12)+(K55&lt;'Setup'!$B$13)))</x:f>
        <x:v>0</x:v>
      </x:c>
    </x:row>
    <x:row r="56">
      <x:c r="A56" s="310" t="n">
        <x:f>'Setup'!$B$3+(B56-1)*7+(C56-1)</x:f>
        <x:v>46301</x:v>
      </x:c>
      <x:c r="B56" s="311" t="n">
        <x:v>9</x:v>
      </x:c>
      <x:c r="C56" s="311" t="n">
        <x:v>2</x:v>
      </x:c>
      <x:c r="D56" s="311" t="str">
        <x:v>Back + Triceps</x:v>
      </x:c>
      <x:c r="E56" s="312"/>
      <x:c r="F56" s="312"/>
      <x:c r="G56" s="312"/>
      <x:c r="H56" s="312"/>
      <x:c r="I56" s="312"/>
      <x:c r="J56" s="312"/>
      <x:c r="K56" s="313" t="str">
        <x:f>IF(R56="","",ROUND(T56,0))</x:f>
      </x:c>
      <x:c r="L56" s="314" t="n">
        <x:f>INDEX('Setup'!$I$4:$I$8,U56+1)</x:f>
        <x:v>1</x:v>
      </x:c>
      <x:c r="M56" s="315" t="str">
        <x:f>INDEX('Setup'!$J$4:$J$8,U56+1)</x:f>
        <x:v>Enter readiness</x:v>
      </x:c>
      <x:c r="N56" s="312"/>
      <x:c r="O56" s="312"/>
      <x:c r="P56" s="312"/>
      <x:c r="Q56" s="312"/>
      <x:c r="R56" s="315" t="str">
        <x:f>IF(COUNT(E56:J56)&gt;0,"Yes","")</x:f>
      </x:c>
      <x:c r="S56" s="286" t="n">
        <x:f>IF(E56="",3,E56)+IF(F56="",3,F56)+(6-IF(G56="",3,G56))+(6-IF(H56="",3,H56))+IF(I56="",3,I56)</x:f>
        <x:v>15</x:v>
      </x:c>
      <x:c r="T56" s="286" t="n">
        <x:f>S56/25*100-IF(J56="",0,J56)*4</x:f>
        <x:v>60</x:v>
      </x:c>
      <x:c r="U56" s="287" t="n">
        <x:f>IF(R56="",0,IF(J56&gt;='Setup'!$B$14,4,1+(K56&lt;'Setup'!$B$12)+(K56&lt;'Setup'!$B$13)))</x:f>
        <x:v>0</x:v>
      </x:c>
    </x:row>
    <x:row r="57">
      <x:c r="A57" s="310" t="n">
        <x:f>'Setup'!$B$3+(B57-1)*7+(C57-1)</x:f>
        <x:v>46302</x:v>
      </x:c>
      <x:c r="B57" s="311" t="n">
        <x:v>9</x:v>
      </x:c>
      <x:c r="C57" s="311" t="n">
        <x:v>3</x:v>
      </x:c>
      <x:c r="D57" s="311" t="str">
        <x:v>Upper Power + Bench</x:v>
      </x:c>
      <x:c r="E57" s="312"/>
      <x:c r="F57" s="312"/>
      <x:c r="G57" s="312"/>
      <x:c r="H57" s="312"/>
      <x:c r="I57" s="312"/>
      <x:c r="J57" s="312"/>
      <x:c r="K57" s="313" t="str">
        <x:f>IF(R57="","",ROUND(T57,0))</x:f>
      </x:c>
      <x:c r="L57" s="314" t="n">
        <x:f>INDEX('Setup'!$I$4:$I$8,U57+1)</x:f>
        <x:v>1</x:v>
      </x:c>
      <x:c r="M57" s="315" t="str">
        <x:f>INDEX('Setup'!$J$4:$J$8,U57+1)</x:f>
        <x:v>Enter readiness</x:v>
      </x:c>
      <x:c r="N57" s="312"/>
      <x:c r="O57" s="312"/>
      <x:c r="P57" s="312"/>
      <x:c r="Q57" s="312"/>
      <x:c r="R57" s="315" t="str">
        <x:f>IF(COUNT(E57:J57)&gt;0,"Yes","")</x:f>
      </x:c>
      <x:c r="S57" s="286" t="n">
        <x:f>IF(E57="",3,E57)+IF(F57="",3,F57)+(6-IF(G57="",3,G57))+(6-IF(H57="",3,H57))+IF(I57="",3,I57)</x:f>
        <x:v>15</x:v>
      </x:c>
      <x:c r="T57" s="286" t="n">
        <x:f>S57/25*100-IF(J57="",0,J57)*4</x:f>
        <x:v>60</x:v>
      </x:c>
      <x:c r="U57" s="287" t="n">
        <x:f>IF(R57="",0,IF(J57&gt;='Setup'!$B$14,4,1+(K57&lt;'Setup'!$B$12)+(K57&lt;'Setup'!$B$13)))</x:f>
        <x:v>0</x:v>
      </x:c>
    </x:row>
    <x:row r="58">
      <x:c r="A58" s="310" t="n">
        <x:f>'Setup'!$B$3+(B58-1)*7+(C58-1)</x:f>
        <x:v>46303</x:v>
      </x:c>
      <x:c r="B58" s="311" t="n">
        <x:v>9</x:v>
      </x:c>
      <x:c r="C58" s="311" t="n">
        <x:v>4</x:v>
      </x:c>
      <x:c r="D58" s="311" t="str">
        <x:v>Posterior Strength</x:v>
      </x:c>
      <x:c r="E58" s="312"/>
      <x:c r="F58" s="312"/>
      <x:c r="G58" s="312"/>
      <x:c r="H58" s="312"/>
      <x:c r="I58" s="312"/>
      <x:c r="J58" s="312"/>
      <x:c r="K58" s="313" t="str">
        <x:f>IF(R58="","",ROUND(T58,0))</x:f>
      </x:c>
      <x:c r="L58" s="314" t="n">
        <x:f>INDEX('Setup'!$I$4:$I$8,U58+1)</x:f>
        <x:v>1</x:v>
      </x:c>
      <x:c r="M58" s="315" t="str">
        <x:f>INDEX('Setup'!$J$4:$J$8,U58+1)</x:f>
        <x:v>Enter readiness</x:v>
      </x:c>
      <x:c r="N58" s="312"/>
      <x:c r="O58" s="312"/>
      <x:c r="P58" s="312"/>
      <x:c r="Q58" s="312"/>
      <x:c r="R58" s="315" t="str">
        <x:f>IF(COUNT(E58:J58)&gt;0,"Yes","")</x:f>
      </x:c>
      <x:c r="S58" s="286" t="n">
        <x:f>IF(E58="",3,E58)+IF(F58="",3,F58)+(6-IF(G58="",3,G58))+(6-IF(H58="",3,H58))+IF(I58="",3,I58)</x:f>
        <x:v>15</x:v>
      </x:c>
      <x:c r="T58" s="286" t="n">
        <x:f>S58/25*100-IF(J58="",0,J58)*4</x:f>
        <x:v>60</x:v>
      </x:c>
      <x:c r="U58" s="287" t="n">
        <x:f>IF(R58="",0,IF(J58&gt;='Setup'!$B$14,4,1+(K58&lt;'Setup'!$B$12)+(K58&lt;'Setup'!$B$13)))</x:f>
        <x:v>0</x:v>
      </x:c>
    </x:row>
    <x:row r="59">
      <x:c r="A59" s="310" t="n">
        <x:f>'Setup'!$B$3+(B59-1)*7+(C59-1)</x:f>
        <x:v>46304</x:v>
      </x:c>
      <x:c r="B59" s="311" t="n">
        <x:v>9</x:v>
      </x:c>
      <x:c r="C59" s="311" t="n">
        <x:v>5</x:v>
      </x:c>
      <x:c r="D59" s="311" t="str">
        <x:v>Chest + Biceps</x:v>
      </x:c>
      <x:c r="E59" s="312"/>
      <x:c r="F59" s="312"/>
      <x:c r="G59" s="312"/>
      <x:c r="H59" s="312"/>
      <x:c r="I59" s="312"/>
      <x:c r="J59" s="312"/>
      <x:c r="K59" s="313" t="str">
        <x:f>IF(R59="","",ROUND(T59,0))</x:f>
      </x:c>
      <x:c r="L59" s="314" t="n">
        <x:f>INDEX('Setup'!$I$4:$I$8,U59+1)</x:f>
        <x:v>1</x:v>
      </x:c>
      <x:c r="M59" s="315" t="str">
        <x:f>INDEX('Setup'!$J$4:$J$8,U59+1)</x:f>
        <x:v>Enter readiness</x:v>
      </x:c>
      <x:c r="N59" s="312"/>
      <x:c r="O59" s="312"/>
      <x:c r="P59" s="312"/>
      <x:c r="Q59" s="312"/>
      <x:c r="R59" s="315" t="str">
        <x:f>IF(COUNT(E59:J59)&gt;0,"Yes","")</x:f>
      </x:c>
      <x:c r="S59" s="286" t="n">
        <x:f>IF(E59="",3,E59)+IF(F59="",3,F59)+(6-IF(G59="",3,G59))+(6-IF(H59="",3,H59))+IF(I59="",3,I59)</x:f>
        <x:v>15</x:v>
      </x:c>
      <x:c r="T59" s="286" t="n">
        <x:f>S59/25*100-IF(J59="",0,J59)*4</x:f>
        <x:v>60</x:v>
      </x:c>
      <x:c r="U59" s="287" t="n">
        <x:f>IF(R59="",0,IF(J59&gt;='Setup'!$B$14,4,1+(K59&lt;'Setup'!$B$12)+(K59&lt;'Setup'!$B$13)))</x:f>
        <x:v>0</x:v>
      </x:c>
    </x:row>
    <x:row r="60">
      <x:c r="A60" s="310" t="n">
        <x:f>'Setup'!$B$3+(B60-1)*7+(C60-1)</x:f>
        <x:v>46305</x:v>
      </x:c>
      <x:c r="B60" s="311" t="n">
        <x:v>9</x:v>
      </x:c>
      <x:c r="C60" s="311" t="n">
        <x:v>6</x:v>
      </x:c>
      <x:c r="D60" s="311" t="str">
        <x:v>Athletic Full Body</x:v>
      </x:c>
      <x:c r="E60" s="312"/>
      <x:c r="F60" s="312"/>
      <x:c r="G60" s="312"/>
      <x:c r="H60" s="312"/>
      <x:c r="I60" s="312"/>
      <x:c r="J60" s="312"/>
      <x:c r="K60" s="313" t="str">
        <x:f>IF(R60="","",ROUND(T60,0))</x:f>
      </x:c>
      <x:c r="L60" s="314" t="n">
        <x:f>INDEX('Setup'!$I$4:$I$8,U60+1)</x:f>
        <x:v>1</x:v>
      </x:c>
      <x:c r="M60" s="315" t="str">
        <x:f>INDEX('Setup'!$J$4:$J$8,U60+1)</x:f>
        <x:v>Enter readiness</x:v>
      </x:c>
      <x:c r="N60" s="312"/>
      <x:c r="O60" s="312"/>
      <x:c r="P60" s="312"/>
      <x:c r="Q60" s="312"/>
      <x:c r="R60" s="315" t="str">
        <x:f>IF(COUNT(E60:J60)&gt;0,"Yes","")</x:f>
      </x:c>
      <x:c r="S60" s="286" t="n">
        <x:f>IF(E60="",3,E60)+IF(F60="",3,F60)+(6-IF(G60="",3,G60))+(6-IF(H60="",3,H60))+IF(I60="",3,I60)</x:f>
        <x:v>15</x:v>
      </x:c>
      <x:c r="T60" s="286" t="n">
        <x:f>S60/25*100-IF(J60="",0,J60)*4</x:f>
        <x:v>60</x:v>
      </x:c>
      <x:c r="U60" s="287" t="n">
        <x:f>IF(R60="",0,IF(J60&gt;='Setup'!$B$14,4,1+(K60&lt;'Setup'!$B$12)+(K60&lt;'Setup'!$B$13)))</x:f>
        <x:v>0</x:v>
      </x:c>
    </x:row>
    <x:row r="61">
      <x:c r="A61" s="310" t="n">
        <x:f>'Setup'!$B$3+(B61-1)*7+(C61-1)</x:f>
        <x:v>46307</x:v>
      </x:c>
      <x:c r="B61" s="311" t="n">
        <x:v>10</x:v>
      </x:c>
      <x:c r="C61" s="311" t="n">
        <x:v>1</x:v>
      </x:c>
      <x:c r="D61" s="311" t="str">
        <x:v>Lower Power + Squat</x:v>
      </x:c>
      <x:c r="E61" s="312"/>
      <x:c r="F61" s="312"/>
      <x:c r="G61" s="312"/>
      <x:c r="H61" s="312"/>
      <x:c r="I61" s="312"/>
      <x:c r="J61" s="312"/>
      <x:c r="K61" s="313" t="str">
        <x:f>IF(R61="","",ROUND(T61,0))</x:f>
      </x:c>
      <x:c r="L61" s="314" t="n">
        <x:f>INDEX('Setup'!$I$4:$I$8,U61+1)</x:f>
        <x:v>1</x:v>
      </x:c>
      <x:c r="M61" s="315" t="str">
        <x:f>INDEX('Setup'!$J$4:$J$8,U61+1)</x:f>
        <x:v>Enter readiness</x:v>
      </x:c>
      <x:c r="N61" s="312"/>
      <x:c r="O61" s="312"/>
      <x:c r="P61" s="312"/>
      <x:c r="Q61" s="312"/>
      <x:c r="R61" s="315" t="str">
        <x:f>IF(COUNT(E61:J61)&gt;0,"Yes","")</x:f>
      </x:c>
      <x:c r="S61" s="286" t="n">
        <x:f>IF(E61="",3,E61)+IF(F61="",3,F61)+(6-IF(G61="",3,G61))+(6-IF(H61="",3,H61))+IF(I61="",3,I61)</x:f>
        <x:v>15</x:v>
      </x:c>
      <x:c r="T61" s="286" t="n">
        <x:f>S61/25*100-IF(J61="",0,J61)*4</x:f>
        <x:v>60</x:v>
      </x:c>
      <x:c r="U61" s="287" t="n">
        <x:f>IF(R61="",0,IF(J61&gt;='Setup'!$B$14,4,1+(K61&lt;'Setup'!$B$12)+(K61&lt;'Setup'!$B$13)))</x:f>
        <x:v>0</x:v>
      </x:c>
    </x:row>
    <x:row r="62">
      <x:c r="A62" s="310" t="n">
        <x:f>'Setup'!$B$3+(B62-1)*7+(C62-1)</x:f>
        <x:v>46308</x:v>
      </x:c>
      <x:c r="B62" s="311" t="n">
        <x:v>10</x:v>
      </x:c>
      <x:c r="C62" s="311" t="n">
        <x:v>2</x:v>
      </x:c>
      <x:c r="D62" s="311" t="str">
        <x:v>Back + Triceps</x:v>
      </x:c>
      <x:c r="E62" s="312"/>
      <x:c r="F62" s="312"/>
      <x:c r="G62" s="312"/>
      <x:c r="H62" s="312"/>
      <x:c r="I62" s="312"/>
      <x:c r="J62" s="312"/>
      <x:c r="K62" s="313" t="str">
        <x:f>IF(R62="","",ROUND(T62,0))</x:f>
      </x:c>
      <x:c r="L62" s="314" t="n">
        <x:f>INDEX('Setup'!$I$4:$I$8,U62+1)</x:f>
        <x:v>1</x:v>
      </x:c>
      <x:c r="M62" s="315" t="str">
        <x:f>INDEX('Setup'!$J$4:$J$8,U62+1)</x:f>
        <x:v>Enter readiness</x:v>
      </x:c>
      <x:c r="N62" s="312"/>
      <x:c r="O62" s="312"/>
      <x:c r="P62" s="312"/>
      <x:c r="Q62" s="312"/>
      <x:c r="R62" s="315" t="str">
        <x:f>IF(COUNT(E62:J62)&gt;0,"Yes","")</x:f>
      </x:c>
      <x:c r="S62" s="286" t="n">
        <x:f>IF(E62="",3,E62)+IF(F62="",3,F62)+(6-IF(G62="",3,G62))+(6-IF(H62="",3,H62))+IF(I62="",3,I62)</x:f>
        <x:v>15</x:v>
      </x:c>
      <x:c r="T62" s="286" t="n">
        <x:f>S62/25*100-IF(J62="",0,J62)*4</x:f>
        <x:v>60</x:v>
      </x:c>
      <x:c r="U62" s="287" t="n">
        <x:f>IF(R62="",0,IF(J62&gt;='Setup'!$B$14,4,1+(K62&lt;'Setup'!$B$12)+(K62&lt;'Setup'!$B$13)))</x:f>
        <x:v>0</x:v>
      </x:c>
    </x:row>
    <x:row r="63">
      <x:c r="A63" s="310" t="n">
        <x:f>'Setup'!$B$3+(B63-1)*7+(C63-1)</x:f>
        <x:v>46309</x:v>
      </x:c>
      <x:c r="B63" s="311" t="n">
        <x:v>10</x:v>
      </x:c>
      <x:c r="C63" s="311" t="n">
        <x:v>3</x:v>
      </x:c>
      <x:c r="D63" s="311" t="str">
        <x:v>Upper Power + Bench</x:v>
      </x:c>
      <x:c r="E63" s="312"/>
      <x:c r="F63" s="312"/>
      <x:c r="G63" s="312"/>
      <x:c r="H63" s="312"/>
      <x:c r="I63" s="312"/>
      <x:c r="J63" s="312"/>
      <x:c r="K63" s="313" t="str">
        <x:f>IF(R63="","",ROUND(T63,0))</x:f>
      </x:c>
      <x:c r="L63" s="314" t="n">
        <x:f>INDEX('Setup'!$I$4:$I$8,U63+1)</x:f>
        <x:v>1</x:v>
      </x:c>
      <x:c r="M63" s="315" t="str">
        <x:f>INDEX('Setup'!$J$4:$J$8,U63+1)</x:f>
        <x:v>Enter readiness</x:v>
      </x:c>
      <x:c r="N63" s="312"/>
      <x:c r="O63" s="312"/>
      <x:c r="P63" s="312"/>
      <x:c r="Q63" s="312"/>
      <x:c r="R63" s="315" t="str">
        <x:f>IF(COUNT(E63:J63)&gt;0,"Yes","")</x:f>
      </x:c>
      <x:c r="S63" s="286" t="n">
        <x:f>IF(E63="",3,E63)+IF(F63="",3,F63)+(6-IF(G63="",3,G63))+(6-IF(H63="",3,H63))+IF(I63="",3,I63)</x:f>
        <x:v>15</x:v>
      </x:c>
      <x:c r="T63" s="286" t="n">
        <x:f>S63/25*100-IF(J63="",0,J63)*4</x:f>
        <x:v>60</x:v>
      </x:c>
      <x:c r="U63" s="287" t="n">
        <x:f>IF(R63="",0,IF(J63&gt;='Setup'!$B$14,4,1+(K63&lt;'Setup'!$B$12)+(K63&lt;'Setup'!$B$13)))</x:f>
        <x:v>0</x:v>
      </x:c>
    </x:row>
    <x:row r="64">
      <x:c r="A64" s="310" t="n">
        <x:f>'Setup'!$B$3+(B64-1)*7+(C64-1)</x:f>
        <x:v>46310</x:v>
      </x:c>
      <x:c r="B64" s="311" t="n">
        <x:v>10</x:v>
      </x:c>
      <x:c r="C64" s="311" t="n">
        <x:v>4</x:v>
      </x:c>
      <x:c r="D64" s="311" t="str">
        <x:v>Posterior Strength</x:v>
      </x:c>
      <x:c r="E64" s="312"/>
      <x:c r="F64" s="312"/>
      <x:c r="G64" s="312"/>
      <x:c r="H64" s="312"/>
      <x:c r="I64" s="312"/>
      <x:c r="J64" s="312"/>
      <x:c r="K64" s="313" t="str">
        <x:f>IF(R64="","",ROUND(T64,0))</x:f>
      </x:c>
      <x:c r="L64" s="314" t="n">
        <x:f>INDEX('Setup'!$I$4:$I$8,U64+1)</x:f>
        <x:v>1</x:v>
      </x:c>
      <x:c r="M64" s="315" t="str">
        <x:f>INDEX('Setup'!$J$4:$J$8,U64+1)</x:f>
        <x:v>Enter readiness</x:v>
      </x:c>
      <x:c r="N64" s="312"/>
      <x:c r="O64" s="312"/>
      <x:c r="P64" s="312"/>
      <x:c r="Q64" s="312"/>
      <x:c r="R64" s="315" t="str">
        <x:f>IF(COUNT(E64:J64)&gt;0,"Yes","")</x:f>
      </x:c>
      <x:c r="S64" s="286" t="n">
        <x:f>IF(E64="",3,E64)+IF(F64="",3,F64)+(6-IF(G64="",3,G64))+(6-IF(H64="",3,H64))+IF(I64="",3,I64)</x:f>
        <x:v>15</x:v>
      </x:c>
      <x:c r="T64" s="286" t="n">
        <x:f>S64/25*100-IF(J64="",0,J64)*4</x:f>
        <x:v>60</x:v>
      </x:c>
      <x:c r="U64" s="287" t="n">
        <x:f>IF(R64="",0,IF(J64&gt;='Setup'!$B$14,4,1+(K64&lt;'Setup'!$B$12)+(K64&lt;'Setup'!$B$13)))</x:f>
        <x:v>0</x:v>
      </x:c>
    </x:row>
    <x:row r="65">
      <x:c r="A65" s="310" t="n">
        <x:f>'Setup'!$B$3+(B65-1)*7+(C65-1)</x:f>
        <x:v>46311</x:v>
      </x:c>
      <x:c r="B65" s="311" t="n">
        <x:v>10</x:v>
      </x:c>
      <x:c r="C65" s="311" t="n">
        <x:v>5</x:v>
      </x:c>
      <x:c r="D65" s="311" t="str">
        <x:v>Chest + Biceps</x:v>
      </x:c>
      <x:c r="E65" s="312"/>
      <x:c r="F65" s="312"/>
      <x:c r="G65" s="312"/>
      <x:c r="H65" s="312"/>
      <x:c r="I65" s="312"/>
      <x:c r="J65" s="312"/>
      <x:c r="K65" s="313" t="str">
        <x:f>IF(R65="","",ROUND(T65,0))</x:f>
      </x:c>
      <x:c r="L65" s="314" t="n">
        <x:f>INDEX('Setup'!$I$4:$I$8,U65+1)</x:f>
        <x:v>1</x:v>
      </x:c>
      <x:c r="M65" s="315" t="str">
        <x:f>INDEX('Setup'!$J$4:$J$8,U65+1)</x:f>
        <x:v>Enter readiness</x:v>
      </x:c>
      <x:c r="N65" s="312"/>
      <x:c r="O65" s="312"/>
      <x:c r="P65" s="312"/>
      <x:c r="Q65" s="312"/>
      <x:c r="R65" s="315" t="str">
        <x:f>IF(COUNT(E65:J65)&gt;0,"Yes","")</x:f>
      </x:c>
      <x:c r="S65" s="286" t="n">
        <x:f>IF(E65="",3,E65)+IF(F65="",3,F65)+(6-IF(G65="",3,G65))+(6-IF(H65="",3,H65))+IF(I65="",3,I65)</x:f>
        <x:v>15</x:v>
      </x:c>
      <x:c r="T65" s="286" t="n">
        <x:f>S65/25*100-IF(J65="",0,J65)*4</x:f>
        <x:v>60</x:v>
      </x:c>
      <x:c r="U65" s="287" t="n">
        <x:f>IF(R65="",0,IF(J65&gt;='Setup'!$B$14,4,1+(K65&lt;'Setup'!$B$12)+(K65&lt;'Setup'!$B$13)))</x:f>
        <x:v>0</x:v>
      </x:c>
    </x:row>
    <x:row r="66">
      <x:c r="A66" s="310" t="n">
        <x:f>'Setup'!$B$3+(B66-1)*7+(C66-1)</x:f>
        <x:v>46312</x:v>
      </x:c>
      <x:c r="B66" s="311" t="n">
        <x:v>10</x:v>
      </x:c>
      <x:c r="C66" s="311" t="n">
        <x:v>6</x:v>
      </x:c>
      <x:c r="D66" s="311" t="str">
        <x:v>Athletic Full Body</x:v>
      </x:c>
      <x:c r="E66" s="312"/>
      <x:c r="F66" s="312"/>
      <x:c r="G66" s="312"/>
      <x:c r="H66" s="312"/>
      <x:c r="I66" s="312"/>
      <x:c r="J66" s="312"/>
      <x:c r="K66" s="313" t="str">
        <x:f>IF(R66="","",ROUND(T66,0))</x:f>
      </x:c>
      <x:c r="L66" s="314" t="n">
        <x:f>INDEX('Setup'!$I$4:$I$8,U66+1)</x:f>
        <x:v>1</x:v>
      </x:c>
      <x:c r="M66" s="315" t="str">
        <x:f>INDEX('Setup'!$J$4:$J$8,U66+1)</x:f>
        <x:v>Enter readiness</x:v>
      </x:c>
      <x:c r="N66" s="312"/>
      <x:c r="O66" s="312"/>
      <x:c r="P66" s="312"/>
      <x:c r="Q66" s="312"/>
      <x:c r="R66" s="315" t="str">
        <x:f>IF(COUNT(E66:J66)&gt;0,"Yes","")</x:f>
      </x:c>
      <x:c r="S66" s="286" t="n">
        <x:f>IF(E66="",3,E66)+IF(F66="",3,F66)+(6-IF(G66="",3,G66))+(6-IF(H66="",3,H66))+IF(I66="",3,I66)</x:f>
        <x:v>15</x:v>
      </x:c>
      <x:c r="T66" s="286" t="n">
        <x:f>S66/25*100-IF(J66="",0,J66)*4</x:f>
        <x:v>60</x:v>
      </x:c>
      <x:c r="U66" s="287" t="n">
        <x:f>IF(R66="",0,IF(J66&gt;='Setup'!$B$14,4,1+(K66&lt;'Setup'!$B$12)+(K66&lt;'Setup'!$B$13)))</x:f>
        <x:v>0</x:v>
      </x:c>
    </x:row>
    <x:row r="67">
      <x:c r="A67" s="310" t="n">
        <x:f>'Setup'!$B$3+(B67-1)*7+(C67-1)</x:f>
        <x:v>46314</x:v>
      </x:c>
      <x:c r="B67" s="311" t="n">
        <x:v>11</x:v>
      </x:c>
      <x:c r="C67" s="311" t="n">
        <x:v>1</x:v>
      </x:c>
      <x:c r="D67" s="311" t="str">
        <x:v>Lower Power + Squat</x:v>
      </x:c>
      <x:c r="E67" s="312"/>
      <x:c r="F67" s="312"/>
      <x:c r="G67" s="312"/>
      <x:c r="H67" s="312"/>
      <x:c r="I67" s="312"/>
      <x:c r="J67" s="312"/>
      <x:c r="K67" s="313" t="str">
        <x:f>IF(R67="","",ROUND(T67,0))</x:f>
      </x:c>
      <x:c r="L67" s="314" t="n">
        <x:f>INDEX('Setup'!$I$4:$I$8,U67+1)</x:f>
        <x:v>1</x:v>
      </x:c>
      <x:c r="M67" s="315" t="str">
        <x:f>INDEX('Setup'!$J$4:$J$8,U67+1)</x:f>
        <x:v>Enter readiness</x:v>
      </x:c>
      <x:c r="N67" s="312"/>
      <x:c r="O67" s="312"/>
      <x:c r="P67" s="312"/>
      <x:c r="Q67" s="312"/>
      <x:c r="R67" s="315" t="str">
        <x:f>IF(COUNT(E67:J67)&gt;0,"Yes","")</x:f>
      </x:c>
      <x:c r="S67" s="286" t="n">
        <x:f>IF(E67="",3,E67)+IF(F67="",3,F67)+(6-IF(G67="",3,G67))+(6-IF(H67="",3,H67))+IF(I67="",3,I67)</x:f>
        <x:v>15</x:v>
      </x:c>
      <x:c r="T67" s="286" t="n">
        <x:f>S67/25*100-IF(J67="",0,J67)*4</x:f>
        <x:v>60</x:v>
      </x:c>
      <x:c r="U67" s="287" t="n">
        <x:f>IF(R67="",0,IF(J67&gt;='Setup'!$B$14,4,1+(K67&lt;'Setup'!$B$12)+(K67&lt;'Setup'!$B$13)))</x:f>
        <x:v>0</x:v>
      </x:c>
    </x:row>
    <x:row r="68">
      <x:c r="A68" s="310" t="n">
        <x:f>'Setup'!$B$3+(B68-1)*7+(C68-1)</x:f>
        <x:v>46315</x:v>
      </x:c>
      <x:c r="B68" s="311" t="n">
        <x:v>11</x:v>
      </x:c>
      <x:c r="C68" s="311" t="n">
        <x:v>2</x:v>
      </x:c>
      <x:c r="D68" s="311" t="str">
        <x:v>Back + Triceps</x:v>
      </x:c>
      <x:c r="E68" s="312"/>
      <x:c r="F68" s="312"/>
      <x:c r="G68" s="312"/>
      <x:c r="H68" s="312"/>
      <x:c r="I68" s="312"/>
      <x:c r="J68" s="312"/>
      <x:c r="K68" s="313" t="str">
        <x:f>IF(R68="","",ROUND(T68,0))</x:f>
      </x:c>
      <x:c r="L68" s="314" t="n">
        <x:f>INDEX('Setup'!$I$4:$I$8,U68+1)</x:f>
        <x:v>1</x:v>
      </x:c>
      <x:c r="M68" s="315" t="str">
        <x:f>INDEX('Setup'!$J$4:$J$8,U68+1)</x:f>
        <x:v>Enter readiness</x:v>
      </x:c>
      <x:c r="N68" s="312"/>
      <x:c r="O68" s="312"/>
      <x:c r="P68" s="312"/>
      <x:c r="Q68" s="312"/>
      <x:c r="R68" s="315" t="str">
        <x:f>IF(COUNT(E68:J68)&gt;0,"Yes","")</x:f>
      </x:c>
      <x:c r="S68" s="286" t="n">
        <x:f>IF(E68="",3,E68)+IF(F68="",3,F68)+(6-IF(G68="",3,G68))+(6-IF(H68="",3,H68))+IF(I68="",3,I68)</x:f>
        <x:v>15</x:v>
      </x:c>
      <x:c r="T68" s="286" t="n">
        <x:f>S68/25*100-IF(J68="",0,J68)*4</x:f>
        <x:v>60</x:v>
      </x:c>
      <x:c r="U68" s="287" t="n">
        <x:f>IF(R68="",0,IF(J68&gt;='Setup'!$B$14,4,1+(K68&lt;'Setup'!$B$12)+(K68&lt;'Setup'!$B$13)))</x:f>
        <x:v>0</x:v>
      </x:c>
    </x:row>
    <x:row r="69">
      <x:c r="A69" s="310" t="n">
        <x:f>'Setup'!$B$3+(B69-1)*7+(C69-1)</x:f>
        <x:v>46316</x:v>
      </x:c>
      <x:c r="B69" s="311" t="n">
        <x:v>11</x:v>
      </x:c>
      <x:c r="C69" s="311" t="n">
        <x:v>3</x:v>
      </x:c>
      <x:c r="D69" s="311" t="str">
        <x:v>Upper Power + Bench</x:v>
      </x:c>
      <x:c r="E69" s="312"/>
      <x:c r="F69" s="312"/>
      <x:c r="G69" s="312"/>
      <x:c r="H69" s="312"/>
      <x:c r="I69" s="312"/>
      <x:c r="J69" s="312"/>
      <x:c r="K69" s="313" t="str">
        <x:f>IF(R69="","",ROUND(T69,0))</x:f>
      </x:c>
      <x:c r="L69" s="314" t="n">
        <x:f>INDEX('Setup'!$I$4:$I$8,U69+1)</x:f>
        <x:v>1</x:v>
      </x:c>
      <x:c r="M69" s="315" t="str">
        <x:f>INDEX('Setup'!$J$4:$J$8,U69+1)</x:f>
        <x:v>Enter readiness</x:v>
      </x:c>
      <x:c r="N69" s="312"/>
      <x:c r="O69" s="312"/>
      <x:c r="P69" s="312"/>
      <x:c r="Q69" s="312"/>
      <x:c r="R69" s="315" t="str">
        <x:f>IF(COUNT(E69:J69)&gt;0,"Yes","")</x:f>
      </x:c>
      <x:c r="S69" s="286" t="n">
        <x:f>IF(E69="",3,E69)+IF(F69="",3,F69)+(6-IF(G69="",3,G69))+(6-IF(H69="",3,H69))+IF(I69="",3,I69)</x:f>
        <x:v>15</x:v>
      </x:c>
      <x:c r="T69" s="286" t="n">
        <x:f>S69/25*100-IF(J69="",0,J69)*4</x:f>
        <x:v>60</x:v>
      </x:c>
      <x:c r="U69" s="287" t="n">
        <x:f>IF(R69="",0,IF(J69&gt;='Setup'!$B$14,4,1+(K69&lt;'Setup'!$B$12)+(K69&lt;'Setup'!$B$13)))</x:f>
        <x:v>0</x:v>
      </x:c>
    </x:row>
    <x:row r="70">
      <x:c r="A70" s="310" t="n">
        <x:f>'Setup'!$B$3+(B70-1)*7+(C70-1)</x:f>
        <x:v>46317</x:v>
      </x:c>
      <x:c r="B70" s="311" t="n">
        <x:v>11</x:v>
      </x:c>
      <x:c r="C70" s="311" t="n">
        <x:v>4</x:v>
      </x:c>
      <x:c r="D70" s="311" t="str">
        <x:v>Posterior Strength</x:v>
      </x:c>
      <x:c r="E70" s="312"/>
      <x:c r="F70" s="312"/>
      <x:c r="G70" s="312"/>
      <x:c r="H70" s="312"/>
      <x:c r="I70" s="312"/>
      <x:c r="J70" s="312"/>
      <x:c r="K70" s="313" t="str">
        <x:f>IF(R70="","",ROUND(T70,0))</x:f>
      </x:c>
      <x:c r="L70" s="314" t="n">
        <x:f>INDEX('Setup'!$I$4:$I$8,U70+1)</x:f>
        <x:v>1</x:v>
      </x:c>
      <x:c r="M70" s="315" t="str">
        <x:f>INDEX('Setup'!$J$4:$J$8,U70+1)</x:f>
        <x:v>Enter readiness</x:v>
      </x:c>
      <x:c r="N70" s="312"/>
      <x:c r="O70" s="312"/>
      <x:c r="P70" s="312"/>
      <x:c r="Q70" s="312"/>
      <x:c r="R70" s="315" t="str">
        <x:f>IF(COUNT(E70:J70)&gt;0,"Yes","")</x:f>
      </x:c>
      <x:c r="S70" s="286" t="n">
        <x:f>IF(E70="",3,E70)+IF(F70="",3,F70)+(6-IF(G70="",3,G70))+(6-IF(H70="",3,H70))+IF(I70="",3,I70)</x:f>
        <x:v>15</x:v>
      </x:c>
      <x:c r="T70" s="286" t="n">
        <x:f>S70/25*100-IF(J70="",0,J70)*4</x:f>
        <x:v>60</x:v>
      </x:c>
      <x:c r="U70" s="287" t="n">
        <x:f>IF(R70="",0,IF(J70&gt;='Setup'!$B$14,4,1+(K70&lt;'Setup'!$B$12)+(K70&lt;'Setup'!$B$13)))</x:f>
        <x:v>0</x:v>
      </x:c>
    </x:row>
    <x:row r="71">
      <x:c r="A71" s="310" t="n">
        <x:f>'Setup'!$B$3+(B71-1)*7+(C71-1)</x:f>
        <x:v>46318</x:v>
      </x:c>
      <x:c r="B71" s="311" t="n">
        <x:v>11</x:v>
      </x:c>
      <x:c r="C71" s="311" t="n">
        <x:v>5</x:v>
      </x:c>
      <x:c r="D71" s="311" t="str">
        <x:v>Chest + Biceps</x:v>
      </x:c>
      <x:c r="E71" s="312"/>
      <x:c r="F71" s="312"/>
      <x:c r="G71" s="312"/>
      <x:c r="H71" s="312"/>
      <x:c r="I71" s="312"/>
      <x:c r="J71" s="312"/>
      <x:c r="K71" s="313" t="str">
        <x:f>IF(R71="","",ROUND(T71,0))</x:f>
      </x:c>
      <x:c r="L71" s="314" t="n">
        <x:f>INDEX('Setup'!$I$4:$I$8,U71+1)</x:f>
        <x:v>1</x:v>
      </x:c>
      <x:c r="M71" s="315" t="str">
        <x:f>INDEX('Setup'!$J$4:$J$8,U71+1)</x:f>
        <x:v>Enter readiness</x:v>
      </x:c>
      <x:c r="N71" s="312"/>
      <x:c r="O71" s="312"/>
      <x:c r="P71" s="312"/>
      <x:c r="Q71" s="312"/>
      <x:c r="R71" s="315" t="str">
        <x:f>IF(COUNT(E71:J71)&gt;0,"Yes","")</x:f>
      </x:c>
      <x:c r="S71" s="286" t="n">
        <x:f>IF(E71="",3,E71)+IF(F71="",3,F71)+(6-IF(G71="",3,G71))+(6-IF(H71="",3,H71))+IF(I71="",3,I71)</x:f>
        <x:v>15</x:v>
      </x:c>
      <x:c r="T71" s="286" t="n">
        <x:f>S71/25*100-IF(J71="",0,J71)*4</x:f>
        <x:v>60</x:v>
      </x:c>
      <x:c r="U71" s="287" t="n">
        <x:f>IF(R71="",0,IF(J71&gt;='Setup'!$B$14,4,1+(K71&lt;'Setup'!$B$12)+(K71&lt;'Setup'!$B$13)))</x:f>
        <x:v>0</x:v>
      </x:c>
    </x:row>
    <x:row r="72">
      <x:c r="A72" s="310" t="n">
        <x:f>'Setup'!$B$3+(B72-1)*7+(C72-1)</x:f>
        <x:v>46319</x:v>
      </x:c>
      <x:c r="B72" s="311" t="n">
        <x:v>11</x:v>
      </x:c>
      <x:c r="C72" s="311" t="n">
        <x:v>6</x:v>
      </x:c>
      <x:c r="D72" s="311" t="str">
        <x:v>Athletic Full Body</x:v>
      </x:c>
      <x:c r="E72" s="312"/>
      <x:c r="F72" s="312"/>
      <x:c r="G72" s="312"/>
      <x:c r="H72" s="312"/>
      <x:c r="I72" s="312"/>
      <x:c r="J72" s="312"/>
      <x:c r="K72" s="313" t="str">
        <x:f>IF(R72="","",ROUND(T72,0))</x:f>
      </x:c>
      <x:c r="L72" s="314" t="n">
        <x:f>INDEX('Setup'!$I$4:$I$8,U72+1)</x:f>
        <x:v>1</x:v>
      </x:c>
      <x:c r="M72" s="315" t="str">
        <x:f>INDEX('Setup'!$J$4:$J$8,U72+1)</x:f>
        <x:v>Enter readiness</x:v>
      </x:c>
      <x:c r="N72" s="312"/>
      <x:c r="O72" s="312"/>
      <x:c r="P72" s="312"/>
      <x:c r="Q72" s="312"/>
      <x:c r="R72" s="315" t="str">
        <x:f>IF(COUNT(E72:J72)&gt;0,"Yes","")</x:f>
      </x:c>
      <x:c r="S72" s="286" t="n">
        <x:f>IF(E72="",3,E72)+IF(F72="",3,F72)+(6-IF(G72="",3,G72))+(6-IF(H72="",3,H72))+IF(I72="",3,I72)</x:f>
        <x:v>15</x:v>
      </x:c>
      <x:c r="T72" s="286" t="n">
        <x:f>S72/25*100-IF(J72="",0,J72)*4</x:f>
        <x:v>60</x:v>
      </x:c>
      <x:c r="U72" s="287" t="n">
        <x:f>IF(R72="",0,IF(J72&gt;='Setup'!$B$14,4,1+(K72&lt;'Setup'!$B$12)+(K72&lt;'Setup'!$B$13)))</x:f>
        <x:v>0</x:v>
      </x:c>
    </x:row>
    <x:row r="73">
      <x:c r="A73" s="310" t="n">
        <x:f>'Setup'!$B$3+(B73-1)*7+(C73-1)</x:f>
        <x:v>46321</x:v>
      </x:c>
      <x:c r="B73" s="311" t="n">
        <x:v>12</x:v>
      </x:c>
      <x:c r="C73" s="311" t="n">
        <x:v>1</x:v>
      </x:c>
      <x:c r="D73" s="311" t="str">
        <x:v>Lower Power + Squat</x:v>
      </x:c>
      <x:c r="E73" s="312"/>
      <x:c r="F73" s="312"/>
      <x:c r="G73" s="312"/>
      <x:c r="H73" s="312"/>
      <x:c r="I73" s="312"/>
      <x:c r="J73" s="312"/>
      <x:c r="K73" s="313" t="str">
        <x:f>IF(R73="","",ROUND(T73,0))</x:f>
      </x:c>
      <x:c r="L73" s="314" t="n">
        <x:f>INDEX('Setup'!$I$4:$I$8,U73+1)</x:f>
        <x:v>1</x:v>
      </x:c>
      <x:c r="M73" s="315" t="str">
        <x:f>INDEX('Setup'!$J$4:$J$8,U73+1)</x:f>
        <x:v>Enter readiness</x:v>
      </x:c>
      <x:c r="N73" s="312"/>
      <x:c r="O73" s="312"/>
      <x:c r="P73" s="312"/>
      <x:c r="Q73" s="312"/>
      <x:c r="R73" s="315" t="str">
        <x:f>IF(COUNT(E73:J73)&gt;0,"Yes","")</x:f>
      </x:c>
      <x:c r="S73" s="286" t="n">
        <x:f>IF(E73="",3,E73)+IF(F73="",3,F73)+(6-IF(G73="",3,G73))+(6-IF(H73="",3,H73))+IF(I73="",3,I73)</x:f>
        <x:v>15</x:v>
      </x:c>
      <x:c r="T73" s="286" t="n">
        <x:f>S73/25*100-IF(J73="",0,J73)*4</x:f>
        <x:v>60</x:v>
      </x:c>
      <x:c r="U73" s="287" t="n">
        <x:f>IF(R73="",0,IF(J73&gt;='Setup'!$B$14,4,1+(K73&lt;'Setup'!$B$12)+(K73&lt;'Setup'!$B$13)))</x:f>
        <x:v>0</x:v>
      </x:c>
    </x:row>
    <x:row r="74">
      <x:c r="A74" s="310" t="n">
        <x:f>'Setup'!$B$3+(B74-1)*7+(C74-1)</x:f>
        <x:v>46322</x:v>
      </x:c>
      <x:c r="B74" s="311" t="n">
        <x:v>12</x:v>
      </x:c>
      <x:c r="C74" s="311" t="n">
        <x:v>2</x:v>
      </x:c>
      <x:c r="D74" s="311" t="str">
        <x:v>Back + Triceps</x:v>
      </x:c>
      <x:c r="E74" s="312"/>
      <x:c r="F74" s="312"/>
      <x:c r="G74" s="312"/>
      <x:c r="H74" s="312"/>
      <x:c r="I74" s="312"/>
      <x:c r="J74" s="312"/>
      <x:c r="K74" s="313" t="str">
        <x:f>IF(R74="","",ROUND(T74,0))</x:f>
      </x:c>
      <x:c r="L74" s="314" t="n">
        <x:f>INDEX('Setup'!$I$4:$I$8,U74+1)</x:f>
        <x:v>1</x:v>
      </x:c>
      <x:c r="M74" s="315" t="str">
        <x:f>INDEX('Setup'!$J$4:$J$8,U74+1)</x:f>
        <x:v>Enter readiness</x:v>
      </x:c>
      <x:c r="N74" s="312"/>
      <x:c r="O74" s="312"/>
      <x:c r="P74" s="312"/>
      <x:c r="Q74" s="312"/>
      <x:c r="R74" s="315" t="str">
        <x:f>IF(COUNT(E74:J74)&gt;0,"Yes","")</x:f>
      </x:c>
      <x:c r="S74" s="286" t="n">
        <x:f>IF(E74="",3,E74)+IF(F74="",3,F74)+(6-IF(G74="",3,G74))+(6-IF(H74="",3,H74))+IF(I74="",3,I74)</x:f>
        <x:v>15</x:v>
      </x:c>
      <x:c r="T74" s="286" t="n">
        <x:f>S74/25*100-IF(J74="",0,J74)*4</x:f>
        <x:v>60</x:v>
      </x:c>
      <x:c r="U74" s="287" t="n">
        <x:f>IF(R74="",0,IF(J74&gt;='Setup'!$B$14,4,1+(K74&lt;'Setup'!$B$12)+(K74&lt;'Setup'!$B$13)))</x:f>
        <x:v>0</x:v>
      </x:c>
    </x:row>
    <x:row r="75">
      <x:c r="A75" s="310" t="n">
        <x:f>'Setup'!$B$3+(B75-1)*7+(C75-1)</x:f>
        <x:v>46323</x:v>
      </x:c>
      <x:c r="B75" s="311" t="n">
        <x:v>12</x:v>
      </x:c>
      <x:c r="C75" s="311" t="n">
        <x:v>3</x:v>
      </x:c>
      <x:c r="D75" s="311" t="str">
        <x:v>Upper Power + Bench</x:v>
      </x:c>
      <x:c r="E75" s="312"/>
      <x:c r="F75" s="312"/>
      <x:c r="G75" s="312"/>
      <x:c r="H75" s="312"/>
      <x:c r="I75" s="312"/>
      <x:c r="J75" s="312"/>
      <x:c r="K75" s="313" t="str">
        <x:f>IF(R75="","",ROUND(T75,0))</x:f>
      </x:c>
      <x:c r="L75" s="314" t="n">
        <x:f>INDEX('Setup'!$I$4:$I$8,U75+1)</x:f>
        <x:v>1</x:v>
      </x:c>
      <x:c r="M75" s="315" t="str">
        <x:f>INDEX('Setup'!$J$4:$J$8,U75+1)</x:f>
        <x:v>Enter readiness</x:v>
      </x:c>
      <x:c r="N75" s="312"/>
      <x:c r="O75" s="312"/>
      <x:c r="P75" s="312"/>
      <x:c r="Q75" s="312"/>
      <x:c r="R75" s="315" t="str">
        <x:f>IF(COUNT(E75:J75)&gt;0,"Yes","")</x:f>
      </x:c>
      <x:c r="S75" s="286" t="n">
        <x:f>IF(E75="",3,E75)+IF(F75="",3,F75)+(6-IF(G75="",3,G75))+(6-IF(H75="",3,H75))+IF(I75="",3,I75)</x:f>
        <x:v>15</x:v>
      </x:c>
      <x:c r="T75" s="286" t="n">
        <x:f>S75/25*100-IF(J75="",0,J75)*4</x:f>
        <x:v>60</x:v>
      </x:c>
      <x:c r="U75" s="287" t="n">
        <x:f>IF(R75="",0,IF(J75&gt;='Setup'!$B$14,4,1+(K75&lt;'Setup'!$B$12)+(K75&lt;'Setup'!$B$13)))</x:f>
        <x:v>0</x:v>
      </x:c>
    </x:row>
    <x:row r="76">
      <x:c r="A76" s="310" t="n">
        <x:f>'Setup'!$B$3+(B76-1)*7+(C76-1)</x:f>
        <x:v>46324</x:v>
      </x:c>
      <x:c r="B76" s="311" t="n">
        <x:v>12</x:v>
      </x:c>
      <x:c r="C76" s="311" t="n">
        <x:v>4</x:v>
      </x:c>
      <x:c r="D76" s="311" t="str">
        <x:v>Posterior Strength</x:v>
      </x:c>
      <x:c r="E76" s="312"/>
      <x:c r="F76" s="312"/>
      <x:c r="G76" s="312"/>
      <x:c r="H76" s="312"/>
      <x:c r="I76" s="312"/>
      <x:c r="J76" s="312"/>
      <x:c r="K76" s="313" t="str">
        <x:f>IF(R76="","",ROUND(T76,0))</x:f>
      </x:c>
      <x:c r="L76" s="314" t="n">
        <x:f>INDEX('Setup'!$I$4:$I$8,U76+1)</x:f>
        <x:v>1</x:v>
      </x:c>
      <x:c r="M76" s="315" t="str">
        <x:f>INDEX('Setup'!$J$4:$J$8,U76+1)</x:f>
        <x:v>Enter readiness</x:v>
      </x:c>
      <x:c r="N76" s="312"/>
      <x:c r="O76" s="312"/>
      <x:c r="P76" s="312"/>
      <x:c r="Q76" s="312"/>
      <x:c r="R76" s="315" t="str">
        <x:f>IF(COUNT(E76:J76)&gt;0,"Yes","")</x:f>
      </x:c>
      <x:c r="S76" s="286" t="n">
        <x:f>IF(E76="",3,E76)+IF(F76="",3,F76)+(6-IF(G76="",3,G76))+(6-IF(H76="",3,H76))+IF(I76="",3,I76)</x:f>
        <x:v>15</x:v>
      </x:c>
      <x:c r="T76" s="286" t="n">
        <x:f>S76/25*100-IF(J76="",0,J76)*4</x:f>
        <x:v>60</x:v>
      </x:c>
      <x:c r="U76" s="287" t="n">
        <x:f>IF(R76="",0,IF(J76&gt;='Setup'!$B$14,4,1+(K76&lt;'Setup'!$B$12)+(K76&lt;'Setup'!$B$13)))</x:f>
        <x:v>0</x:v>
      </x:c>
    </x:row>
    <x:row r="77">
      <x:c r="A77" s="310" t="n">
        <x:f>'Setup'!$B$3+(B77-1)*7+(C77-1)</x:f>
        <x:v>46325</x:v>
      </x:c>
      <x:c r="B77" s="311" t="n">
        <x:v>12</x:v>
      </x:c>
      <x:c r="C77" s="311" t="n">
        <x:v>5</x:v>
      </x:c>
      <x:c r="D77" s="311" t="str">
        <x:v>Chest + Biceps</x:v>
      </x:c>
      <x:c r="E77" s="312"/>
      <x:c r="F77" s="312"/>
      <x:c r="G77" s="312"/>
      <x:c r="H77" s="312"/>
      <x:c r="I77" s="312"/>
      <x:c r="J77" s="312"/>
      <x:c r="K77" s="313" t="str">
        <x:f>IF(R77="","",ROUND(T77,0))</x:f>
      </x:c>
      <x:c r="L77" s="314" t="n">
        <x:f>INDEX('Setup'!$I$4:$I$8,U77+1)</x:f>
        <x:v>1</x:v>
      </x:c>
      <x:c r="M77" s="315" t="str">
        <x:f>INDEX('Setup'!$J$4:$J$8,U77+1)</x:f>
        <x:v>Enter readiness</x:v>
      </x:c>
      <x:c r="N77" s="312"/>
      <x:c r="O77" s="312"/>
      <x:c r="P77" s="312"/>
      <x:c r="Q77" s="312"/>
      <x:c r="R77" s="315" t="str">
        <x:f>IF(COUNT(E77:J77)&gt;0,"Yes","")</x:f>
      </x:c>
      <x:c r="S77" s="286" t="n">
        <x:f>IF(E77="",3,E77)+IF(F77="",3,F77)+(6-IF(G77="",3,G77))+(6-IF(H77="",3,H77))+IF(I77="",3,I77)</x:f>
        <x:v>15</x:v>
      </x:c>
      <x:c r="T77" s="286" t="n">
        <x:f>S77/25*100-IF(J77="",0,J77)*4</x:f>
        <x:v>60</x:v>
      </x:c>
      <x:c r="U77" s="287" t="n">
        <x:f>IF(R77="",0,IF(J77&gt;='Setup'!$B$14,4,1+(K77&lt;'Setup'!$B$12)+(K77&lt;'Setup'!$B$13)))</x:f>
        <x:v>0</x:v>
      </x:c>
    </x:row>
    <x:row r="78">
      <x:c r="A78" s="316" t="n">
        <x:f>'Setup'!$B$3+(B78-1)*7+(C78-1)</x:f>
        <x:v>46326</x:v>
      </x:c>
      <x:c r="B78" s="317" t="n">
        <x:v>12</x:v>
      </x:c>
      <x:c r="C78" s="317" t="n">
        <x:v>6</x:v>
      </x:c>
      <x:c r="D78" s="317" t="str">
        <x:v>Athletic Full Body</x:v>
      </x:c>
      <x:c r="E78" s="318"/>
      <x:c r="F78" s="318"/>
      <x:c r="G78" s="318"/>
      <x:c r="H78" s="318"/>
      <x:c r="I78" s="318"/>
      <x:c r="J78" s="318"/>
      <x:c r="K78" s="319" t="str">
        <x:f>IF(R78="","",ROUND(T78,0))</x:f>
      </x:c>
      <x:c r="L78" s="320" t="n">
        <x:f>INDEX('Setup'!$I$4:$I$8,U78+1)</x:f>
        <x:v>1</x:v>
      </x:c>
      <x:c r="M78" s="321" t="str">
        <x:f>INDEX('Setup'!$J$4:$J$8,U78+1)</x:f>
        <x:v>Enter readiness</x:v>
      </x:c>
      <x:c r="N78" s="318"/>
      <x:c r="O78" s="318"/>
      <x:c r="P78" s="318"/>
      <x:c r="Q78" s="318"/>
      <x:c r="R78" s="321" t="str">
        <x:f>IF(COUNT(E78:J78)&gt;0,"Yes","")</x:f>
      </x:c>
      <x:c r="S78" s="301" t="n">
        <x:f>IF(E78="",3,E78)+IF(F78="",3,F78)+(6-IF(G78="",3,G78))+(6-IF(H78="",3,H78))+IF(I78="",3,I78)</x:f>
        <x:v>15</x:v>
      </x:c>
      <x:c r="T78" s="301" t="n">
        <x:f>S78/25*100-IF(J78="",0,J78)*4</x:f>
        <x:v>60</x:v>
      </x:c>
      <x:c r="U78" s="302" t="n">
        <x:f>IF(R78="",0,IF(J78&gt;='Setup'!$B$14,4,1+(K78&lt;'Setup'!$B$12)+(K78&lt;'Setup'!$B$13)))</x:f>
        <x:v>0</x:v>
      </x:c>
    </x:row>
  </x:sheetData>
  <x:mergeCells>
    <x:mergeCell ref="A1:U1"/>
    <x:mergeCell ref="A2:U2"/>
    <x:mergeCell ref="A4:U4"/>
  </x:mergeCells>
  <x:conditionalFormatting sqref="K7:K78">
    <x:cfRule type="colorScale" priority="1">
      <x:colorScale>
        <x:cfvo type="min"/>
        <x:cfvo type="percentile" val="50"/>
        <x:cfvo type="max"/>
        <x:color rgb="FFFEE2E2"/>
        <x:color rgb="FFFEF3C7"/>
        <x:color rgb="FFDCFCE7"/>
      </x:colorScale>
    </x:cfRule>
  </x:conditionalFormatting>
  <x:conditionalFormatting sqref="J7:J78">
    <x:cfRule type="cellIs" dxfId="1" priority="2" operator="greaterThanOrEqual">
      <x:formula>'Setup'!$B$14</x:formula>
    </x:cfRule>
  </x:conditionalFormatting>
  <x:dataValidations count="4">
    <x:dataValidation type="whole" operator="between" sqref="E7:I78">
      <x:formula1>1</x:formula1>
      <x:formula2>5</x:formula2>
    </x:dataValidation>
    <x:dataValidation type="whole" operator="between" sqref="J7:J78">
      <x:formula1>0</x:formula1>
      <x:formula2>10</x:formula2>
    </x:dataValidation>
    <x:dataValidation type="decimal" operator="between" sqref="N7:N78">
      <x:formula1>1</x:formula1>
      <x:formula2>10</x:formula2>
    </x:dataValidation>
    <x:dataValidation type="list" sqref="P7:P78">
      <x:formula1>"Yes,No"</x:formula1>
    </x:dataValidation>
  </x:dataValidations>
  <x:pageMargins left="0.7" right="0.7" top="0.75" bottom="0.75" header="0.3" footer="0.3"/>
  <x:tableParts count="1">
    <x:tablePart xmlns:r="http://schemas.openxmlformats.org/officeDocument/2006/relationships" r:id="Rc5d5512535ca45c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7" hidden="0" customWidth="1"/>
    <x:col min="4" max="4" width="7" hidden="0" customWidth="1"/>
    <x:col min="5" max="5" width="18" hidden="0" customWidth="1"/>
    <x:col min="6" max="6" width="24" hidden="0" customWidth="1"/>
    <x:col min="7" max="7" width="36" hidden="0" customWidth="1"/>
    <x:col min="8" max="8" width="7" hidden="0" customWidth="1"/>
    <x:col min="9" max="9" width="30" hidden="0" customWidth="1"/>
    <x:col min="10" max="10" width="13" hidden="0" customWidth="1"/>
    <x:col min="11" max="11" width="15" hidden="0" customWidth="1"/>
    <x:col min="12" max="12" width="34" hidden="0" customWidth="1"/>
    <x:col min="13" max="13" width="8" hidden="0" customWidth="1"/>
    <x:col min="14" max="14" width="10" hidden="0" customWidth="1"/>
    <x:col min="15" max="15" width="9" hidden="0" customWidth="1"/>
    <x:col min="16" max="16" width="9" hidden="0" customWidth="1"/>
    <x:col min="17" max="17" width="10" hidden="0" customWidth="1"/>
    <x:col min="18" max="18" width="10" hidden="0" customWidth="1"/>
    <x:col min="19" max="19" width="10" hidden="0" customWidth="1"/>
    <x:col min="20" max="20" width="11" hidden="0" customWidth="1"/>
    <x:col min="21" max="21" width="9" hidden="0" customWidth="1"/>
    <x:col min="22" max="22" width="16" hidden="0" customWidth="1"/>
    <x:col min="23" max="23" width="12" hidden="0" customWidth="1"/>
    <x:col min="24" max="24" width="11" hidden="0" customWidth="1"/>
    <x:col min="25" max="25" width="10" hidden="0" customWidth="1"/>
    <x:col min="26" max="26" width="16" hidden="0" customWidth="1"/>
    <x:col min="27" max="27" width="11" hidden="0" customWidth="1"/>
    <x:col min="28" max="28" width="11" hidden="0" customWidth="1"/>
    <x:col min="29" max="29" width="11" hidden="0" customWidth="1"/>
    <x:col min="30" max="30" width="11" hidden="0" customWidth="1"/>
    <x:col min="31" max="31" width="11" hidden="0" customWidth="1"/>
    <x:col min="32" max="32" width="11" hidden="0" customWidth="1"/>
    <x:col min="33" max="33" width="11" hidden="0" customWidth="1"/>
    <x:col min="34" max="34" width="11" hidden="0" customWidth="1"/>
    <x:col min="35" max="35" width="11" hidden="0" customWidth="1"/>
    <x:col min="36" max="36" width="11" hidden="0" customWidth="1"/>
    <x:col min="37" max="37" width="10" hidden="0" customWidth="1"/>
    <x:col min="38" max="38" width="8" hidden="0" customWidth="1"/>
    <x:col min="39" max="39" width="15" hidden="0" customWidth="1"/>
    <x:col min="40" max="40" width="11" hidden="0" customWidth="1"/>
    <x:col min="41" max="41" width="12" hidden="0" customWidth="1"/>
    <x:col min="42" max="42" width="11" hidden="0" customWidth="1"/>
    <x:col min="43" max="43" width="13" hidden="0" customWidth="1"/>
    <x:col min="44" max="44" width="12" hidden="0" customWidth="1"/>
    <x:col min="45" max="45" width="18" hidden="0" customWidth="1"/>
    <x:col min="46" max="46" width="12" hidden="0" customWidth="1"/>
    <x:col min="47" max="47" width="12" hidden="0" customWidth="1"/>
    <x:col min="48" max="48" width="34" hidden="0" customWidth="1"/>
  </x:cols>
  <x:sheetData>
    <x:row r="1" ht="34" customHeight="1">
      <x:c r="A1" s="78" t="str">
        <x:v>Training Plan + Live Autoregulated Log</x:v>
      </x:c>
      <x:c r="B1" s="78" t="str">
        <x:v>Training Plan + Live Autoregulated Log</x:v>
      </x:c>
      <x:c r="C1" s="78" t="str">
        <x:v>Training Plan + Live Autoregulated Log</x:v>
      </x:c>
      <x:c r="D1" s="78" t="str">
        <x:v>Training Plan + Live Autoregulated Log</x:v>
      </x:c>
      <x:c r="E1" s="78" t="str">
        <x:v>Training Plan + Live Autoregulated Log</x:v>
      </x:c>
      <x:c r="F1" s="78" t="str">
        <x:v>Training Plan + Live Autoregulated Log</x:v>
      </x:c>
      <x:c r="G1" s="78" t="str">
        <x:v>Training Plan + Live Autoregulated Log</x:v>
      </x:c>
      <x:c r="H1" s="78" t="str">
        <x:v>Training Plan + Live Autoregulated Log</x:v>
      </x:c>
      <x:c r="I1" s="78" t="str">
        <x:v>Training Plan + Live Autoregulated Log</x:v>
      </x:c>
      <x:c r="J1" s="78" t="str">
        <x:v>Training Plan + Live Autoregulated Log</x:v>
      </x:c>
      <x:c r="K1" s="78" t="str">
        <x:v>Training Plan + Live Autoregulated Log</x:v>
      </x:c>
      <x:c r="L1" s="78" t="str">
        <x:v>Training Plan + Live Autoregulated Log</x:v>
      </x:c>
      <x:c r="M1" s="78" t="str">
        <x:v>Training Plan + Live Autoregulated Log</x:v>
      </x:c>
      <x:c r="N1" s="78" t="str">
        <x:v>Training Plan + Live Autoregulated Log</x:v>
      </x:c>
      <x:c r="O1" s="78" t="str">
        <x:v>Training Plan + Live Autoregulated Log</x:v>
      </x:c>
      <x:c r="P1" s="78" t="str">
        <x:v>Training Plan + Live Autoregulated Log</x:v>
      </x:c>
      <x:c r="Q1" s="78" t="str">
        <x:v>Training Plan + Live Autoregulated Log</x:v>
      </x:c>
      <x:c r="R1" s="78" t="str">
        <x:v>Training Plan + Live Autoregulated Log</x:v>
      </x:c>
      <x:c r="S1" s="78" t="str">
        <x:v>Training Plan + Live Autoregulated Log</x:v>
      </x:c>
      <x:c r="T1" s="78" t="str">
        <x:v>Training Plan + Live Autoregulated Log</x:v>
      </x:c>
      <x:c r="U1" s="78" t="str">
        <x:v>Training Plan + Live Autoregulated Log</x:v>
      </x:c>
      <x:c r="V1" s="78" t="str">
        <x:v>Training Plan + Live Autoregulated Log</x:v>
      </x:c>
      <x:c r="W1" s="78" t="str">
        <x:v>Training Plan + Live Autoregulated Log</x:v>
      </x:c>
      <x:c r="X1" s="78" t="str">
        <x:v>Training Plan + Live Autoregulated Log</x:v>
      </x:c>
      <x:c r="Y1" s="78" t="str">
        <x:v>Training Plan + Live Autoregulated Log</x:v>
      </x:c>
      <x:c r="Z1" s="78" t="str">
        <x:v>Training Plan + Live Autoregulated Log</x:v>
      </x:c>
      <x:c r="AA1" s="78" t="str">
        <x:v>Training Plan + Live Autoregulated Log</x:v>
      </x:c>
      <x:c r="AB1" s="78" t="str">
        <x:v>Training Plan + Live Autoregulated Log</x:v>
      </x:c>
      <x:c r="AC1" s="78" t="str">
        <x:v>Training Plan + Live Autoregulated Log</x:v>
      </x:c>
      <x:c r="AD1" s="78" t="str">
        <x:v>Training Plan + Live Autoregulated Log</x:v>
      </x:c>
      <x:c r="AE1" s="78" t="str">
        <x:v>Training Plan + Live Autoregulated Log</x:v>
      </x:c>
      <x:c r="AF1" s="78" t="str">
        <x:v>Training Plan + Live Autoregulated Log</x:v>
      </x:c>
      <x:c r="AG1" s="78" t="str">
        <x:v>Training Plan + Live Autoregulated Log</x:v>
      </x:c>
      <x:c r="AH1" s="78" t="str">
        <x:v>Training Plan + Live Autoregulated Log</x:v>
      </x:c>
      <x:c r="AI1" s="78" t="str">
        <x:v>Training Plan + Live Autoregulated Log</x:v>
      </x:c>
      <x:c r="AJ1" s="78" t="str">
        <x:v>Training Plan + Live Autoregulated Log</x:v>
      </x:c>
      <x:c r="AK1" s="78" t="str">
        <x:v>Training Plan + Live Autoregulated Log</x:v>
      </x:c>
      <x:c r="AL1" s="78" t="str">
        <x:v>Training Plan + Live Autoregulated Log</x:v>
      </x:c>
      <x:c r="AM1" s="78" t="str">
        <x:v>Training Plan + Live Autoregulated Log</x:v>
      </x:c>
      <x:c r="AN1" s="78" t="str">
        <x:v>Training Plan + Live Autoregulated Log</x:v>
      </x:c>
      <x:c r="AO1" s="78" t="str">
        <x:v>Training Plan + Live Autoregulated Log</x:v>
      </x:c>
      <x:c r="AP1" s="78" t="str">
        <x:v>Training Plan + Live Autoregulated Log</x:v>
      </x:c>
      <x:c r="AQ1" s="78" t="str">
        <x:v>Training Plan + Live Autoregulated Log</x:v>
      </x:c>
      <x:c r="AR1" s="78" t="str">
        <x:v>Training Plan + Live Autoregulated Log</x:v>
      </x:c>
      <x:c r="AS1" s="78" t="str">
        <x:v>Training Plan + Live Autoregulated Log</x:v>
      </x:c>
      <x:c r="AT1" s="78" t="str">
        <x:v>Training Plan + Live Autoregulated Log</x:v>
      </x:c>
      <x:c r="AU1" s="78" t="str">
        <x:v>Training Plan + Live Autoregulated Log</x:v>
      </x:c>
      <x:c r="AV1" s="78" t="str">
        <x:v>Training Plan + Live Autoregulated Log</x:v>
      </x:c>
    </x:row>
    <x:row r="2" ht="28" customHeight="1">
      <x:c r="A2" s="79" t="str">
        <x:v>Filter Week and Day. Blue cells are entries, gray cells calculate. Log all work sets, final RIR, pain, and Completed = Yes.</x:v>
      </x:c>
      <x:c r="B2" s="79" t="str">
        <x:v>Filter Week and Day. Blue cells are entries, gray cells calculate. Log all work sets, final RIR, pain, and Completed = Yes.</x:v>
      </x:c>
      <x:c r="C2" s="79" t="str">
        <x:v>Filter Week and Day. Blue cells are entries, gray cells calculate. Log all work sets, final RIR, pain, and Completed = Yes.</x:v>
      </x:c>
      <x:c r="D2" s="79" t="str">
        <x:v>Filter Week and Day. Blue cells are entries, gray cells calculate. Log all work sets, final RIR, pain, and Completed = Yes.</x:v>
      </x:c>
      <x:c r="E2" s="79" t="str">
        <x:v>Filter Week and Day. Blue cells are entries, gray cells calculate. Log all work sets, final RIR, pain, and Completed = Yes.</x:v>
      </x:c>
      <x:c r="F2" s="79" t="str">
        <x:v>Filter Week and Day. Blue cells are entries, gray cells calculate. Log all work sets, final RIR, pain, and Completed = Yes.</x:v>
      </x:c>
      <x:c r="G2" s="79" t="str">
        <x:v>Filter Week and Day. Blue cells are entries, gray cells calculate. Log all work sets, final RIR, pain, and Completed = Yes.</x:v>
      </x:c>
      <x:c r="H2" s="79" t="str">
        <x:v>Filter Week and Day. Blue cells are entries, gray cells calculate. Log all work sets, final RIR, pain, and Completed = Yes.</x:v>
      </x:c>
      <x:c r="I2" s="79" t="str">
        <x:v>Filter Week and Day. Blue cells are entries, gray cells calculate. Log all work sets, final RIR, pain, and Completed = Yes.</x:v>
      </x:c>
      <x:c r="J2" s="79" t="str">
        <x:v>Filter Week and Day. Blue cells are entries, gray cells calculate. Log all work sets, final RIR, pain, and Completed = Yes.</x:v>
      </x:c>
      <x:c r="K2" s="79" t="str">
        <x:v>Filter Week and Day. Blue cells are entries, gray cells calculate. Log all work sets, final RIR, pain, and Completed = Yes.</x:v>
      </x:c>
      <x:c r="L2" s="79" t="str">
        <x:v>Filter Week and Day. Blue cells are entries, gray cells calculate. Log all work sets, final RIR, pain, and Completed = Yes.</x:v>
      </x:c>
      <x:c r="M2" s="79" t="str">
        <x:v>Filter Week and Day. Blue cells are entries, gray cells calculate. Log all work sets, final RIR, pain, and Completed = Yes.</x:v>
      </x:c>
      <x:c r="N2" s="79" t="str">
        <x:v>Filter Week and Day. Blue cells are entries, gray cells calculate. Log all work sets, final RIR, pain, and Completed = Yes.</x:v>
      </x:c>
      <x:c r="O2" s="79" t="str">
        <x:v>Filter Week and Day. Blue cells are entries, gray cells calculate. Log all work sets, final RIR, pain, and Completed = Yes.</x:v>
      </x:c>
      <x:c r="P2" s="79" t="str">
        <x:v>Filter Week and Day. Blue cells are entries, gray cells calculate. Log all work sets, final RIR, pain, and Completed = Yes.</x:v>
      </x:c>
      <x:c r="Q2" s="79" t="str">
        <x:v>Filter Week and Day. Blue cells are entries, gray cells calculate. Log all work sets, final RIR, pain, and Completed = Yes.</x:v>
      </x:c>
      <x:c r="R2" s="79" t="str">
        <x:v>Filter Week and Day. Blue cells are entries, gray cells calculate. Log all work sets, final RIR, pain, and Completed = Yes.</x:v>
      </x:c>
      <x:c r="S2" s="79" t="str">
        <x:v>Filter Week and Day. Blue cells are entries, gray cells calculate. Log all work sets, final RIR, pain, and Completed = Yes.</x:v>
      </x:c>
      <x:c r="T2" s="79" t="str">
        <x:v>Filter Week and Day. Blue cells are entries, gray cells calculate. Log all work sets, final RIR, pain, and Completed = Yes.</x:v>
      </x:c>
      <x:c r="U2" s="79" t="str">
        <x:v>Filter Week and Day. Blue cells are entries, gray cells calculate. Log all work sets, final RIR, pain, and Completed = Yes.</x:v>
      </x:c>
      <x:c r="V2" s="79" t="str">
        <x:v>Filter Week and Day. Blue cells are entries, gray cells calculate. Log all work sets, final RIR, pain, and Completed = Yes.</x:v>
      </x:c>
      <x:c r="W2" s="79" t="str">
        <x:v>Filter Week and Day. Blue cells are entries, gray cells calculate. Log all work sets, final RIR, pain, and Completed = Yes.</x:v>
      </x:c>
      <x:c r="X2" s="79" t="str">
        <x:v>Filter Week and Day. Blue cells are entries, gray cells calculate. Log all work sets, final RIR, pain, and Completed = Yes.</x:v>
      </x:c>
      <x:c r="Y2" s="79" t="str">
        <x:v>Filter Week and Day. Blue cells are entries, gray cells calculate. Log all work sets, final RIR, pain, and Completed = Yes.</x:v>
      </x:c>
      <x:c r="Z2" s="79" t="str">
        <x:v>Filter Week and Day. Blue cells are entries, gray cells calculate. Log all work sets, final RIR, pain, and Completed = Yes.</x:v>
      </x:c>
      <x:c r="AA2" s="79" t="str">
        <x:v>Filter Week and Day. Blue cells are entries, gray cells calculate. Log all work sets, final RIR, pain, and Completed = Yes.</x:v>
      </x:c>
      <x:c r="AB2" s="79" t="str">
        <x:v>Filter Week and Day. Blue cells are entries, gray cells calculate. Log all work sets, final RIR, pain, and Completed = Yes.</x:v>
      </x:c>
      <x:c r="AC2" s="79" t="str">
        <x:v>Filter Week and Day. Blue cells are entries, gray cells calculate. Log all work sets, final RIR, pain, and Completed = Yes.</x:v>
      </x:c>
      <x:c r="AD2" s="79" t="str">
        <x:v>Filter Week and Day. Blue cells are entries, gray cells calculate. Log all work sets, final RIR, pain, and Completed = Yes.</x:v>
      </x:c>
      <x:c r="AE2" s="79" t="str">
        <x:v>Filter Week and Day. Blue cells are entries, gray cells calculate. Log all work sets, final RIR, pain, and Completed = Yes.</x:v>
      </x:c>
      <x:c r="AF2" s="79" t="str">
        <x:v>Filter Week and Day. Blue cells are entries, gray cells calculate. Log all work sets, final RIR, pain, and Completed = Yes.</x:v>
      </x:c>
      <x:c r="AG2" s="79" t="str">
        <x:v>Filter Week and Day. Blue cells are entries, gray cells calculate. Log all work sets, final RIR, pain, and Completed = Yes.</x:v>
      </x:c>
      <x:c r="AH2" s="79" t="str">
        <x:v>Filter Week and Day. Blue cells are entries, gray cells calculate. Log all work sets, final RIR, pain, and Completed = Yes.</x:v>
      </x:c>
      <x:c r="AI2" s="79" t="str">
        <x:v>Filter Week and Day. Blue cells are entries, gray cells calculate. Log all work sets, final RIR, pain, and Completed = Yes.</x:v>
      </x:c>
      <x:c r="AJ2" s="79" t="str">
        <x:v>Filter Week and Day. Blue cells are entries, gray cells calculate. Log all work sets, final RIR, pain, and Completed = Yes.</x:v>
      </x:c>
      <x:c r="AK2" s="79" t="str">
        <x:v>Filter Week and Day. Blue cells are entries, gray cells calculate. Log all work sets, final RIR, pain, and Completed = Yes.</x:v>
      </x:c>
      <x:c r="AL2" s="79" t="str">
        <x:v>Filter Week and Day. Blue cells are entries, gray cells calculate. Log all work sets, final RIR, pain, and Completed = Yes.</x:v>
      </x:c>
      <x:c r="AM2" s="79" t="str">
        <x:v>Filter Week and Day. Blue cells are entries, gray cells calculate. Log all work sets, final RIR, pain, and Completed = Yes.</x:v>
      </x:c>
      <x:c r="AN2" s="79" t="str">
        <x:v>Filter Week and Day. Blue cells are entries, gray cells calculate. Log all work sets, final RIR, pain, and Completed = Yes.</x:v>
      </x:c>
      <x:c r="AO2" s="79" t="str">
        <x:v>Filter Week and Day. Blue cells are entries, gray cells calculate. Log all work sets, final RIR, pain, and Completed = Yes.</x:v>
      </x:c>
      <x:c r="AP2" s="79" t="str">
        <x:v>Filter Week and Day. Blue cells are entries, gray cells calculate. Log all work sets, final RIR, pain, and Completed = Yes.</x:v>
      </x:c>
      <x:c r="AQ2" s="79" t="str">
        <x:v>Filter Week and Day. Blue cells are entries, gray cells calculate. Log all work sets, final RIR, pain, and Completed = Yes.</x:v>
      </x:c>
      <x:c r="AR2" s="79" t="str">
        <x:v>Filter Week and Day. Blue cells are entries, gray cells calculate. Log all work sets, final RIR, pain, and Completed = Yes.</x:v>
      </x:c>
      <x:c r="AS2" s="79" t="str">
        <x:v>Filter Week and Day. Blue cells are entries, gray cells calculate. Log all work sets, final RIR, pain, and Completed = Yes.</x:v>
      </x:c>
      <x:c r="AT2" s="79" t="str">
        <x:v>Filter Week and Day. Blue cells are entries, gray cells calculate. Log all work sets, final RIR, pain, and Completed = Yes.</x:v>
      </x:c>
      <x:c r="AU2" s="79" t="str">
        <x:v>Filter Week and Day. Blue cells are entries, gray cells calculate. Log all work sets, final RIR, pain, and Completed = Yes.</x:v>
      </x:c>
      <x:c r="AV2" s="79" t="str">
        <x:v>Filter Week and Day. Blue cells are entries, gray cells calculate. Log all work sets, final RIR, pain, and Completed = Yes.</x:v>
      </x:c>
    </x:row>
    <x:row r="3">
      <x:c r="A3" s="80"/>
      <x:c r="B3" s="80"/>
      <x:c r="C3" s="80"/>
      <x:c r="D3" s="80"/>
      <x:c r="E3" s="80"/>
      <x:c r="F3" s="80"/>
      <x:c r="G3" s="80"/>
      <x:c r="H3" s="80"/>
      <x:c r="I3" s="80"/>
      <x:c r="J3" s="80"/>
      <x:c r="K3" s="80"/>
      <x:c r="L3" s="80"/>
      <x:c r="M3" s="80"/>
      <x:c r="N3" s="80"/>
      <x:c r="O3" s="80"/>
      <x:c r="P3" s="80"/>
      <x:c r="Q3" s="80"/>
      <x:c r="R3" s="80"/>
      <x:c r="S3" s="80"/>
      <x:c r="T3" s="80"/>
      <x:c r="U3" s="80"/>
      <x:c r="V3" s="80"/>
      <x:c r="W3" s="80"/>
      <x:c r="X3" s="80"/>
      <x:c r="Y3" s="80"/>
      <x:c r="Z3" s="80"/>
      <x:c r="AA3" s="80"/>
      <x:c r="AB3" s="80"/>
      <x:c r="AC3" s="80"/>
      <x:c r="AD3" s="80"/>
      <x:c r="AE3" s="80"/>
      <x:c r="AF3" s="80"/>
      <x:c r="AG3" s="80"/>
      <x:c r="AH3" s="80"/>
      <x:c r="AI3" s="80"/>
      <x:c r="AJ3" s="80"/>
      <x:c r="AK3" s="80"/>
      <x:c r="AL3" s="80"/>
      <x:c r="AM3" s="80"/>
      <x:c r="AN3" s="80"/>
      <x:c r="AO3" s="80"/>
      <x:c r="AP3" s="80"/>
      <x:c r="AQ3" s="80"/>
      <x:c r="AR3" s="80"/>
      <x:c r="AS3" s="80"/>
      <x:c r="AT3" s="80"/>
      <x:c r="AU3" s="80"/>
      <x:c r="AV3" s="80"/>
    </x:row>
    <x:row r="4">
      <x:c r="A4" s="303" t="str">
        <x:v>Recommended Load carries forward from the prior occurrence of the same exercise. It progresses only when the top of the rep range is achieved with at least one extra RIR, holds when on target, and regresses after a miss or excessive effort.</x:v>
      </x:c>
      <x:c r="B4" s="303" t="str">
        <x:v>Recommended Load carries forward from the prior occurrence of the same exercise. It progresses only when the top of the rep range is achieved with at least one extra RIR, holds when on target, and regresses after a miss or excessive effort.</x:v>
      </x:c>
      <x:c r="C4" s="303" t="str">
        <x:v>Recommended Load carries forward from the prior occurrence of the same exercise. It progresses only when the top of the rep range is achieved with at least one extra RIR, holds when on target, and regresses after a miss or excessive effort.</x:v>
      </x:c>
      <x:c r="D4" s="303" t="str">
        <x:v>Recommended Load carries forward from the prior occurrence of the same exercise. It progresses only when the top of the rep range is achieved with at least one extra RIR, holds when on target, and regresses after a miss or excessive effort.</x:v>
      </x:c>
      <x:c r="E4" s="303" t="str">
        <x:v>Recommended Load carries forward from the prior occurrence of the same exercise. It progresses only when the top of the rep range is achieved with at least one extra RIR, holds when on target, and regresses after a miss or excessive effort.</x:v>
      </x:c>
      <x:c r="F4" s="303" t="str">
        <x:v>Recommended Load carries forward from the prior occurrence of the same exercise. It progresses only when the top of the rep range is achieved with at least one extra RIR, holds when on target, and regresses after a miss or excessive effort.</x:v>
      </x:c>
      <x:c r="G4" s="303" t="str">
        <x:v>Recommended Load carries forward from the prior occurrence of the same exercise. It progresses only when the top of the rep range is achieved with at least one extra RIR, holds when on target, and regresses after a miss or excessive effort.</x:v>
      </x:c>
      <x:c r="H4" s="303" t="str">
        <x:v>Recommended Load carries forward from the prior occurrence of the same exercise. It progresses only when the top of the rep range is achieved with at least one extra RIR, holds when on target, and regresses after a miss or excessive effort.</x:v>
      </x:c>
      <x:c r="I4" s="303" t="str">
        <x:v>Recommended Load carries forward from the prior occurrence of the same exercise. It progresses only when the top of the rep range is achieved with at least one extra RIR, holds when on target, and regresses after a miss or excessive effort.</x:v>
      </x:c>
      <x:c r="J4" s="303" t="str">
        <x:v>Recommended Load carries forward from the prior occurrence of the same exercise. It progresses only when the top of the rep range is achieved with at least one extra RIR, holds when on target, and regresses after a miss or excessive effort.</x:v>
      </x:c>
      <x:c r="K4" s="303" t="str">
        <x:v>Recommended Load carries forward from the prior occurrence of the same exercise. It progresses only when the top of the rep range is achieved with at least one extra RIR, holds when on target, and regresses after a miss or excessive effort.</x:v>
      </x:c>
      <x:c r="L4" s="303" t="str">
        <x:v>Recommended Load carries forward from the prior occurrence of the same exercise. It progresses only when the top of the rep range is achieved with at least one extra RIR, holds when on target, and regresses after a miss or excessive effort.</x:v>
      </x:c>
      <x:c r="M4" s="303" t="str">
        <x:v>Recommended Load carries forward from the prior occurrence of the same exercise. It progresses only when the top of the rep range is achieved with at least one extra RIR, holds when on target, and regresses after a miss or excessive effort.</x:v>
      </x:c>
      <x:c r="N4" s="303" t="str">
        <x:v>Recommended Load carries forward from the prior occurrence of the same exercise. It progresses only when the top of the rep range is achieved with at least one extra RIR, holds when on target, and regresses after a miss or excessive effort.</x:v>
      </x:c>
      <x:c r="O4" s="303" t="str">
        <x:v>Recommended Load carries forward from the prior occurrence of the same exercise. It progresses only when the top of the rep range is achieved with at least one extra RIR, holds when on target, and regresses after a miss or excessive effort.</x:v>
      </x:c>
      <x:c r="P4" s="303" t="str">
        <x:v>Recommended Load carries forward from the prior occurrence of the same exercise. It progresses only when the top of the rep range is achieved with at least one extra RIR, holds when on target, and regresses after a miss or excessive effort.</x:v>
      </x:c>
      <x:c r="Q4" s="303" t="str">
        <x:v>Recommended Load carries forward from the prior occurrence of the same exercise. It progresses only when the top of the rep range is achieved with at least one extra RIR, holds when on target, and regresses after a miss or excessive effort.</x:v>
      </x:c>
      <x:c r="R4" s="303" t="str">
        <x:v>Recommended Load carries forward from the prior occurrence of the same exercise. It progresses only when the top of the rep range is achieved with at least one extra RIR, holds when on target, and regresses after a miss or excessive effort.</x:v>
      </x:c>
      <x:c r="S4" s="303" t="str">
        <x:v>Recommended Load carries forward from the prior occurrence of the same exercise. It progresses only when the top of the rep range is achieved with at least one extra RIR, holds when on target, and regresses after a miss or excessive effort.</x:v>
      </x:c>
      <x:c r="T4" s="303" t="str">
        <x:v>Recommended Load carries forward from the prior occurrence of the same exercise. It progresses only when the top of the rep range is achieved with at least one extra RIR, holds when on target, and regresses after a miss or excessive effort.</x:v>
      </x:c>
      <x:c r="U4" s="303" t="str">
        <x:v>Recommended Load carries forward from the prior occurrence of the same exercise. It progresses only when the top of the rep range is achieved with at least one extra RIR, holds when on target, and regresses after a miss or excessive effort.</x:v>
      </x:c>
      <x:c r="V4" s="303" t="str">
        <x:v>Recommended Load carries forward from the prior occurrence of the same exercise. It progresses only when the top of the rep range is achieved with at least one extra RIR, holds when on target, and regresses after a miss or excessive effort.</x:v>
      </x:c>
      <x:c r="W4" s="303" t="str">
        <x:v>Recommended Load carries forward from the prior occurrence of the same exercise. It progresses only when the top of the rep range is achieved with at least one extra RIR, holds when on target, and regresses after a miss or excessive effort.</x:v>
      </x:c>
      <x:c r="X4" s="303" t="str">
        <x:v>Recommended Load carries forward from the prior occurrence of the same exercise. It progresses only when the top of the rep range is achieved with at least one extra RIR, holds when on target, and regresses after a miss or excessive effort.</x:v>
      </x:c>
      <x:c r="Y4" s="303" t="str">
        <x:v>Recommended Load carries forward from the prior occurrence of the same exercise. It progresses only when the top of the rep range is achieved with at least one extra RIR, holds when on target, and regresses after a miss or excessive effort.</x:v>
      </x:c>
      <x:c r="Z4" s="303" t="str">
        <x:v>Recommended Load carries forward from the prior occurrence of the same exercise. It progresses only when the top of the rep range is achieved with at least one extra RIR, holds when on target, and regresses after a miss or excessive effort.</x:v>
      </x:c>
      <x:c r="AA4" s="303" t="str">
        <x:v>Recommended Load carries forward from the prior occurrence of the same exercise. It progresses only when the top of the rep range is achieved with at least one extra RIR, holds when on target, and regresses after a miss or excessive effort.</x:v>
      </x:c>
      <x:c r="AB4" s="303" t="str">
        <x:v>Recommended Load carries forward from the prior occurrence of the same exercise. It progresses only when the top of the rep range is achieved with at least one extra RIR, holds when on target, and regresses after a miss or excessive effort.</x:v>
      </x:c>
      <x:c r="AC4" s="303" t="str">
        <x:v>Recommended Load carries forward from the prior occurrence of the same exercise. It progresses only when the top of the rep range is achieved with at least one extra RIR, holds when on target, and regresses after a miss or excessive effort.</x:v>
      </x:c>
      <x:c r="AD4" s="303" t="str">
        <x:v>Recommended Load carries forward from the prior occurrence of the same exercise. It progresses only when the top of the rep range is achieved with at least one extra RIR, holds when on target, and regresses after a miss or excessive effort.</x:v>
      </x:c>
      <x:c r="AE4" s="303" t="str">
        <x:v>Recommended Load carries forward from the prior occurrence of the same exercise. It progresses only when the top of the rep range is achieved with at least one extra RIR, holds when on target, and regresses after a miss or excessive effort.</x:v>
      </x:c>
      <x:c r="AF4" s="303" t="str">
        <x:v>Recommended Load carries forward from the prior occurrence of the same exercise. It progresses only when the top of the rep range is achieved with at least one extra RIR, holds when on target, and regresses after a miss or excessive effort.</x:v>
      </x:c>
      <x:c r="AG4" s="303" t="str">
        <x:v>Recommended Load carries forward from the prior occurrence of the same exercise. It progresses only when the top of the rep range is achieved with at least one extra RIR, holds when on target, and regresses after a miss or excessive effort.</x:v>
      </x:c>
      <x:c r="AH4" s="303" t="str">
        <x:v>Recommended Load carries forward from the prior occurrence of the same exercise. It progresses only when the top of the rep range is achieved with at least one extra RIR, holds when on target, and regresses after a miss or excessive effort.</x:v>
      </x:c>
      <x:c r="AI4" s="303" t="str">
        <x:v>Recommended Load carries forward from the prior occurrence of the same exercise. It progresses only when the top of the rep range is achieved with at least one extra RIR, holds when on target, and regresses after a miss or excessive effort.</x:v>
      </x:c>
      <x:c r="AJ4" s="303" t="str">
        <x:v>Recommended Load carries forward from the prior occurrence of the same exercise. It progresses only when the top of the rep range is achieved with at least one extra RIR, holds when on target, and regresses after a miss or excessive effort.</x:v>
      </x:c>
      <x:c r="AK4" s="303" t="str">
        <x:v>Recommended Load carries forward from the prior occurrence of the same exercise. It progresses only when the top of the rep range is achieved with at least one extra RIR, holds when on target, and regresses after a miss or excessive effort.</x:v>
      </x:c>
      <x:c r="AL4" s="303" t="str">
        <x:v>Recommended Load carries forward from the prior occurrence of the same exercise. It progresses only when the top of the rep range is achieved with at least one extra RIR, holds when on target, and regresses after a miss or excessive effort.</x:v>
      </x:c>
      <x:c r="AM4" s="303" t="str">
        <x:v>Recommended Load carries forward from the prior occurrence of the same exercise. It progresses only when the top of the rep range is achieved with at least one extra RIR, holds when on target, and regresses after a miss or excessive effort.</x:v>
      </x:c>
      <x:c r="AN4" s="303" t="str">
        <x:v>Recommended Load carries forward from the prior occurrence of the same exercise. It progresses only when the top of the rep range is achieved with at least one extra RIR, holds when on target, and regresses after a miss or excessive effort.</x:v>
      </x:c>
      <x:c r="AO4" s="303" t="str">
        <x:v>Recommended Load carries forward from the prior occurrence of the same exercise. It progresses only when the top of the rep range is achieved with at least one extra RIR, holds when on target, and regresses after a miss or excessive effort.</x:v>
      </x:c>
      <x:c r="AP4" s="303" t="str">
        <x:v>Recommended Load carries forward from the prior occurrence of the same exercise. It progresses only when the top of the rep range is achieved with at least one extra RIR, holds when on target, and regresses after a miss or excessive effort.</x:v>
      </x:c>
      <x:c r="AQ4" s="303" t="str">
        <x:v>Recommended Load carries forward from the prior occurrence of the same exercise. It progresses only when the top of the rep range is achieved with at least one extra RIR, holds when on target, and regresses after a miss or excessive effort.</x:v>
      </x:c>
      <x:c r="AR4" s="303" t="str">
        <x:v>Recommended Load carries forward from the prior occurrence of the same exercise. It progresses only when the top of the rep range is achieved with at least one extra RIR, holds when on target, and regresses after a miss or excessive effort.</x:v>
      </x:c>
      <x:c r="AS4" s="303" t="str">
        <x:v>Recommended Load carries forward from the prior occurrence of the same exercise. It progresses only when the top of the rep range is achieved with at least one extra RIR, holds when on target, and regresses after a miss or excessive effort.</x:v>
      </x:c>
      <x:c r="AT4" s="303" t="str">
        <x:v>Recommended Load carries forward from the prior occurrence of the same exercise. It progresses only when the top of the rep range is achieved with at least one extra RIR, holds when on target, and regresses after a miss or excessive effort.</x:v>
      </x:c>
      <x:c r="AU4" s="303" t="str">
        <x:v>Recommended Load carries forward from the prior occurrence of the same exercise. It progresses only when the top of the rep range is achieved with at least one extra RIR, holds when on target, and regresses after a miss or excessive effort.</x:v>
      </x:c>
      <x:c r="AV4" s="303" t="str">
        <x:v>Recommended Load carries forward from the prior occurrence of the same exercise. It progresses only when the top of the rep range is achieved with at least one extra RIR, holds when on target, and regresses after a miss or excessive effort.</x:v>
      </x:c>
    </x:row>
    <x:row r="5">
      <x:c r="A5" s="80"/>
      <x:c r="B5" s="80"/>
      <x:c r="C5" s="80"/>
      <x:c r="D5" s="80"/>
      <x:c r="E5" s="80"/>
      <x:c r="F5" s="80"/>
      <x:c r="G5" s="80"/>
      <x:c r="H5" s="80"/>
      <x:c r="I5" s="80"/>
      <x:c r="J5" s="80"/>
      <x:c r="K5" s="80"/>
      <x:c r="L5" s="80"/>
      <x:c r="M5" s="80"/>
      <x:c r="N5" s="80"/>
      <x:c r="O5" s="80"/>
      <x:c r="P5" s="80"/>
      <x:c r="Q5" s="80"/>
      <x:c r="R5" s="80"/>
      <x:c r="S5" s="80"/>
      <x:c r="T5" s="80"/>
      <x:c r="U5" s="80"/>
      <x:c r="V5" s="80"/>
      <x:c r="W5" s="80"/>
      <x:c r="X5" s="80"/>
      <x:c r="Y5" s="80"/>
      <x:c r="Z5" s="80"/>
      <x:c r="AA5" s="80"/>
      <x:c r="AB5" s="80"/>
      <x:c r="AC5" s="80"/>
      <x:c r="AD5" s="80"/>
      <x:c r="AE5" s="80"/>
      <x:c r="AF5" s="80"/>
      <x:c r="AG5" s="80"/>
      <x:c r="AH5" s="80"/>
      <x:c r="AI5" s="80"/>
      <x:c r="AJ5" s="80"/>
      <x:c r="AK5" s="80"/>
      <x:c r="AL5" s="80"/>
      <x:c r="AM5" s="80"/>
      <x:c r="AN5" s="80"/>
      <x:c r="AO5" s="80"/>
      <x:c r="AP5" s="80"/>
      <x:c r="AQ5" s="80"/>
      <x:c r="AR5" s="80"/>
      <x:c r="AS5" s="80"/>
      <x:c r="AT5" s="80"/>
      <x:c r="AU5" s="80"/>
      <x:c r="AV5" s="80"/>
    </x:row>
    <x:row r="6">
      <x:c r="A6" s="322" t="str">
        <x:v>PROGRAM</x:v>
      </x:c>
      <x:c r="B6" s="322" t="str">
        <x:v>PROGRAM</x:v>
      </x:c>
      <x:c r="C6" s="322" t="str">
        <x:v>PROGRAM</x:v>
      </x:c>
      <x:c r="D6" s="322" t="str">
        <x:v>PROGRAM</x:v>
      </x:c>
      <x:c r="E6" s="322" t="str">
        <x:v>PROGRAM</x:v>
      </x:c>
      <x:c r="F6" s="322" t="str">
        <x:v>PROGRAM</x:v>
      </x:c>
      <x:c r="G6" s="322" t="str">
        <x:v>PROGRAM</x:v>
      </x:c>
      <x:c r="H6" s="322" t="str">
        <x:v>PROGRAM</x:v>
      </x:c>
      <x:c r="I6" s="322" t="str">
        <x:v>PROGRAM</x:v>
      </x:c>
      <x:c r="J6" s="322" t="str">
        <x:v>PRESCRIPTION + READINESS</x:v>
      </x:c>
      <x:c r="K6" s="322" t="str">
        <x:v>PRESCRIPTION + READINESS</x:v>
      </x:c>
      <x:c r="L6" s="322" t="str">
        <x:v>PRESCRIPTION + READINESS</x:v>
      </x:c>
      <x:c r="M6" s="322" t="str">
        <x:v>PRESCRIPTION + READINESS</x:v>
      </x:c>
      <x:c r="N6" s="322" t="str">
        <x:v>PRESCRIPTION + READINESS</x:v>
      </x:c>
      <x:c r="O6" s="322" t="str">
        <x:v>PRESCRIPTION + READINESS</x:v>
      </x:c>
      <x:c r="P6" s="322" t="str">
        <x:v>PRESCRIPTION + READINESS</x:v>
      </x:c>
      <x:c r="Q6" s="322" t="str">
        <x:v>PRESCRIPTION + READINESS</x:v>
      </x:c>
      <x:c r="R6" s="322" t="str">
        <x:v>PRESCRIPTION + READINESS</x:v>
      </x:c>
      <x:c r="S6" s="322" t="str">
        <x:v>PRESCRIPTION + READINESS</x:v>
      </x:c>
      <x:c r="T6" s="322" t="str">
        <x:v>PRESCRIPTION + READINESS</x:v>
      </x:c>
      <x:c r="U6" s="322" t="str">
        <x:v>PRESCRIPTION + READINESS</x:v>
      </x:c>
      <x:c r="V6" s="322" t="str">
        <x:v>PRESCRIPTION + READINESS</x:v>
      </x:c>
      <x:c r="W6" s="322" t="str">
        <x:v>PRESCRIPTION + READINESS</x:v>
      </x:c>
      <x:c r="X6" s="322" t="str">
        <x:v>PRESCRIPTION + READINESS</x:v>
      </x:c>
      <x:c r="Y6" s="322" t="str">
        <x:v>PRESCRIPTION + READINESS</x:v>
      </x:c>
      <x:c r="Z6" s="322" t="str">
        <x:v>PRESCRIPTION + READINESS</x:v>
      </x:c>
      <x:c r="AA6" s="322" t="str">
        <x:v>USER ENTRY</x:v>
      </x:c>
      <x:c r="AB6" s="322" t="str">
        <x:v>USER ENTRY</x:v>
      </x:c>
      <x:c r="AC6" s="322" t="str">
        <x:v>USER ENTRY</x:v>
      </x:c>
      <x:c r="AD6" s="322" t="str">
        <x:v>USER ENTRY</x:v>
      </x:c>
      <x:c r="AE6" s="322" t="str">
        <x:v>USER ENTRY</x:v>
      </x:c>
      <x:c r="AF6" s="322" t="str">
        <x:v>USER ENTRY</x:v>
      </x:c>
      <x:c r="AG6" s="322" t="str">
        <x:v>USER ENTRY</x:v>
      </x:c>
      <x:c r="AH6" s="322" t="str">
        <x:v>USER ENTRY</x:v>
      </x:c>
      <x:c r="AI6" s="322" t="str">
        <x:v>USER ENTRY</x:v>
      </x:c>
      <x:c r="AJ6" s="322" t="str">
        <x:v>USER ENTRY</x:v>
      </x:c>
      <x:c r="AK6" s="322" t="str">
        <x:v>USER ENTRY</x:v>
      </x:c>
      <x:c r="AL6" s="322" t="str">
        <x:v>USER ENTRY</x:v>
      </x:c>
      <x:c r="AM6" s="322" t="str">
        <x:v>USER ENTRY</x:v>
      </x:c>
      <x:c r="AN6" s="322" t="str">
        <x:v>USER ENTRY</x:v>
      </x:c>
      <x:c r="AO6" s="322" t="str">
        <x:v>AUTOMATIC OUTPUT</x:v>
      </x:c>
      <x:c r="AP6" s="322" t="str">
        <x:v>AUTOMATIC OUTPUT</x:v>
      </x:c>
      <x:c r="AQ6" s="322" t="str">
        <x:v>AUTOMATIC OUTPUT</x:v>
      </x:c>
      <x:c r="AR6" s="322" t="str">
        <x:v>AUTOMATIC OUTPUT</x:v>
      </x:c>
      <x:c r="AS6" s="322" t="str">
        <x:v>AUTOMATIC OUTPUT</x:v>
      </x:c>
      <x:c r="AT6" s="322" t="str">
        <x:v>AUTOMATIC OUTPUT</x:v>
      </x:c>
      <x:c r="AU6" s="322" t="str">
        <x:v>AUTOMATIC OUTPUT</x:v>
      </x:c>
      <x:c r="AV6" s="322" t="str">
        <x:v>NOTES</x:v>
      </x:c>
    </x:row>
    <x:row r="7">
      <x:c r="A7" s="80"/>
      <x:c r="B7" s="80"/>
      <x:c r="C7" s="80"/>
      <x:c r="D7" s="80"/>
      <x:c r="E7" s="80"/>
      <x:c r="F7" s="80"/>
      <x:c r="G7" s="80"/>
      <x:c r="H7" s="80"/>
      <x:c r="I7" s="80"/>
      <x:c r="J7" s="80"/>
      <x:c r="K7" s="80"/>
      <x:c r="L7" s="80"/>
      <x:c r="M7" s="80"/>
      <x:c r="N7" s="80"/>
      <x:c r="O7" s="80"/>
      <x:c r="P7" s="80"/>
      <x:c r="Q7" s="80"/>
      <x:c r="R7" s="80"/>
      <x:c r="S7" s="80"/>
      <x:c r="T7" s="80"/>
      <x:c r="U7" s="80"/>
      <x:c r="V7" s="80"/>
      <x:c r="W7" s="80"/>
      <x:c r="X7" s="80"/>
      <x:c r="Y7" s="80"/>
      <x:c r="Z7" s="80"/>
      <x:c r="AA7" s="80"/>
      <x:c r="AB7" s="80"/>
      <x:c r="AC7" s="80"/>
      <x:c r="AD7" s="80"/>
      <x:c r="AE7" s="80"/>
      <x:c r="AF7" s="80"/>
      <x:c r="AG7" s="80"/>
      <x:c r="AH7" s="80"/>
      <x:c r="AI7" s="80"/>
      <x:c r="AJ7" s="80"/>
      <x:c r="AK7" s="80"/>
      <x:c r="AL7" s="80"/>
      <x:c r="AM7" s="80"/>
      <x:c r="AN7" s="80"/>
      <x:c r="AO7" s="80"/>
      <x:c r="AP7" s="80"/>
      <x:c r="AQ7" s="80"/>
      <x:c r="AR7" s="80"/>
      <x:c r="AS7" s="80"/>
      <x:c r="AT7" s="80"/>
      <x:c r="AU7" s="80"/>
      <x:c r="AV7" s="80"/>
    </x:row>
    <x:row r="8">
      <x:c r="A8" s="80"/>
      <x:c r="B8" s="80"/>
      <x:c r="C8" s="80"/>
      <x:c r="D8" s="80"/>
      <x:c r="E8" s="80"/>
      <x:c r="F8" s="80"/>
      <x:c r="G8" s="80"/>
      <x:c r="H8" s="80"/>
      <x:c r="I8" s="80"/>
      <x:c r="J8" s="80"/>
      <x:c r="K8" s="80"/>
      <x:c r="L8" s="80"/>
      <x:c r="M8" s="80"/>
      <x:c r="N8" s="80"/>
      <x:c r="O8" s="80"/>
      <x:c r="P8" s="80"/>
      <x:c r="Q8" s="80"/>
      <x:c r="R8" s="80"/>
      <x:c r="S8" s="80"/>
      <x:c r="T8" s="80"/>
      <x:c r="U8" s="80"/>
      <x:c r="V8" s="80"/>
      <x:c r="W8" s="80"/>
      <x:c r="X8" s="80"/>
      <x:c r="Y8" s="80"/>
      <x:c r="Z8" s="80"/>
      <x:c r="AA8" s="80"/>
      <x:c r="AB8" s="80"/>
      <x:c r="AC8" s="80"/>
      <x:c r="AD8" s="80"/>
      <x:c r="AE8" s="80"/>
      <x:c r="AF8" s="80"/>
      <x:c r="AG8" s="80"/>
      <x:c r="AH8" s="80"/>
      <x:c r="AI8" s="80"/>
      <x:c r="AJ8" s="80"/>
      <x:c r="AK8" s="80"/>
      <x:c r="AL8" s="80"/>
      <x:c r="AM8" s="80"/>
      <x:c r="AN8" s="80"/>
      <x:c r="AO8" s="80"/>
      <x:c r="AP8" s="80"/>
      <x:c r="AQ8" s="80"/>
      <x:c r="AR8" s="80"/>
      <x:c r="AS8" s="80"/>
      <x:c r="AT8" s="80"/>
      <x:c r="AU8" s="80"/>
      <x:c r="AV8" s="80"/>
    </x:row>
    <x:row r="9" ht="30" customHeight="1">
      <x:c r="A9" s="95" t="str">
        <x:v>Date</x:v>
      </x:c>
      <x:c r="B9" s="96" t="str">
        <x:v>Lookup Key</x:v>
      </x:c>
      <x:c r="C9" s="96" t="str">
        <x:v>Week</x:v>
      </x:c>
      <x:c r="D9" s="96" t="str">
        <x:v>Day</x:v>
      </x:c>
      <x:c r="E9" s="96" t="str">
        <x:v>Phase</x:v>
      </x:c>
      <x:c r="F9" s="96" t="str">
        <x:v>Session</x:v>
      </x:c>
      <x:c r="G9" s="96" t="str">
        <x:v>Focus</x:v>
      </x:c>
      <x:c r="H9" s="96" t="str">
        <x:v>Slot</x:v>
      </x:c>
      <x:c r="I9" s="96" t="str">
        <x:v>Exercise</x:v>
      </x:c>
      <x:c r="J9" s="96" t="str">
        <x:v>Category</x:v>
      </x:c>
      <x:c r="K9" s="96" t="str">
        <x:v>Primary Muscle</x:v>
      </x:c>
      <x:c r="L9" s="96" t="str">
        <x:v>Method</x:v>
      </x:c>
      <x:c r="M9" s="96" t="str">
        <x:v>Pair</x:v>
      </x:c>
      <x:c r="N9" s="96" t="str">
        <x:v>Planned Sets</x:v>
      </x:c>
      <x:c r="O9" s="96" t="str">
        <x:v>Rep Low</x:v>
      </x:c>
      <x:c r="P9" s="96" t="str">
        <x:v>Rep High</x:v>
      </x:c>
      <x:c r="Q9" s="96" t="str">
        <x:v>Target RIR</x:v>
      </x:c>
      <x:c r="R9" s="96" t="str">
        <x:v>Rest sec</x:v>
      </x:c>
      <x:c r="S9" s="96" t="str">
        <x:v>Tempo</x:v>
      </x:c>
      <x:c r="T9" s="96" t="str">
        <x:v>Load Factor</x:v>
      </x:c>
      <x:c r="U9" s="96" t="str">
        <x:v>%1RM</x:v>
      </x:c>
      <x:c r="V9" s="96" t="str">
        <x:v>Metric</x:v>
      </x:c>
      <x:c r="W9" s="96" t="str">
        <x:v>Readiness %</x:v>
      </x:c>
      <x:c r="X9" s="96" t="str">
        <x:v>Volume Mod</x:v>
      </x:c>
      <x:c r="Y9" s="96" t="str">
        <x:v>Sets Today</x:v>
      </x:c>
      <x:c r="Z9" s="96" t="str">
        <x:v>Recommended Load</x:v>
      </x:c>
      <x:c r="AA9" s="96" t="str">
        <x:v>Set 1 Load</x:v>
      </x:c>
      <x:c r="AB9" s="96" t="str">
        <x:v>Set 1 Reps</x:v>
      </x:c>
      <x:c r="AC9" s="96" t="str">
        <x:v>Set 2 Load</x:v>
      </x:c>
      <x:c r="AD9" s="96" t="str">
        <x:v>Set 2 Reps</x:v>
      </x:c>
      <x:c r="AE9" s="96" t="str">
        <x:v>Set 3 Load</x:v>
      </x:c>
      <x:c r="AF9" s="96" t="str">
        <x:v>Set 3 Reps</x:v>
      </x:c>
      <x:c r="AG9" s="96" t="str">
        <x:v>Set 4 Load</x:v>
      </x:c>
      <x:c r="AH9" s="96" t="str">
        <x:v>Set 4 Reps</x:v>
      </x:c>
      <x:c r="AI9" s="96" t="str">
        <x:v>Set 5 Load</x:v>
      </x:c>
      <x:c r="AJ9" s="96" t="str">
        <x:v>Set 5 Reps</x:v>
      </x:c>
      <x:c r="AK9" s="96" t="str">
        <x:v>Final RIR</x:v>
      </x:c>
      <x:c r="AL9" s="96" t="str">
        <x:v>Pain</x:v>
      </x:c>
      <x:c r="AM9" s="96" t="str">
        <x:v>Metric Result</x:v>
      </x:c>
      <x:c r="AN9" s="96" t="str">
        <x:v>Completed?</x:v>
      </x:c>
      <x:c r="AO9" s="96" t="str">
        <x:v>Performed Sets</x:v>
      </x:c>
      <x:c r="AP9" s="96" t="str">
        <x:v>Total Reps</x:v>
      </x:c>
      <x:c r="AQ9" s="96" t="str">
        <x:v>Tonnage</x:v>
      </x:c>
      <x:c r="AR9" s="96" t="str">
        <x:v>Best e1RM</x:v>
      </x:c>
      <x:c r="AS9" s="96" t="str">
        <x:v>Performance Flag</x:v>
      </x:c>
      <x:c r="AT9" s="96" t="str">
        <x:v>Adjustment %</x:v>
      </x:c>
      <x:c r="AU9" s="96" t="str">
        <x:v>Next Load</x:v>
      </x:c>
      <x:c r="AV9" s="97" t="str">
        <x:v>Notes</x:v>
      </x:c>
    </x:row>
    <x:row r="10">
      <x:c r="A10" s="304" t="n">
        <x:f>'Setup'!$B$3+(C10-1)*7+(D10-1)</x:f>
        <x:v>46244</x:v>
      </x:c>
      <x:c r="B10" s="305" t="str">
        <x:v>1|1|1</x:v>
      </x:c>
      <x:c r="C10" s="305" t="n">
        <x:v>1</x:v>
      </x:c>
      <x:c r="D10" s="305" t="n">
        <x:v>1</x:v>
      </x:c>
      <x:c r="E10" s="305" t="str">
        <x:v>Accumulation</x:v>
      </x:c>
      <x:c r="F10" s="305" t="str">
        <x:v>Pull A</x:v>
      </x:c>
      <x:c r="G10" s="305" t="str">
        <x:v>Vertical pull strength + back density</x:v>
      </x:c>
      <x:c r="H10" s="305" t="n">
        <x:v>1</x:v>
      </x:c>
      <x:c r="I10" s="305" t="str">
        <x:v>Medicine Ball Rotational Throw</x:v>
      </x:c>
      <x:c r="J10" s="305" t="str">
        <x:v>Power</x:v>
      </x:c>
      <x:c r="K10" s="305" t="str">
        <x:v>Core</x:v>
      </x:c>
      <x:c r="L10" s="305" t="str">
        <x:v>Max intent, full reset</x:v>
      </x:c>
      <x:c r="M10" s="305"/>
      <x:c r="N10" s="305" t="n">
        <x:v>3</x:v>
      </x:c>
      <x:c r="O10" s="305" t="n">
        <x:v>4</x:v>
      </x:c>
      <x:c r="P10" s="305" t="n">
        <x:v>4</x:v>
      </x:c>
      <x:c r="Q10" s="305" t="n">
        <x:v>3</x:v>
      </x:c>
      <x:c r="R10" s="305" t="n">
        <x:v>60</x:v>
      </x:c>
      <x:c r="S10" s="305" t="str">
        <x:v>Explosive</x:v>
      </x:c>
      <x:c r="T10" s="323" t="n">
        <x:v>1</x:v>
      </x:c>
      <x:c r="U10" s="323" t="n">
        <x:v>0</x:v>
      </x:c>
      <x:c r="V10" s="324" t="str">
        <x:v>throw quality</x:v>
      </x:c>
      <x:c r="W10" s="325" t="str">
        <x:f>'Readiness'!K7</x:f>
      </x:c>
      <x:c r="X10" s="308" t="n">
        <x:f>'Readiness'!L7</x:f>
        <x:v>1</x:v>
      </x:c>
      <x:c r="Y10" s="309" t="n">
        <x:f>IF(J10="Mobility",N10,MAX(1,ROUND(N10*X10,0)))</x:f>
        <x:v>3</x:v>
      </x:c>
      <x:c r="Z10" s="326" t="n">
        <x:f>0</x:f>
        <x:v>0</x:v>
      </x:c>
      <x:c r="AA10" s="327"/>
      <x:c r="AB10" s="327"/>
      <x:c r="AC10" s="327"/>
      <x:c r="AD10" s="327"/>
      <x:c r="AE10" s="327"/>
      <x:c r="AF10" s="327"/>
      <x:c r="AG10" s="327"/>
      <x:c r="AH10" s="327"/>
      <x:c r="AI10" s="327"/>
      <x:c r="AJ10" s="306"/>
      <x:c r="AK10" s="306"/>
      <x:c r="AL10" s="306"/>
      <x:c r="AM10" s="306"/>
      <x:c r="AN10" s="306"/>
      <x:c r="AO10" s="309" t="n">
        <x:f>COUNT(AB10,AD10,AF10,AH10,AJ10)</x:f>
        <x:v>0</x:v>
      </x:c>
      <x:c r="AP10" s="309" t="n">
        <x:f>SUM(AB10,AD10,AF10,AH10,AJ10)</x:f>
        <x:v>0</x:v>
      </x:c>
      <x:c r="AQ10" s="326" t="n">
        <x:f>AA10*AB10+AC10*AD10+AE10*AF10+AG10*AH10+AI10*AJ10</x:f>
        <x:v>0</x:v>
      </x:c>
      <x:c r="AR10" s="326" t="n">
        <x:f>IF(OR(J10="Strength",J10="Hypertrophy"),MAX(IF(AB10&gt;0,AA10*(1+AB10/30),0),IF(AD10&gt;0,AC10*(1+AD10/30),0),IF(AF10&gt;0,AE10*(1+AF10/30),0),IF(AH10&gt;0,AG10*(1+AH10/30),0),IF(AJ10&gt;0,AI10*(1+AJ10/30),0)),0)</x:f>
        <x:v>0</x:v>
      </x:c>
      <x:c r="AS10" s="309" t="str">
        <x:f>IF(AN10&lt;&gt;"Yes","Not logged",IF(AL10&gt;='Setup'!$B$14,"STOP / MODIFY",IF(Z10=0,"Complete",IF(OR(AO10=0,AK10=""),"Add set data + RIR",IF(AND(MAX(AB10,AD10,AF10,AH10,AJ10)&gt;=P10,AK10&gt;=Q10+1),"Progress",IF(OR(MAX(AB10,AD10,AF10,AH10,AJ10)&lt;O10,AK10&lt;Q10-1),"Regress","Hold"))))))</x:f>
        <x:v>Not logged</x:v>
      </x:c>
      <x:c r="AT10" s="328" t="n">
        <x:f>IF(OR(Z10=0,AN10&lt;&gt;"Yes",AO10=0,AK10=""),0,IF(AL10&gt;='Setup'!$B$14,-2*'Setup'!$B$11,IF(AND(MAX(AB10,AD10,AF10,AH10,AJ10)&gt;=P10,AK10&gt;=Q10+1),'Setup'!$B$10,IF(OR(MAX(AB10,AD10,AF10,AH10,AJ10)&lt;O10,AK10&lt;Q10-1),-'Setup'!$B$11,0))))</x:f>
        <x:v>0</x:v>
      </x:c>
      <x:c r="AU10" s="326" t="n">
        <x:f>IF(Z10=0,0,IF(AN10&lt;&gt;"Yes",Z10,IF(COUNT(AA10,AC10,AE10,AG10,AI10)=0,Z10,ROUND((MAX(AA10,AC10,AE10,AG10,AI10)*(1+AT10))/'Setup'!$B$9,0)*'Setup'!$B$9)))</x:f>
        <x:v>0</x:v>
      </x:c>
      <x:c r="AV10" s="329"/>
    </x:row>
    <x:row r="11">
      <x:c r="A11" s="310" t="n">
        <x:f>'Setup'!$B$3+(C11-1)*7+(D11-1)</x:f>
        <x:v>46244</x:v>
      </x:c>
      <x:c r="B11" s="311" t="str">
        <x:v>1|1|2</x:v>
      </x:c>
      <x:c r="C11" s="311" t="n">
        <x:v>1</x:v>
      </x:c>
      <x:c r="D11" s="311" t="n">
        <x:v>1</x:v>
      </x:c>
      <x:c r="E11" s="311" t="str">
        <x:v>Accumulation</x:v>
      </x:c>
      <x:c r="F11" s="311" t="str">
        <x:v>Pull A</x:v>
      </x:c>
      <x:c r="G11" s="311" t="str">
        <x:v>Vertical pull strength + back density</x:v>
      </x:c>
      <x:c r="H11" s="311" t="n">
        <x:v>2</x:v>
      </x:c>
      <x:c r="I11" s="311" t="str">
        <x:v>Weighted Pull-Up</x:v>
      </x:c>
      <x:c r="J11" s="311" t="str">
        <x:v>Strength</x:v>
      </x:c>
      <x:c r="K11" s="311" t="str">
        <x:v>Back</x:v>
      </x:c>
      <x:c r="L11" s="311" t="str">
        <x:v>Top set + back-offs</x:v>
      </x:c>
      <x:c r="M11" s="311"/>
      <x:c r="N11" s="311" t="n">
        <x:v>4</x:v>
      </x:c>
      <x:c r="O11" s="311" t="n">
        <x:v>5</x:v>
      </x:c>
      <x:c r="P11" s="311" t="n">
        <x:v>7</x:v>
      </x:c>
      <x:c r="Q11" s="311" t="n">
        <x:v>3</x:v>
      </x:c>
      <x:c r="R11" s="311" t="n">
        <x:v>150</x:v>
      </x:c>
      <x:c r="S11" s="311" t="str">
        <x:v>2-1-X</x:v>
      </x:c>
      <x:c r="T11" s="330" t="n">
        <x:v>1</x:v>
      </x:c>
      <x:c r="U11" s="330" t="n">
        <x:v>0</x:v>
      </x:c>
      <x:c r="V11" s="331" t="str">
        <x:v>load × reps</x:v>
      </x:c>
      <x:c r="W11" s="332" t="str">
        <x:f>'Readiness'!K7</x:f>
      </x:c>
      <x:c r="X11" s="314" t="n">
        <x:f>'Readiness'!L7</x:f>
        <x:v>1</x:v>
      </x:c>
      <x:c r="Y11" s="315" t="n">
        <x:f>IF(J11="Mobility",N11,MAX(1,ROUND(N11*X11,0)))</x:f>
        <x:v>4</x:v>
      </x:c>
      <x:c r="Z11" s="333" t="n">
        <x:f>IF('Setup'!$D$94&gt;0,'Setup'!$D$94,0)</x:f>
        <x:v>0</x:v>
      </x:c>
      <x:c r="AA11" s="334"/>
      <x:c r="AB11" s="334"/>
      <x:c r="AC11" s="334"/>
      <x:c r="AD11" s="334"/>
      <x:c r="AE11" s="334"/>
      <x:c r="AF11" s="334"/>
      <x:c r="AG11" s="334"/>
      <x:c r="AH11" s="334"/>
      <x:c r="AI11" s="334"/>
      <x:c r="AJ11" s="312"/>
      <x:c r="AK11" s="312"/>
      <x:c r="AL11" s="312"/>
      <x:c r="AM11" s="312"/>
      <x:c r="AN11" s="312"/>
      <x:c r="AO11" s="315" t="n">
        <x:f>COUNT(AB11,AD11,AF11,AH11,AJ11)</x:f>
        <x:v>0</x:v>
      </x:c>
      <x:c r="AP11" s="315" t="n">
        <x:f>SUM(AB11,AD11,AF11,AH11,AJ11)</x:f>
        <x:v>0</x:v>
      </x:c>
      <x:c r="AQ11" s="333" t="n">
        <x:f>AA11*AB11+AC11*AD11+AE11*AF11+AG11*AH11+AI11*AJ11</x:f>
        <x:v>0</x:v>
      </x:c>
      <x:c r="AR11" s="333" t="n">
        <x:f>IF(OR(J11="Strength",J11="Hypertrophy"),MAX(IF(AB11&gt;0,AA11*(1+AB11/30),0),IF(AD11&gt;0,AC11*(1+AD11/30),0),IF(AF11&gt;0,AE11*(1+AF11/30),0),IF(AH11&gt;0,AG11*(1+AH11/30),0),IF(AJ11&gt;0,AI11*(1+AJ11/30),0)),0)</x:f>
        <x:v>0</x:v>
      </x:c>
      <x:c r="AS11" s="315" t="str">
        <x:f>IF(AN11&lt;&gt;"Yes","Not logged",IF(AL11&gt;='Setup'!$B$14,"STOP / MODIFY",IF(Z11=0,"Complete",IF(OR(AO11=0,AK11=""),"Add set data + RIR",IF(AND(MAX(AB11,AD11,AF11,AH11,AJ11)&gt;=P11,AK11&gt;=Q11+1),"Progress",IF(OR(MAX(AB11,AD11,AF11,AH11,AJ11)&lt;O11,AK11&lt;Q11-1),"Regress","Hold"))))))</x:f>
        <x:v>Not logged</x:v>
      </x:c>
      <x:c r="AT11" s="335" t="n">
        <x:f>IF(OR(Z11=0,AN11&lt;&gt;"Yes",AO11=0,AK11=""),0,IF(AL11&gt;='Setup'!$B$14,-2*'Setup'!$B$11,IF(AND(MAX(AB11,AD11,AF11,AH11,AJ11)&gt;=P11,AK11&gt;=Q11+1),'Setup'!$B$10,IF(OR(MAX(AB11,AD11,AF11,AH11,AJ11)&lt;O11,AK11&lt;Q11-1),-'Setup'!$B$11,0))))</x:f>
        <x:v>0</x:v>
      </x:c>
      <x:c r="AU11" s="333" t="n">
        <x:f>IF(Z11=0,0,IF(AN11&lt;&gt;"Yes",Z11,IF(COUNT(AA11,AC11,AE11,AG11,AI11)=0,Z11,ROUND((MAX(AA11,AC11,AE11,AG11,AI11)*(1+AT11))/'Setup'!$B$9,0)*'Setup'!$B$9)))</x:f>
        <x:v>0</x:v>
      </x:c>
      <x:c r="AV11" s="336"/>
    </x:row>
    <x:row r="12">
      <x:c r="A12" s="310" t="n">
        <x:f>'Setup'!$B$3+(C12-1)*7+(D12-1)</x:f>
        <x:v>46244</x:v>
      </x:c>
      <x:c r="B12" s="311" t="str">
        <x:v>1|1|3</x:v>
      </x:c>
      <x:c r="C12" s="311" t="n">
        <x:v>1</x:v>
      </x:c>
      <x:c r="D12" s="311" t="n">
        <x:v>1</x:v>
      </x:c>
      <x:c r="E12" s="311" t="str">
        <x:v>Accumulation</x:v>
      </x:c>
      <x:c r="F12" s="311" t="str">
        <x:v>Pull A</x:v>
      </x:c>
      <x:c r="G12" s="311" t="str">
        <x:v>Vertical pull strength + back density</x:v>
      </x:c>
      <x:c r="H12" s="311" t="n">
        <x:v>3</x:v>
      </x:c>
      <x:c r="I12" s="311" t="str">
        <x:v>Barbell Row</x:v>
      </x:c>
      <x:c r="J12" s="311" t="str">
        <x:v>Strength</x:v>
      </x:c>
      <x:c r="K12" s="311" t="str">
        <x:v>Back</x:v>
      </x:c>
      <x:c r="L12" s="311" t="str">
        <x:v>Straight sets</x:v>
      </x:c>
      <x:c r="M12" s="311"/>
      <x:c r="N12" s="311" t="n">
        <x:v>3</x:v>
      </x:c>
      <x:c r="O12" s="311" t="n">
        <x:v>6</x:v>
      </x:c>
      <x:c r="P12" s="311" t="n">
        <x:v>8</x:v>
      </x:c>
      <x:c r="Q12" s="311" t="n">
        <x:v>3</x:v>
      </x:c>
      <x:c r="R12" s="311" t="n">
        <x:v>120</x:v>
      </x:c>
      <x:c r="S12" s="311" t="str">
        <x:v>2-1-1</x:v>
      </x:c>
      <x:c r="T12" s="330" t="n">
        <x:v>1</x:v>
      </x:c>
      <x:c r="U12" s="330" t="n">
        <x:v>0</x:v>
      </x:c>
      <x:c r="V12" s="331" t="str">
        <x:v>load × reps</x:v>
      </x:c>
      <x:c r="W12" s="332" t="str">
        <x:f>'Readiness'!K7</x:f>
      </x:c>
      <x:c r="X12" s="314" t="n">
        <x:f>'Readiness'!L7</x:f>
        <x:v>1</x:v>
      </x:c>
      <x:c r="Y12" s="315" t="n">
        <x:f>IF(J12="Mobility",N12,MAX(1,ROUND(N12*X12,0)))</x:f>
        <x:v>3</x:v>
      </x:c>
      <x:c r="Z12" s="333" t="n">
        <x:f>IF('Setup'!$D$26&gt;0,'Setup'!$D$26,0)</x:f>
        <x:v>0</x:v>
      </x:c>
      <x:c r="AA12" s="334"/>
      <x:c r="AB12" s="334"/>
      <x:c r="AC12" s="334"/>
      <x:c r="AD12" s="334"/>
      <x:c r="AE12" s="334"/>
      <x:c r="AF12" s="334"/>
      <x:c r="AG12" s="334"/>
      <x:c r="AH12" s="334"/>
      <x:c r="AI12" s="334"/>
      <x:c r="AJ12" s="312"/>
      <x:c r="AK12" s="312"/>
      <x:c r="AL12" s="312"/>
      <x:c r="AM12" s="312"/>
      <x:c r="AN12" s="312"/>
      <x:c r="AO12" s="315" t="n">
        <x:f>COUNT(AB12,AD12,AF12,AH12,AJ12)</x:f>
        <x:v>0</x:v>
      </x:c>
      <x:c r="AP12" s="315" t="n">
        <x:f>SUM(AB12,AD12,AF12,AH12,AJ12)</x:f>
        <x:v>0</x:v>
      </x:c>
      <x:c r="AQ12" s="333" t="n">
        <x:f>AA12*AB12+AC12*AD12+AE12*AF12+AG12*AH12+AI12*AJ12</x:f>
        <x:v>0</x:v>
      </x:c>
      <x:c r="AR12" s="333" t="n">
        <x:f>IF(OR(J12="Strength",J12="Hypertrophy"),MAX(IF(AB12&gt;0,AA12*(1+AB12/30),0),IF(AD12&gt;0,AC12*(1+AD12/30),0),IF(AF12&gt;0,AE12*(1+AF12/30),0),IF(AH12&gt;0,AG12*(1+AH12/30),0),IF(AJ12&gt;0,AI12*(1+AJ12/30),0)),0)</x:f>
        <x:v>0</x:v>
      </x:c>
      <x:c r="AS12" s="315" t="str">
        <x:f>IF(AN12&lt;&gt;"Yes","Not logged",IF(AL12&gt;='Setup'!$B$14,"STOP / MODIFY",IF(Z12=0,"Complete",IF(OR(AO12=0,AK12=""),"Add set data + RIR",IF(AND(MAX(AB12,AD12,AF12,AH12,AJ12)&gt;=P12,AK12&gt;=Q12+1),"Progress",IF(OR(MAX(AB12,AD12,AF12,AH12,AJ12)&lt;O12,AK12&lt;Q12-1),"Regress","Hold"))))))</x:f>
        <x:v>Not logged</x:v>
      </x:c>
      <x:c r="AT12" s="335" t="n">
        <x:f>IF(OR(Z12=0,AN12&lt;&gt;"Yes",AO12=0,AK12=""),0,IF(AL12&gt;='Setup'!$B$14,-2*'Setup'!$B$11,IF(AND(MAX(AB12,AD12,AF12,AH12,AJ12)&gt;=P12,AK12&gt;=Q12+1),'Setup'!$B$10,IF(OR(MAX(AB12,AD12,AF12,AH12,AJ12)&lt;O12,AK12&lt;Q12-1),-'Setup'!$B$11,0))))</x:f>
        <x:v>0</x:v>
      </x:c>
      <x:c r="AU12" s="333" t="n">
        <x:f>IF(Z12=0,0,IF(AN12&lt;&gt;"Yes",Z12,IF(COUNT(AA12,AC12,AE12,AG12,AI12)=0,Z12,ROUND((MAX(AA12,AC12,AE12,AG12,AI12)*(1+AT12))/'Setup'!$B$9,0)*'Setup'!$B$9)))</x:f>
        <x:v>0</x:v>
      </x:c>
      <x:c r="AV12" s="336"/>
    </x:row>
    <x:row r="13">
      <x:c r="A13" s="310" t="n">
        <x:f>'Setup'!$B$3+(C13-1)*7+(D13-1)</x:f>
        <x:v>46244</x:v>
      </x:c>
      <x:c r="B13" s="311" t="str">
        <x:v>1|1|4</x:v>
      </x:c>
      <x:c r="C13" s="311" t="n">
        <x:v>1</x:v>
      </x:c>
      <x:c r="D13" s="311" t="n">
        <x:v>1</x:v>
      </x:c>
      <x:c r="E13" s="311" t="str">
        <x:v>Accumulation</x:v>
      </x:c>
      <x:c r="F13" s="311" t="str">
        <x:v>Pull A</x:v>
      </x:c>
      <x:c r="G13" s="311" t="str">
        <x:v>Vertical pull strength + back density</x:v>
      </x:c>
      <x:c r="H13" s="311" t="n">
        <x:v>4</x:v>
      </x:c>
      <x:c r="I13" s="311" t="str">
        <x:v>Chest-Supported Dumbbell Row</x:v>
      </x:c>
      <x:c r="J13" s="311" t="str">
        <x:v>Hypertrophy</x:v>
      </x:c>
      <x:c r="K13" s="311" t="str">
        <x:v>Back</x:v>
      </x:c>
      <x:c r="L13" s="311" t="str">
        <x:v>Straight sets</x:v>
      </x:c>
      <x:c r="M13" s="311"/>
      <x:c r="N13" s="311" t="n">
        <x:v>3</x:v>
      </x:c>
      <x:c r="O13" s="311" t="n">
        <x:v>8</x:v>
      </x:c>
      <x:c r="P13" s="311" t="n">
        <x:v>12</x:v>
      </x:c>
      <x:c r="Q13" s="311" t="n">
        <x:v>3</x:v>
      </x:c>
      <x:c r="R13" s="311" t="n">
        <x:v>90</x:v>
      </x:c>
      <x:c r="S13" s="311" t="str">
        <x:v>2-1-1</x:v>
      </x:c>
      <x:c r="T13" s="330" t="n">
        <x:v>1</x:v>
      </x:c>
      <x:c r="U13" s="330" t="n">
        <x:v>0</x:v>
      </x:c>
      <x:c r="V13" s="331" t="str">
        <x:v>load × reps</x:v>
      </x:c>
      <x:c r="W13" s="332" t="str">
        <x:f>'Readiness'!K7</x:f>
      </x:c>
      <x:c r="X13" s="314" t="n">
        <x:f>'Readiness'!L7</x:f>
        <x:v>1</x:v>
      </x:c>
      <x:c r="Y13" s="315" t="n">
        <x:f>IF(J13="Mobility",N13,MAX(1,ROUND(N13*X13,0)))</x:f>
        <x:v>3</x:v>
      </x:c>
      <x:c r="Z13" s="333" t="n">
        <x:f>IF('Setup'!$D$34&gt;0,'Setup'!$D$34,0)</x:f>
        <x:v>0</x:v>
      </x:c>
      <x:c r="AA13" s="334"/>
      <x:c r="AB13" s="334"/>
      <x:c r="AC13" s="334"/>
      <x:c r="AD13" s="334"/>
      <x:c r="AE13" s="334"/>
      <x:c r="AF13" s="334"/>
      <x:c r="AG13" s="334"/>
      <x:c r="AH13" s="334"/>
      <x:c r="AI13" s="334"/>
      <x:c r="AJ13" s="312"/>
      <x:c r="AK13" s="312"/>
      <x:c r="AL13" s="312"/>
      <x:c r="AM13" s="312"/>
      <x:c r="AN13" s="312"/>
      <x:c r="AO13" s="315" t="n">
        <x:f>COUNT(AB13,AD13,AF13,AH13,AJ13)</x:f>
        <x:v>0</x:v>
      </x:c>
      <x:c r="AP13" s="315" t="n">
        <x:f>SUM(AB13,AD13,AF13,AH13,AJ13)</x:f>
        <x:v>0</x:v>
      </x:c>
      <x:c r="AQ13" s="333" t="n">
        <x:f>AA13*AB13+AC13*AD13+AE13*AF13+AG13*AH13+AI13*AJ13</x:f>
        <x:v>0</x:v>
      </x:c>
      <x:c r="AR13" s="333" t="n">
        <x:f>IF(OR(J13="Strength",J13="Hypertrophy"),MAX(IF(AB13&gt;0,AA13*(1+AB13/30),0),IF(AD13&gt;0,AC13*(1+AD13/30),0),IF(AF13&gt;0,AE13*(1+AF13/30),0),IF(AH13&gt;0,AG13*(1+AH13/30),0),IF(AJ13&gt;0,AI13*(1+AJ13/30),0)),0)</x:f>
        <x:v>0</x:v>
      </x:c>
      <x:c r="AS13" s="315" t="str">
        <x:f>IF(AN13&lt;&gt;"Yes","Not logged",IF(AL13&gt;='Setup'!$B$14,"STOP / MODIFY",IF(Z13=0,"Complete",IF(OR(AO13=0,AK13=""),"Add set data + RIR",IF(AND(MAX(AB13,AD13,AF13,AH13,AJ13)&gt;=P13,AK13&gt;=Q13+1),"Progress",IF(OR(MAX(AB13,AD13,AF13,AH13,AJ13)&lt;O13,AK13&lt;Q13-1),"Regress","Hold"))))))</x:f>
        <x:v>Not logged</x:v>
      </x:c>
      <x:c r="AT13" s="335" t="n">
        <x:f>IF(OR(Z13=0,AN13&lt;&gt;"Yes",AO13=0,AK13=""),0,IF(AL13&gt;='Setup'!$B$14,-2*'Setup'!$B$11,IF(AND(MAX(AB13,AD13,AF13,AH13,AJ13)&gt;=P13,AK13&gt;=Q13+1),'Setup'!$B$10,IF(OR(MAX(AB13,AD13,AF13,AH13,AJ13)&lt;O13,AK13&lt;Q13-1),-'Setup'!$B$11,0))))</x:f>
        <x:v>0</x:v>
      </x:c>
      <x:c r="AU13" s="333" t="n">
        <x:f>IF(Z13=0,0,IF(AN13&lt;&gt;"Yes",Z13,IF(COUNT(AA13,AC13,AE13,AG13,AI13)=0,Z13,ROUND((MAX(AA13,AC13,AE13,AG13,AI13)*(1+AT13))/'Setup'!$B$9,0)*'Setup'!$B$9)))</x:f>
        <x:v>0</x:v>
      </x:c>
      <x:c r="AV13" s="336"/>
    </x:row>
    <x:row r="14">
      <x:c r="A14" s="310" t="n">
        <x:f>'Setup'!$B$3+(C14-1)*7+(D14-1)</x:f>
        <x:v>46244</x:v>
      </x:c>
      <x:c r="B14" s="311" t="str">
        <x:v>1|1|5</x:v>
      </x:c>
      <x:c r="C14" s="311" t="n">
        <x:v>1</x:v>
      </x:c>
      <x:c r="D14" s="311" t="n">
        <x:v>1</x:v>
      </x:c>
      <x:c r="E14" s="311" t="str">
        <x:v>Accumulation</x:v>
      </x:c>
      <x:c r="F14" s="311" t="str">
        <x:v>Pull A</x:v>
      </x:c>
      <x:c r="G14" s="311" t="str">
        <x:v>Vertical pull strength + back density</x:v>
      </x:c>
      <x:c r="H14" s="311" t="n">
        <x:v>5</x:v>
      </x:c>
      <x:c r="I14" s="311" t="str">
        <x:v>Lat Pulldown</x:v>
      </x:c>
      <x:c r="J14" s="311" t="str">
        <x:v>Hypertrophy</x:v>
      </x:c>
      <x:c r="K14" s="311" t="str">
        <x:v>Back</x:v>
      </x:c>
      <x:c r="L14" s="311" t="str">
        <x:v>Straight sets</x:v>
      </x:c>
      <x:c r="M14" s="311"/>
      <x:c r="N14" s="311" t="n">
        <x:v>3</x:v>
      </x:c>
      <x:c r="O14" s="311" t="n">
        <x:v>10</x:v>
      </x:c>
      <x:c r="P14" s="311" t="n">
        <x:v>12</x:v>
      </x:c>
      <x:c r="Q14" s="311" t="n">
        <x:v>3</x:v>
      </x:c>
      <x:c r="R14" s="311" t="n">
        <x:v>75</x:v>
      </x:c>
      <x:c r="S14" s="311" t="str">
        <x:v>2-1-1</x:v>
      </x:c>
      <x:c r="T14" s="330" t="n">
        <x:v>1</x:v>
      </x:c>
      <x:c r="U14" s="330" t="n">
        <x:v>0</x:v>
      </x:c>
      <x:c r="V14" s="331" t="str">
        <x:v>load × reps</x:v>
      </x:c>
      <x:c r="W14" s="332" t="str">
        <x:f>'Readiness'!K7</x:f>
      </x:c>
      <x:c r="X14" s="314" t="n">
        <x:f>'Readiness'!L7</x:f>
        <x:v>1</x:v>
      </x:c>
      <x:c r="Y14" s="315" t="n">
        <x:f>IF(J14="Mobility",N14,MAX(1,ROUND(N14*X14,0)))</x:f>
        <x:v>3</x:v>
      </x:c>
      <x:c r="Z14" s="333" t="n">
        <x:f>IF('Setup'!$D$55&gt;0,'Setup'!$D$55,0)</x:f>
        <x:v>0</x:v>
      </x:c>
      <x:c r="AA14" s="334"/>
      <x:c r="AB14" s="334"/>
      <x:c r="AC14" s="334"/>
      <x:c r="AD14" s="334"/>
      <x:c r="AE14" s="334"/>
      <x:c r="AF14" s="334"/>
      <x:c r="AG14" s="334"/>
      <x:c r="AH14" s="334"/>
      <x:c r="AI14" s="334"/>
      <x:c r="AJ14" s="312"/>
      <x:c r="AK14" s="312"/>
      <x:c r="AL14" s="312"/>
      <x:c r="AM14" s="312"/>
      <x:c r="AN14" s="312"/>
      <x:c r="AO14" s="315" t="n">
        <x:f>COUNT(AB14,AD14,AF14,AH14,AJ14)</x:f>
        <x:v>0</x:v>
      </x:c>
      <x:c r="AP14" s="315" t="n">
        <x:f>SUM(AB14,AD14,AF14,AH14,AJ14)</x:f>
        <x:v>0</x:v>
      </x:c>
      <x:c r="AQ14" s="333" t="n">
        <x:f>AA14*AB14+AC14*AD14+AE14*AF14+AG14*AH14+AI14*AJ14</x:f>
        <x:v>0</x:v>
      </x:c>
      <x:c r="AR14" s="333" t="n">
        <x:f>IF(OR(J14="Strength",J14="Hypertrophy"),MAX(IF(AB14&gt;0,AA14*(1+AB14/30),0),IF(AD14&gt;0,AC14*(1+AD14/30),0),IF(AF14&gt;0,AE14*(1+AF14/30),0),IF(AH14&gt;0,AG14*(1+AH14/30),0),IF(AJ14&gt;0,AI14*(1+AJ14/30),0)),0)</x:f>
        <x:v>0</x:v>
      </x:c>
      <x:c r="AS14" s="315" t="str">
        <x:f>IF(AN14&lt;&gt;"Yes","Not logged",IF(AL14&gt;='Setup'!$B$14,"STOP / MODIFY",IF(Z14=0,"Complete",IF(OR(AO14=0,AK14=""),"Add set data + RIR",IF(AND(MAX(AB14,AD14,AF14,AH14,AJ14)&gt;=P14,AK14&gt;=Q14+1),"Progress",IF(OR(MAX(AB14,AD14,AF14,AH14,AJ14)&lt;O14,AK14&lt;Q14-1),"Regress","Hold"))))))</x:f>
        <x:v>Not logged</x:v>
      </x:c>
      <x:c r="AT14" s="335" t="n">
        <x:f>IF(OR(Z14=0,AN14&lt;&gt;"Yes",AO14=0,AK14=""),0,IF(AL14&gt;='Setup'!$B$14,-2*'Setup'!$B$11,IF(AND(MAX(AB14,AD14,AF14,AH14,AJ14)&gt;=P14,AK14&gt;=Q14+1),'Setup'!$B$10,IF(OR(MAX(AB14,AD14,AF14,AH14,AJ14)&lt;O14,AK14&lt;Q14-1),-'Setup'!$B$11,0))))</x:f>
        <x:v>0</x:v>
      </x:c>
      <x:c r="AU14" s="333" t="n">
        <x:f>IF(Z14=0,0,IF(AN14&lt;&gt;"Yes",Z14,IF(COUNT(AA14,AC14,AE14,AG14,AI14)=0,Z14,ROUND((MAX(AA14,AC14,AE14,AG14,AI14)*(1+AT14))/'Setup'!$B$9,0)*'Setup'!$B$9)))</x:f>
        <x:v>0</x:v>
      </x:c>
      <x:c r="AV14" s="336"/>
    </x:row>
    <x:row r="15">
      <x:c r="A15" s="310" t="n">
        <x:f>'Setup'!$B$3+(C15-1)*7+(D15-1)</x:f>
        <x:v>46244</x:v>
      </x:c>
      <x:c r="B15" s="311" t="str">
        <x:v>1|1|6</x:v>
      </x:c>
      <x:c r="C15" s="311" t="n">
        <x:v>1</x:v>
      </x:c>
      <x:c r="D15" s="311" t="n">
        <x:v>1</x:v>
      </x:c>
      <x:c r="E15" s="311" t="str">
        <x:v>Accumulation</x:v>
      </x:c>
      <x:c r="F15" s="311" t="str">
        <x:v>Pull A</x:v>
      </x:c>
      <x:c r="G15" s="311" t="str">
        <x:v>Vertical pull strength + back density</x:v>
      </x:c>
      <x:c r="H15" s="311" t="n">
        <x:v>6</x:v>
      </x:c>
      <x:c r="I15" s="311" t="str">
        <x:v>Rear Delt Cable Fly</x:v>
      </x:c>
      <x:c r="J15" s="311" t="str">
        <x:v>Hypertrophy</x:v>
      </x:c>
      <x:c r="K15" s="311" t="str">
        <x:v>Rear Delts</x:v>
      </x:c>
      <x:c r="L15" s="311" t="str">
        <x:v>Superset</x:v>
      </x:c>
      <x:c r="M15" s="311" t="str">
        <x:v>A1</x:v>
      </x:c>
      <x:c r="N15" s="311" t="n">
        <x:v>3</x:v>
      </x:c>
      <x:c r="O15" s="311" t="n">
        <x:v>12</x:v>
      </x:c>
      <x:c r="P15" s="311" t="n">
        <x:v>20</x:v>
      </x:c>
      <x:c r="Q15" s="311" t="n">
        <x:v>3</x:v>
      </x:c>
      <x:c r="R15" s="311" t="n">
        <x:v>30</x:v>
      </x:c>
      <x:c r="S15" s="311" t="str">
        <x:v>2-1-2</x:v>
      </x:c>
      <x:c r="T15" s="330" t="n">
        <x:v>1</x:v>
      </x:c>
      <x:c r="U15" s="330" t="n">
        <x:v>0</x:v>
      </x:c>
      <x:c r="V15" s="331" t="str">
        <x:v>load × reps</x:v>
      </x:c>
      <x:c r="W15" s="332" t="str">
        <x:f>'Readiness'!K7</x:f>
      </x:c>
      <x:c r="X15" s="314" t="n">
        <x:f>'Readiness'!L7</x:f>
        <x:v>1</x:v>
      </x:c>
      <x:c r="Y15" s="315" t="n">
        <x:f>IF(J15="Mobility",N15,MAX(1,ROUND(N15*X15,0)))</x:f>
        <x:v>3</x:v>
      </x:c>
      <x:c r="Z15" s="333" t="n">
        <x:f>IF('Setup'!$D$78&gt;0,'Setup'!$D$78,0)</x:f>
        <x:v>0</x:v>
      </x:c>
      <x:c r="AA15" s="334"/>
      <x:c r="AB15" s="334"/>
      <x:c r="AC15" s="334"/>
      <x:c r="AD15" s="334"/>
      <x:c r="AE15" s="334"/>
      <x:c r="AF15" s="334"/>
      <x:c r="AG15" s="334"/>
      <x:c r="AH15" s="334"/>
      <x:c r="AI15" s="334"/>
      <x:c r="AJ15" s="312"/>
      <x:c r="AK15" s="312"/>
      <x:c r="AL15" s="312"/>
      <x:c r="AM15" s="312"/>
      <x:c r="AN15" s="312"/>
      <x:c r="AO15" s="315" t="n">
        <x:f>COUNT(AB15,AD15,AF15,AH15,AJ15)</x:f>
        <x:v>0</x:v>
      </x:c>
      <x:c r="AP15" s="315" t="n">
        <x:f>SUM(AB15,AD15,AF15,AH15,AJ15)</x:f>
        <x:v>0</x:v>
      </x:c>
      <x:c r="AQ15" s="333" t="n">
        <x:f>AA15*AB15+AC15*AD15+AE15*AF15+AG15*AH15+AI15*AJ15</x:f>
        <x:v>0</x:v>
      </x:c>
      <x:c r="AR15" s="333" t="n">
        <x:f>IF(OR(J15="Strength",J15="Hypertrophy"),MAX(IF(AB15&gt;0,AA15*(1+AB15/30),0),IF(AD15&gt;0,AC15*(1+AD15/30),0),IF(AF15&gt;0,AE15*(1+AF15/30),0),IF(AH15&gt;0,AG15*(1+AH15/30),0),IF(AJ15&gt;0,AI15*(1+AJ15/30),0)),0)</x:f>
        <x:v>0</x:v>
      </x:c>
      <x:c r="AS15" s="315" t="str">
        <x:f>IF(AN15&lt;&gt;"Yes","Not logged",IF(AL15&gt;='Setup'!$B$14,"STOP / MODIFY",IF(Z15=0,"Complete",IF(OR(AO15=0,AK15=""),"Add set data + RIR",IF(AND(MAX(AB15,AD15,AF15,AH15,AJ15)&gt;=P15,AK15&gt;=Q15+1),"Progress",IF(OR(MAX(AB15,AD15,AF15,AH15,AJ15)&lt;O15,AK15&lt;Q15-1),"Regress","Hold"))))))</x:f>
        <x:v>Not logged</x:v>
      </x:c>
      <x:c r="AT15" s="335" t="n">
        <x:f>IF(OR(Z15=0,AN15&lt;&gt;"Yes",AO15=0,AK15=""),0,IF(AL15&gt;='Setup'!$B$14,-2*'Setup'!$B$11,IF(AND(MAX(AB15,AD15,AF15,AH15,AJ15)&gt;=P15,AK15&gt;=Q15+1),'Setup'!$B$10,IF(OR(MAX(AB15,AD15,AF15,AH15,AJ15)&lt;O15,AK15&lt;Q15-1),-'Setup'!$B$11,0))))</x:f>
        <x:v>0</x:v>
      </x:c>
      <x:c r="AU15" s="333" t="n">
        <x:f>IF(Z15=0,0,IF(AN15&lt;&gt;"Yes",Z15,IF(COUNT(AA15,AC15,AE15,AG15,AI15)=0,Z15,ROUND((MAX(AA15,AC15,AE15,AG15,AI15)*(1+AT15))/'Setup'!$B$9,0)*'Setup'!$B$9)))</x:f>
        <x:v>0</x:v>
      </x:c>
      <x:c r="AV15" s="336"/>
    </x:row>
    <x:row r="16">
      <x:c r="A16" s="310" t="n">
        <x:f>'Setup'!$B$3+(C16-1)*7+(D16-1)</x:f>
        <x:v>46244</x:v>
      </x:c>
      <x:c r="B16" s="311" t="str">
        <x:v>1|1|7</x:v>
      </x:c>
      <x:c r="C16" s="311" t="n">
        <x:v>1</x:v>
      </x:c>
      <x:c r="D16" s="311" t="n">
        <x:v>1</x:v>
      </x:c>
      <x:c r="E16" s="311" t="str">
        <x:v>Accumulation</x:v>
      </x:c>
      <x:c r="F16" s="311" t="str">
        <x:v>Pull A</x:v>
      </x:c>
      <x:c r="G16" s="311" t="str">
        <x:v>Vertical pull strength + back density</x:v>
      </x:c>
      <x:c r="H16" s="311" t="n">
        <x:v>7</x:v>
      </x:c>
      <x:c r="I16" s="311" t="str">
        <x:v>EZ-Bar Curl</x:v>
      </x:c>
      <x:c r="J16" s="311" t="str">
        <x:v>Hypertrophy</x:v>
      </x:c>
      <x:c r="K16" s="311" t="str">
        <x:v>Biceps</x:v>
      </x:c>
      <x:c r="L16" s="311" t="str">
        <x:v>Superset</x:v>
      </x:c>
      <x:c r="M16" s="311" t="str">
        <x:v>A2</x:v>
      </x:c>
      <x:c r="N16" s="311" t="n">
        <x:v>3</x:v>
      </x:c>
      <x:c r="O16" s="311" t="n">
        <x:v>8</x:v>
      </x:c>
      <x:c r="P16" s="311" t="n">
        <x:v>12</x:v>
      </x:c>
      <x:c r="Q16" s="311" t="n">
        <x:v>3</x:v>
      </x:c>
      <x:c r="R16" s="311" t="n">
        <x:v>45</x:v>
      </x:c>
      <x:c r="S16" s="311" t="str">
        <x:v>3-0-1</x:v>
      </x:c>
      <x:c r="T16" s="330" t="n">
        <x:v>1</x:v>
      </x:c>
      <x:c r="U16" s="330" t="n">
        <x:v>0</x:v>
      </x:c>
      <x:c r="V16" s="331" t="str">
        <x:v>load × reps</x:v>
      </x:c>
      <x:c r="W16" s="332" t="str">
        <x:f>'Readiness'!K7</x:f>
      </x:c>
      <x:c r="X16" s="314" t="n">
        <x:f>'Readiness'!L7</x:f>
        <x:v>1</x:v>
      </x:c>
      <x:c r="Y16" s="315" t="n">
        <x:f>IF(J16="Mobility",N16,MAX(1,ROUND(N16*X16,0)))</x:f>
        <x:v>3</x:v>
      </x:c>
      <x:c r="Z16" s="333" t="n">
        <x:f>IF('Setup'!$D$40&gt;0,'Setup'!$D$40,0)</x:f>
        <x:v>0</x:v>
      </x:c>
      <x:c r="AA16" s="334"/>
      <x:c r="AB16" s="334"/>
      <x:c r="AC16" s="334"/>
      <x:c r="AD16" s="334"/>
      <x:c r="AE16" s="334"/>
      <x:c r="AF16" s="334"/>
      <x:c r="AG16" s="334"/>
      <x:c r="AH16" s="334"/>
      <x:c r="AI16" s="334"/>
      <x:c r="AJ16" s="312"/>
      <x:c r="AK16" s="312"/>
      <x:c r="AL16" s="312"/>
      <x:c r="AM16" s="312"/>
      <x:c r="AN16" s="312"/>
      <x:c r="AO16" s="315" t="n">
        <x:f>COUNT(AB16,AD16,AF16,AH16,AJ16)</x:f>
        <x:v>0</x:v>
      </x:c>
      <x:c r="AP16" s="315" t="n">
        <x:f>SUM(AB16,AD16,AF16,AH16,AJ16)</x:f>
        <x:v>0</x:v>
      </x:c>
      <x:c r="AQ16" s="333" t="n">
        <x:f>AA16*AB16+AC16*AD16+AE16*AF16+AG16*AH16+AI16*AJ16</x:f>
        <x:v>0</x:v>
      </x:c>
      <x:c r="AR16" s="333" t="n">
        <x:f>IF(OR(J16="Strength",J16="Hypertrophy"),MAX(IF(AB16&gt;0,AA16*(1+AB16/30),0),IF(AD16&gt;0,AC16*(1+AD16/30),0),IF(AF16&gt;0,AE16*(1+AF16/30),0),IF(AH16&gt;0,AG16*(1+AH16/30),0),IF(AJ16&gt;0,AI16*(1+AJ16/30),0)),0)</x:f>
        <x:v>0</x:v>
      </x:c>
      <x:c r="AS16" s="315" t="str">
        <x:f>IF(AN16&lt;&gt;"Yes","Not logged",IF(AL16&gt;='Setup'!$B$14,"STOP / MODIFY",IF(Z16=0,"Complete",IF(OR(AO16=0,AK16=""),"Add set data + RIR",IF(AND(MAX(AB16,AD16,AF16,AH16,AJ16)&gt;=P16,AK16&gt;=Q16+1),"Progress",IF(OR(MAX(AB16,AD16,AF16,AH16,AJ16)&lt;O16,AK16&lt;Q16-1),"Regress","Hold"))))))</x:f>
        <x:v>Not logged</x:v>
      </x:c>
      <x:c r="AT16" s="335" t="n">
        <x:f>IF(OR(Z16=0,AN16&lt;&gt;"Yes",AO16=0,AK16=""),0,IF(AL16&gt;='Setup'!$B$14,-2*'Setup'!$B$11,IF(AND(MAX(AB16,AD16,AF16,AH16,AJ16)&gt;=P16,AK16&gt;=Q16+1),'Setup'!$B$10,IF(OR(MAX(AB16,AD16,AF16,AH16,AJ16)&lt;O16,AK16&lt;Q16-1),-'Setup'!$B$11,0))))</x:f>
        <x:v>0</x:v>
      </x:c>
      <x:c r="AU16" s="333" t="n">
        <x:f>IF(Z16=0,0,IF(AN16&lt;&gt;"Yes",Z16,IF(COUNT(AA16,AC16,AE16,AG16,AI16)=0,Z16,ROUND((MAX(AA16,AC16,AE16,AG16,AI16)*(1+AT16))/'Setup'!$B$9,0)*'Setup'!$B$9)))</x:f>
        <x:v>0</x:v>
      </x:c>
      <x:c r="AV16" s="336"/>
    </x:row>
    <x:row r="17">
      <x:c r="A17" s="310" t="n">
        <x:f>'Setup'!$B$3+(C17-1)*7+(D17-1)</x:f>
        <x:v>46244</x:v>
      </x:c>
      <x:c r="B17" s="311" t="str">
        <x:v>1|1|8</x:v>
      </x:c>
      <x:c r="C17" s="311" t="n">
        <x:v>1</x:v>
      </x:c>
      <x:c r="D17" s="311" t="n">
        <x:v>1</x:v>
      </x:c>
      <x:c r="E17" s="311" t="str">
        <x:v>Accumulation</x:v>
      </x:c>
      <x:c r="F17" s="311" t="str">
        <x:v>Pull A</x:v>
      </x:c>
      <x:c r="G17" s="311" t="str">
        <x:v>Vertical pull strength + back density</x:v>
      </x:c>
      <x:c r="H17" s="311" t="n">
        <x:v>8</x:v>
      </x:c>
      <x:c r="I17" s="311" t="str">
        <x:v>SkiErg Power Intervals</x:v>
      </x:c>
      <x:c r="J17" s="311" t="str">
        <x:v>Athletic</x:v>
      </x:c>
      <x:c r="K17" s="311" t="str">
        <x:v>Full Body</x:v>
      </x:c>
      <x:c r="L17" s="311" t="str">
        <x:v>15 s hard / 45 s easy</x:v>
      </x:c>
      <x:c r="M17" s="311"/>
      <x:c r="N17" s="311" t="n">
        <x:v>6</x:v>
      </x:c>
      <x:c r="O17" s="311" t="n">
        <x:v>15</x:v>
      </x:c>
      <x:c r="P17" s="311" t="n">
        <x:v>15</x:v>
      </x:c>
      <x:c r="Q17" s="311" t="n">
        <x:v>3</x:v>
      </x:c>
      <x:c r="R17" s="311" t="n">
        <x:v>45</x:v>
      </x:c>
      <x:c r="S17" s="311" t="str">
        <x:v>Powerful</x:v>
      </x:c>
      <x:c r="T17" s="330" t="n">
        <x:v>1</x:v>
      </x:c>
      <x:c r="U17" s="330" t="n">
        <x:v>0</x:v>
      </x:c>
      <x:c r="V17" s="331" t="str">
        <x:v>watts / meters</x:v>
      </x:c>
      <x:c r="W17" s="332" t="str">
        <x:f>'Readiness'!K7</x:f>
      </x:c>
      <x:c r="X17" s="314" t="n">
        <x:f>'Readiness'!L7</x:f>
        <x:v>1</x:v>
      </x:c>
      <x:c r="Y17" s="315" t="n">
        <x:f>IF(J17="Mobility",N17,MAX(1,ROUND(N17*X17,0)))</x:f>
        <x:v>6</x:v>
      </x:c>
      <x:c r="Z17" s="333" t="n">
        <x:f>0</x:f>
        <x:v>0</x:v>
      </x:c>
      <x:c r="AA17" s="334"/>
      <x:c r="AB17" s="334"/>
      <x:c r="AC17" s="334"/>
      <x:c r="AD17" s="334"/>
      <x:c r="AE17" s="334"/>
      <x:c r="AF17" s="334"/>
      <x:c r="AG17" s="334"/>
      <x:c r="AH17" s="334"/>
      <x:c r="AI17" s="334"/>
      <x:c r="AJ17" s="312"/>
      <x:c r="AK17" s="312"/>
      <x:c r="AL17" s="312"/>
      <x:c r="AM17" s="312"/>
      <x:c r="AN17" s="312"/>
      <x:c r="AO17" s="315" t="n">
        <x:f>COUNT(AB17,AD17,AF17,AH17,AJ17)</x:f>
        <x:v>0</x:v>
      </x:c>
      <x:c r="AP17" s="315" t="n">
        <x:f>SUM(AB17,AD17,AF17,AH17,AJ17)</x:f>
        <x:v>0</x:v>
      </x:c>
      <x:c r="AQ17" s="333" t="n">
        <x:f>AA17*AB17+AC17*AD17+AE17*AF17+AG17*AH17+AI17*AJ17</x:f>
        <x:v>0</x:v>
      </x:c>
      <x:c r="AR17" s="333" t="n">
        <x:f>IF(OR(J17="Strength",J17="Hypertrophy"),MAX(IF(AB17&gt;0,AA17*(1+AB17/30),0),IF(AD17&gt;0,AC17*(1+AD17/30),0),IF(AF17&gt;0,AE17*(1+AF17/30),0),IF(AH17&gt;0,AG17*(1+AH17/30),0),IF(AJ17&gt;0,AI17*(1+AJ17/30),0)),0)</x:f>
        <x:v>0</x:v>
      </x:c>
      <x:c r="AS17" s="315" t="str">
        <x:f>IF(AN17&lt;&gt;"Yes","Not logged",IF(AL17&gt;='Setup'!$B$14,"STOP / MODIFY",IF(Z17=0,"Complete",IF(OR(AO17=0,AK17=""),"Add set data + RIR",IF(AND(MAX(AB17,AD17,AF17,AH17,AJ17)&gt;=P17,AK17&gt;=Q17+1),"Progress",IF(OR(MAX(AB17,AD17,AF17,AH17,AJ17)&lt;O17,AK17&lt;Q17-1),"Regress","Hold"))))))</x:f>
        <x:v>Not logged</x:v>
      </x:c>
      <x:c r="AT17" s="335" t="n">
        <x:f>IF(OR(Z17=0,AN17&lt;&gt;"Yes",AO17=0,AK17=""),0,IF(AL17&gt;='Setup'!$B$14,-2*'Setup'!$B$11,IF(AND(MAX(AB17,AD17,AF17,AH17,AJ17)&gt;=P17,AK17&gt;=Q17+1),'Setup'!$B$10,IF(OR(MAX(AB17,AD17,AF17,AH17,AJ17)&lt;O17,AK17&lt;Q17-1),-'Setup'!$B$11,0))))</x:f>
        <x:v>0</x:v>
      </x:c>
      <x:c r="AU17" s="333" t="n">
        <x:f>IF(Z17=0,0,IF(AN17&lt;&gt;"Yes",Z17,IF(COUNT(AA17,AC17,AE17,AG17,AI17)=0,Z17,ROUND((MAX(AA17,AC17,AE17,AG17,AI17)*(1+AT17))/'Setup'!$B$9,0)*'Setup'!$B$9)))</x:f>
        <x:v>0</x:v>
      </x:c>
      <x:c r="AV17" s="336"/>
    </x:row>
    <x:row r="18">
      <x:c r="A18" s="310" t="n">
        <x:f>'Setup'!$B$3+(C18-1)*7+(D18-1)</x:f>
        <x:v>46244</x:v>
      </x:c>
      <x:c r="B18" s="311" t="str">
        <x:v>1|1|9</x:v>
      </x:c>
      <x:c r="C18" s="311" t="n">
        <x:v>1</x:v>
      </x:c>
      <x:c r="D18" s="311" t="n">
        <x:v>1</x:v>
      </x:c>
      <x:c r="E18" s="311" t="str">
        <x:v>Accumulation</x:v>
      </x:c>
      <x:c r="F18" s="311" t="str">
        <x:v>Pull A</x:v>
      </x:c>
      <x:c r="G18" s="311" t="str">
        <x:v>Vertical pull strength + back density</x:v>
      </x:c>
      <x:c r="H18" s="311" t="n">
        <x:v>9</x:v>
      </x:c>
      <x:c r="I18" s="311" t="str">
        <x:v>Passive Hang</x:v>
      </x:c>
      <x:c r="J18" s="311" t="str">
        <x:v>Mobility</x:v>
      </x:c>
      <x:c r="K18" s="311" t="str">
        <x:v>Shoulders</x:v>
      </x:c>
      <x:c r="L18" s="311" t="str">
        <x:v>Relaxed breathing</x:v>
      </x:c>
      <x:c r="M18" s="311"/>
      <x:c r="N18" s="311" t="n">
        <x:v>2</x:v>
      </x:c>
      <x:c r="O18" s="311" t="n">
        <x:v>20</x:v>
      </x:c>
      <x:c r="P18" s="311" t="n">
        <x:v>40</x:v>
      </x:c>
      <x:c r="Q18" s="311"/>
      <x:c r="R18" s="311" t="n">
        <x:v>30</x:v>
      </x:c>
      <x:c r="S18" s="311" t="str">
        <x:v>Hold</x:v>
      </x:c>
      <x:c r="T18" s="330" t="n">
        <x:v>1</x:v>
      </x:c>
      <x:c r="U18" s="330" t="n">
        <x:v>0</x:v>
      </x:c>
      <x:c r="V18" s="331" t="str">
        <x:v>seconds</x:v>
      </x:c>
      <x:c r="W18" s="332" t="str">
        <x:f>'Readiness'!K7</x:f>
      </x:c>
      <x:c r="X18" s="314" t="n">
        <x:f>'Readiness'!L7</x:f>
        <x:v>1</x:v>
      </x:c>
      <x:c r="Y18" s="315" t="n">
        <x:f>IF(J18="Mobility",N18,MAX(1,ROUND(N18*X18,0)))</x:f>
        <x:v>2</x:v>
      </x:c>
      <x:c r="Z18" s="333" t="n">
        <x:f>0</x:f>
        <x:v>0</x:v>
      </x:c>
      <x:c r="AA18" s="334"/>
      <x:c r="AB18" s="334"/>
      <x:c r="AC18" s="334"/>
      <x:c r="AD18" s="334"/>
      <x:c r="AE18" s="334"/>
      <x:c r="AF18" s="334"/>
      <x:c r="AG18" s="334"/>
      <x:c r="AH18" s="334"/>
      <x:c r="AI18" s="334"/>
      <x:c r="AJ18" s="312"/>
      <x:c r="AK18" s="312"/>
      <x:c r="AL18" s="312"/>
      <x:c r="AM18" s="312"/>
      <x:c r="AN18" s="312"/>
      <x:c r="AO18" s="315" t="n">
        <x:f>COUNT(AB18,AD18,AF18,AH18,AJ18)</x:f>
        <x:v>0</x:v>
      </x:c>
      <x:c r="AP18" s="315" t="n">
        <x:f>SUM(AB18,AD18,AF18,AH18,AJ18)</x:f>
        <x:v>0</x:v>
      </x:c>
      <x:c r="AQ18" s="333" t="n">
        <x:f>AA18*AB18+AC18*AD18+AE18*AF18+AG18*AH18+AI18*AJ18</x:f>
        <x:v>0</x:v>
      </x:c>
      <x:c r="AR18" s="333" t="n">
        <x:f>IF(OR(J18="Strength",J18="Hypertrophy"),MAX(IF(AB18&gt;0,AA18*(1+AB18/30),0),IF(AD18&gt;0,AC18*(1+AD18/30),0),IF(AF18&gt;0,AE18*(1+AF18/30),0),IF(AH18&gt;0,AG18*(1+AH18/30),0),IF(AJ18&gt;0,AI18*(1+AJ18/30),0)),0)</x:f>
        <x:v>0</x:v>
      </x:c>
      <x:c r="AS18" s="315" t="str">
        <x:f>IF(AN18&lt;&gt;"Yes","Not logged",IF(AL18&gt;='Setup'!$B$14,"STOP / MODIFY",IF(Z18=0,"Complete",IF(OR(AO18=0,AK18=""),"Add set data + RIR",IF(AND(MAX(AB18,AD18,AF18,AH18,AJ18)&gt;=P18,AK18&gt;=Q18+1),"Progress",IF(OR(MAX(AB18,AD18,AF18,AH18,AJ18)&lt;O18,AK18&lt;Q18-1),"Regress","Hold"))))))</x:f>
        <x:v>Not logged</x:v>
      </x:c>
      <x:c r="AT18" s="335" t="n">
        <x:f>IF(OR(Z18=0,AN18&lt;&gt;"Yes",AO18=0,AK18=""),0,IF(AL18&gt;='Setup'!$B$14,-2*'Setup'!$B$11,IF(AND(MAX(AB18,AD18,AF18,AH18,AJ18)&gt;=P18,AK18&gt;=Q18+1),'Setup'!$B$10,IF(OR(MAX(AB18,AD18,AF18,AH18,AJ18)&lt;O18,AK18&lt;Q18-1),-'Setup'!$B$11,0))))</x:f>
        <x:v>0</x:v>
      </x:c>
      <x:c r="AU18" s="333" t="n">
        <x:f>IF(Z18=0,0,IF(AN18&lt;&gt;"Yes",Z18,IF(COUNT(AA18,AC18,AE18,AG18,AI18)=0,Z18,ROUND((MAX(AA18,AC18,AE18,AG18,AI18)*(1+AT18))/'Setup'!$B$9,0)*'Setup'!$B$9)))</x:f>
        <x:v>0</x:v>
      </x:c>
      <x:c r="AV18" s="336"/>
    </x:row>
    <x:row r="19">
      <x:c r="A19" s="310" t="n">
        <x:f>'Setup'!$B$3+(C19-1)*7+(D19-1)</x:f>
        <x:v>46245</x:v>
      </x:c>
      <x:c r="B19" s="311" t="str">
        <x:v>1|2|1</x:v>
      </x:c>
      <x:c r="C19" s="311" t="n">
        <x:v>1</x:v>
      </x:c>
      <x:c r="D19" s="311" t="n">
        <x:v>2</x:v>
      </x:c>
      <x:c r="E19" s="311" t="str">
        <x:v>Accumulation</x:v>
      </x:c>
      <x:c r="F19" s="311" t="str">
        <x:v>Legs A</x:v>
      </x:c>
      <x:c r="G19" s="311" t="str">
        <x:v>Squat strength + lower-body power</x:v>
      </x:c>
      <x:c r="H19" s="311" t="n">
        <x:v>1</x:v>
      </x:c>
      <x:c r="I19" s="311" t="str">
        <x:v>Pogo Jump</x:v>
      </x:c>
      <x:c r="J19" s="311" t="str">
        <x:v>Power</x:v>
      </x:c>
      <x:c r="K19" s="311" t="str">
        <x:v>Calves</x:v>
      </x:c>
      <x:c r="L19" s="311" t="str">
        <x:v>Stiff, quick contacts</x:v>
      </x:c>
      <x:c r="M19" s="311"/>
      <x:c r="N19" s="311" t="n">
        <x:v>3</x:v>
      </x:c>
      <x:c r="O19" s="311" t="n">
        <x:v>15</x:v>
      </x:c>
      <x:c r="P19" s="311" t="n">
        <x:v>20</x:v>
      </x:c>
      <x:c r="Q19" s="311" t="n">
        <x:v>3</x:v>
      </x:c>
      <x:c r="R19" s="311" t="n">
        <x:v>45</x:v>
      </x:c>
      <x:c r="S19" s="311" t="str">
        <x:v>Explosive</x:v>
      </x:c>
      <x:c r="T19" s="330" t="n">
        <x:v>1</x:v>
      </x:c>
      <x:c r="U19" s="330" t="n">
        <x:v>0</x:v>
      </x:c>
      <x:c r="V19" s="331" t="str">
        <x:v>contacts</x:v>
      </x:c>
      <x:c r="W19" s="332" t="str">
        <x:f>'Readiness'!K8</x:f>
      </x:c>
      <x:c r="X19" s="314" t="n">
        <x:f>'Readiness'!L8</x:f>
        <x:v>1</x:v>
      </x:c>
      <x:c r="Y19" s="315" t="n">
        <x:f>IF(J19="Mobility",N19,MAX(1,ROUND(N19*X19,0)))</x:f>
        <x:v>3</x:v>
      </x:c>
      <x:c r="Z19" s="333" t="n">
        <x:f>0</x:f>
        <x:v>0</x:v>
      </x:c>
      <x:c r="AA19" s="334"/>
      <x:c r="AB19" s="334"/>
      <x:c r="AC19" s="334"/>
      <x:c r="AD19" s="334"/>
      <x:c r="AE19" s="334"/>
      <x:c r="AF19" s="334"/>
      <x:c r="AG19" s="334"/>
      <x:c r="AH19" s="334"/>
      <x:c r="AI19" s="334"/>
      <x:c r="AJ19" s="312"/>
      <x:c r="AK19" s="312"/>
      <x:c r="AL19" s="312"/>
      <x:c r="AM19" s="312"/>
      <x:c r="AN19" s="312"/>
      <x:c r="AO19" s="315" t="n">
        <x:f>COUNT(AB19,AD19,AF19,AH19,AJ19)</x:f>
        <x:v>0</x:v>
      </x:c>
      <x:c r="AP19" s="315" t="n">
        <x:f>SUM(AB19,AD19,AF19,AH19,AJ19)</x:f>
        <x:v>0</x:v>
      </x:c>
      <x:c r="AQ19" s="333" t="n">
        <x:f>AA19*AB19+AC19*AD19+AE19*AF19+AG19*AH19+AI19*AJ19</x:f>
        <x:v>0</x:v>
      </x:c>
      <x:c r="AR19" s="333" t="n">
        <x:f>IF(OR(J19="Strength",J19="Hypertrophy"),MAX(IF(AB19&gt;0,AA19*(1+AB19/30),0),IF(AD19&gt;0,AC19*(1+AD19/30),0),IF(AF19&gt;0,AE19*(1+AF19/30),0),IF(AH19&gt;0,AG19*(1+AH19/30),0),IF(AJ19&gt;0,AI19*(1+AJ19/30),0)),0)</x:f>
        <x:v>0</x:v>
      </x:c>
      <x:c r="AS19" s="315" t="str">
        <x:f>IF(AN19&lt;&gt;"Yes","Not logged",IF(AL19&gt;='Setup'!$B$14,"STOP / MODIFY",IF(Z19=0,"Complete",IF(OR(AO19=0,AK19=""),"Add set data + RIR",IF(AND(MAX(AB19,AD19,AF19,AH19,AJ19)&gt;=P19,AK19&gt;=Q19+1),"Progress",IF(OR(MAX(AB19,AD19,AF19,AH19,AJ19)&lt;O19,AK19&lt;Q19-1),"Regress","Hold"))))))</x:f>
        <x:v>Not logged</x:v>
      </x:c>
      <x:c r="AT19" s="335" t="n">
        <x:f>IF(OR(Z19=0,AN19&lt;&gt;"Yes",AO19=0,AK19=""),0,IF(AL19&gt;='Setup'!$B$14,-2*'Setup'!$B$11,IF(AND(MAX(AB19,AD19,AF19,AH19,AJ19)&gt;=P19,AK19&gt;=Q19+1),'Setup'!$B$10,IF(OR(MAX(AB19,AD19,AF19,AH19,AJ19)&lt;O19,AK19&lt;Q19-1),-'Setup'!$B$11,0))))</x:f>
        <x:v>0</x:v>
      </x:c>
      <x:c r="AU19" s="333" t="n">
        <x:f>IF(Z19=0,0,IF(AN19&lt;&gt;"Yes",Z19,IF(COUNT(AA19,AC19,AE19,AG19,AI19)=0,Z19,ROUND((MAX(AA19,AC19,AE19,AG19,AI19)*(1+AT19))/'Setup'!$B$9,0)*'Setup'!$B$9)))</x:f>
        <x:v>0</x:v>
      </x:c>
      <x:c r="AV19" s="336"/>
    </x:row>
    <x:row r="20">
      <x:c r="A20" s="310" t="n">
        <x:f>'Setup'!$B$3+(C20-1)*7+(D20-1)</x:f>
        <x:v>46245</x:v>
      </x:c>
      <x:c r="B20" s="311" t="str">
        <x:v>1|2|2</x:v>
      </x:c>
      <x:c r="C20" s="311" t="n">
        <x:v>1</x:v>
      </x:c>
      <x:c r="D20" s="311" t="n">
        <x:v>2</x:v>
      </x:c>
      <x:c r="E20" s="311" t="str">
        <x:v>Accumulation</x:v>
      </x:c>
      <x:c r="F20" s="311" t="str">
        <x:v>Legs A</x:v>
      </x:c>
      <x:c r="G20" s="311" t="str">
        <x:v>Squat strength + lower-body power</x:v>
      </x:c>
      <x:c r="H20" s="311" t="n">
        <x:v>2</x:v>
      </x:c>
      <x:c r="I20" s="311" t="str">
        <x:v>Box Jump</x:v>
      </x:c>
      <x:c r="J20" s="311" t="str">
        <x:v>Power</x:v>
      </x:c>
      <x:c r="K20" s="311" t="str">
        <x:v>Quads</x:v>
      </x:c>
      <x:c r="L20" s="311" t="str">
        <x:v>Full reset, stop if height drops</x:v>
      </x:c>
      <x:c r="M20" s="311"/>
      <x:c r="N20" s="311" t="n">
        <x:v>4</x:v>
      </x:c>
      <x:c r="O20" s="311" t="n">
        <x:v>3</x:v>
      </x:c>
      <x:c r="P20" s="311" t="n">
        <x:v>3</x:v>
      </x:c>
      <x:c r="Q20" s="311" t="n">
        <x:v>3</x:v>
      </x:c>
      <x:c r="R20" s="311" t="n">
        <x:v>75</x:v>
      </x:c>
      <x:c r="S20" s="311" t="str">
        <x:v>Explosive</x:v>
      </x:c>
      <x:c r="T20" s="330" t="n">
        <x:v>1</x:v>
      </x:c>
      <x:c r="U20" s="330" t="n">
        <x:v>0</x:v>
      </x:c>
      <x:c r="V20" s="331" t="str">
        <x:v>height</x:v>
      </x:c>
      <x:c r="W20" s="332" t="str">
        <x:f>'Readiness'!K8</x:f>
      </x:c>
      <x:c r="X20" s="314" t="n">
        <x:f>'Readiness'!L8</x:f>
        <x:v>1</x:v>
      </x:c>
      <x:c r="Y20" s="315" t="n">
        <x:f>IF(J20="Mobility",N20,MAX(1,ROUND(N20*X20,0)))</x:f>
        <x:v>4</x:v>
      </x:c>
      <x:c r="Z20" s="333" t="n">
        <x:f>0</x:f>
        <x:v>0</x:v>
      </x:c>
      <x:c r="AA20" s="334"/>
      <x:c r="AB20" s="334"/>
      <x:c r="AC20" s="334"/>
      <x:c r="AD20" s="334"/>
      <x:c r="AE20" s="334"/>
      <x:c r="AF20" s="334"/>
      <x:c r="AG20" s="334"/>
      <x:c r="AH20" s="334"/>
      <x:c r="AI20" s="334"/>
      <x:c r="AJ20" s="312"/>
      <x:c r="AK20" s="312"/>
      <x:c r="AL20" s="312"/>
      <x:c r="AM20" s="312"/>
      <x:c r="AN20" s="312"/>
      <x:c r="AO20" s="315" t="n">
        <x:f>COUNT(AB20,AD20,AF20,AH20,AJ20)</x:f>
        <x:v>0</x:v>
      </x:c>
      <x:c r="AP20" s="315" t="n">
        <x:f>SUM(AB20,AD20,AF20,AH20,AJ20)</x:f>
        <x:v>0</x:v>
      </x:c>
      <x:c r="AQ20" s="333" t="n">
        <x:f>AA20*AB20+AC20*AD20+AE20*AF20+AG20*AH20+AI20*AJ20</x:f>
        <x:v>0</x:v>
      </x:c>
      <x:c r="AR20" s="333" t="n">
        <x:f>IF(OR(J20="Strength",J20="Hypertrophy"),MAX(IF(AB20&gt;0,AA20*(1+AB20/30),0),IF(AD20&gt;0,AC20*(1+AD20/30),0),IF(AF20&gt;0,AE20*(1+AF20/30),0),IF(AH20&gt;0,AG20*(1+AH20/30),0),IF(AJ20&gt;0,AI20*(1+AJ20/30),0)),0)</x:f>
        <x:v>0</x:v>
      </x:c>
      <x:c r="AS20" s="315" t="str">
        <x:f>IF(AN20&lt;&gt;"Yes","Not logged",IF(AL20&gt;='Setup'!$B$14,"STOP / MODIFY",IF(Z20=0,"Complete",IF(OR(AO20=0,AK20=""),"Add set data + RIR",IF(AND(MAX(AB20,AD20,AF20,AH20,AJ20)&gt;=P20,AK20&gt;=Q20+1),"Progress",IF(OR(MAX(AB20,AD20,AF20,AH20,AJ20)&lt;O20,AK20&lt;Q20-1),"Regress","Hold"))))))</x:f>
        <x:v>Not logged</x:v>
      </x:c>
      <x:c r="AT20" s="335" t="n">
        <x:f>IF(OR(Z20=0,AN20&lt;&gt;"Yes",AO20=0,AK20=""),0,IF(AL20&gt;='Setup'!$B$14,-2*'Setup'!$B$11,IF(AND(MAX(AB20,AD20,AF20,AH20,AJ20)&gt;=P20,AK20&gt;=Q20+1),'Setup'!$B$10,IF(OR(MAX(AB20,AD20,AF20,AH20,AJ20)&lt;O20,AK20&lt;Q20-1),-'Setup'!$B$11,0))))</x:f>
        <x:v>0</x:v>
      </x:c>
      <x:c r="AU20" s="333" t="n">
        <x:f>IF(Z20=0,0,IF(AN20&lt;&gt;"Yes",Z20,IF(COUNT(AA20,AC20,AE20,AG20,AI20)=0,Z20,ROUND((MAX(AA20,AC20,AE20,AG20,AI20)*(1+AT20))/'Setup'!$B$9,0)*'Setup'!$B$9)))</x:f>
        <x:v>0</x:v>
      </x:c>
      <x:c r="AV20" s="336"/>
    </x:row>
    <x:row r="21">
      <x:c r="A21" s="310" t="n">
        <x:f>'Setup'!$B$3+(C21-1)*7+(D21-1)</x:f>
        <x:v>46245</x:v>
      </x:c>
      <x:c r="B21" s="311" t="str">
        <x:v>1|2|3</x:v>
      </x:c>
      <x:c r="C21" s="311" t="n">
        <x:v>1</x:v>
      </x:c>
      <x:c r="D21" s="311" t="n">
        <x:v>2</x:v>
      </x:c>
      <x:c r="E21" s="311" t="str">
        <x:v>Accumulation</x:v>
      </x:c>
      <x:c r="F21" s="311" t="str">
        <x:v>Legs A</x:v>
      </x:c>
      <x:c r="G21" s="311" t="str">
        <x:v>Squat strength + lower-body power</x:v>
      </x:c>
      <x:c r="H21" s="311" t="n">
        <x:v>3</x:v>
      </x:c>
      <x:c r="I21" s="311" t="str">
        <x:v>Back Squat</x:v>
      </x:c>
      <x:c r="J21" s="311" t="str">
        <x:v>Strength</x:v>
      </x:c>
      <x:c r="K21" s="311" t="str">
        <x:v>Quads</x:v>
      </x:c>
      <x:c r="L21" s="311" t="str">
        <x:v>Top set + back-offs</x:v>
      </x:c>
      <x:c r="M21" s="311"/>
      <x:c r="N21" s="311" t="n">
        <x:v>4</x:v>
      </x:c>
      <x:c r="O21" s="311" t="n">
        <x:v>5</x:v>
      </x:c>
      <x:c r="P21" s="311" t="n">
        <x:v>7</x:v>
      </x:c>
      <x:c r="Q21" s="311" t="n">
        <x:v>3</x:v>
      </x:c>
      <x:c r="R21" s="311" t="n">
        <x:v>180</x:v>
      </x:c>
      <x:c r="S21" s="311" t="str">
        <x:v>3-1-X</x:v>
      </x:c>
      <x:c r="T21" s="330" t="n">
        <x:v>1</x:v>
      </x:c>
      <x:c r="U21" s="330" t="n">
        <x:v>0.7</x:v>
      </x:c>
      <x:c r="V21" s="331" t="str">
        <x:v>load × reps</x:v>
      </x:c>
      <x:c r="W21" s="332" t="str">
        <x:f>'Readiness'!K8</x:f>
      </x:c>
      <x:c r="X21" s="314" t="n">
        <x:f>'Readiness'!L8</x:f>
        <x:v>1</x:v>
      </x:c>
      <x:c r="Y21" s="315" t="n">
        <x:f>IF(J21="Mobility",N21,MAX(1,ROUND(N21*X21,0)))</x:f>
        <x:v>4</x:v>
      </x:c>
      <x:c r="Z21" s="333" t="n">
        <x:f>IF('Setup'!$D$23&gt;0,'Setup'!$D$23,IF('Setup'!$B$6&gt;0,ROUND(('Setup'!$B$6*U21)/'Setup'!$B$9,0)*'Setup'!$B$9,0))</x:f>
        <x:v>0</x:v>
      </x:c>
      <x:c r="AA21" s="334"/>
      <x:c r="AB21" s="334"/>
      <x:c r="AC21" s="334"/>
      <x:c r="AD21" s="334"/>
      <x:c r="AE21" s="334"/>
      <x:c r="AF21" s="334"/>
      <x:c r="AG21" s="334"/>
      <x:c r="AH21" s="334"/>
      <x:c r="AI21" s="334"/>
      <x:c r="AJ21" s="312"/>
      <x:c r="AK21" s="312"/>
      <x:c r="AL21" s="312"/>
      <x:c r="AM21" s="312"/>
      <x:c r="AN21" s="312"/>
      <x:c r="AO21" s="315" t="n">
        <x:f>COUNT(AB21,AD21,AF21,AH21,AJ21)</x:f>
        <x:v>0</x:v>
      </x:c>
      <x:c r="AP21" s="315" t="n">
        <x:f>SUM(AB21,AD21,AF21,AH21,AJ21)</x:f>
        <x:v>0</x:v>
      </x:c>
      <x:c r="AQ21" s="333" t="n">
        <x:f>AA21*AB21+AC21*AD21+AE21*AF21+AG21*AH21+AI21*AJ21</x:f>
        <x:v>0</x:v>
      </x:c>
      <x:c r="AR21" s="333" t="n">
        <x:f>IF(OR(J21="Strength",J21="Hypertrophy"),MAX(IF(AB21&gt;0,AA21*(1+AB21/30),0),IF(AD21&gt;0,AC21*(1+AD21/30),0),IF(AF21&gt;0,AE21*(1+AF21/30),0),IF(AH21&gt;0,AG21*(1+AH21/30),0),IF(AJ21&gt;0,AI21*(1+AJ21/30),0)),0)</x:f>
        <x:v>0</x:v>
      </x:c>
      <x:c r="AS21" s="315" t="str">
        <x:f>IF(AN21&lt;&gt;"Yes","Not logged",IF(AL21&gt;='Setup'!$B$14,"STOP / MODIFY",IF(Z21=0,"Complete",IF(OR(AO21=0,AK21=""),"Add set data + RIR",IF(AND(MAX(AB21,AD21,AF21,AH21,AJ21)&gt;=P21,AK21&gt;=Q21+1),"Progress",IF(OR(MAX(AB21,AD21,AF21,AH21,AJ21)&lt;O21,AK21&lt;Q21-1),"Regress","Hold"))))))</x:f>
        <x:v>Not logged</x:v>
      </x:c>
      <x:c r="AT21" s="335" t="n">
        <x:f>IF(OR(Z21=0,AN21&lt;&gt;"Yes",AO21=0,AK21=""),0,IF(AL21&gt;='Setup'!$B$14,-2*'Setup'!$B$11,IF(AND(MAX(AB21,AD21,AF21,AH21,AJ21)&gt;=P21,AK21&gt;=Q21+1),'Setup'!$B$10,IF(OR(MAX(AB21,AD21,AF21,AH21,AJ21)&lt;O21,AK21&lt;Q21-1),-'Setup'!$B$11,0))))</x:f>
        <x:v>0</x:v>
      </x:c>
      <x:c r="AU21" s="333" t="n">
        <x:f>IF(Z21=0,0,IF(AN21&lt;&gt;"Yes",Z21,IF(COUNT(AA21,AC21,AE21,AG21,AI21)=0,Z21,ROUND((MAX(AA21,AC21,AE21,AG21,AI21)*(1+AT21))/'Setup'!$B$9,0)*'Setup'!$B$9)))</x:f>
        <x:v>0</x:v>
      </x:c>
      <x:c r="AV21" s="336"/>
    </x:row>
    <x:row r="22">
      <x:c r="A22" s="310" t="n">
        <x:f>'Setup'!$B$3+(C22-1)*7+(D22-1)</x:f>
        <x:v>46245</x:v>
      </x:c>
      <x:c r="B22" s="311" t="str">
        <x:v>1|2|4</x:v>
      </x:c>
      <x:c r="C22" s="311" t="n">
        <x:v>1</x:v>
      </x:c>
      <x:c r="D22" s="311" t="n">
        <x:v>2</x:v>
      </x:c>
      <x:c r="E22" s="311" t="str">
        <x:v>Accumulation</x:v>
      </x:c>
      <x:c r="F22" s="311" t="str">
        <x:v>Legs A</x:v>
      </x:c>
      <x:c r="G22" s="311" t="str">
        <x:v>Squat strength + lower-body power</x:v>
      </x:c>
      <x:c r="H22" s="311" t="n">
        <x:v>4</x:v>
      </x:c>
      <x:c r="I22" s="311" t="str">
        <x:v>Romanian Deadlift</x:v>
      </x:c>
      <x:c r="J22" s="311" t="str">
        <x:v>Strength</x:v>
      </x:c>
      <x:c r="K22" s="311" t="str">
        <x:v>Hamstrings</x:v>
      </x:c>
      <x:c r="L22" s="311" t="str">
        <x:v>Straight sets</x:v>
      </x:c>
      <x:c r="M22" s="311"/>
      <x:c r="N22" s="311" t="n">
        <x:v>3</x:v>
      </x:c>
      <x:c r="O22" s="311" t="n">
        <x:v>6</x:v>
      </x:c>
      <x:c r="P22" s="311" t="n">
        <x:v>8</x:v>
      </x:c>
      <x:c r="Q22" s="311" t="n">
        <x:v>3</x:v>
      </x:c>
      <x:c r="R22" s="311" t="n">
        <x:v>150</x:v>
      </x:c>
      <x:c r="S22" s="311" t="str">
        <x:v>3-1-1</x:v>
      </x:c>
      <x:c r="T22" s="330" t="n">
        <x:v>1</x:v>
      </x:c>
      <x:c r="U22" s="330" t="n">
        <x:v>0.55</x:v>
      </x:c>
      <x:c r="V22" s="331" t="str">
        <x:v>load × reps</x:v>
      </x:c>
      <x:c r="W22" s="332" t="str">
        <x:f>'Readiness'!K8</x:f>
      </x:c>
      <x:c r="X22" s="314" t="n">
        <x:f>'Readiness'!L8</x:f>
        <x:v>1</x:v>
      </x:c>
      <x:c r="Y22" s="315" t="n">
        <x:f>IF(J22="Mobility",N22,MAX(1,ROUND(N22*X22,0)))</x:f>
        <x:v>3</x:v>
      </x:c>
      <x:c r="Z22" s="333" t="n">
        <x:f>IF('Setup'!$D$79&gt;0,'Setup'!$D$79,IF('Setup'!$B$7&gt;0,ROUND(('Setup'!$B$7*U22)/'Setup'!$B$9,0)*'Setup'!$B$9,0))</x:f>
        <x:v>0</x:v>
      </x:c>
      <x:c r="AA22" s="334"/>
      <x:c r="AB22" s="334"/>
      <x:c r="AC22" s="334"/>
      <x:c r="AD22" s="334"/>
      <x:c r="AE22" s="334"/>
      <x:c r="AF22" s="334"/>
      <x:c r="AG22" s="334"/>
      <x:c r="AH22" s="334"/>
      <x:c r="AI22" s="334"/>
      <x:c r="AJ22" s="312"/>
      <x:c r="AK22" s="312"/>
      <x:c r="AL22" s="312"/>
      <x:c r="AM22" s="312"/>
      <x:c r="AN22" s="312"/>
      <x:c r="AO22" s="315" t="n">
        <x:f>COUNT(AB22,AD22,AF22,AH22,AJ22)</x:f>
        <x:v>0</x:v>
      </x:c>
      <x:c r="AP22" s="315" t="n">
        <x:f>SUM(AB22,AD22,AF22,AH22,AJ22)</x:f>
        <x:v>0</x:v>
      </x:c>
      <x:c r="AQ22" s="333" t="n">
        <x:f>AA22*AB22+AC22*AD22+AE22*AF22+AG22*AH22+AI22*AJ22</x:f>
        <x:v>0</x:v>
      </x:c>
      <x:c r="AR22" s="333" t="n">
        <x:f>IF(OR(J22="Strength",J22="Hypertrophy"),MAX(IF(AB22&gt;0,AA22*(1+AB22/30),0),IF(AD22&gt;0,AC22*(1+AD22/30),0),IF(AF22&gt;0,AE22*(1+AF22/30),0),IF(AH22&gt;0,AG22*(1+AH22/30),0),IF(AJ22&gt;0,AI22*(1+AJ22/30),0)),0)</x:f>
        <x:v>0</x:v>
      </x:c>
      <x:c r="AS22" s="315" t="str">
        <x:f>IF(AN22&lt;&gt;"Yes","Not logged",IF(AL22&gt;='Setup'!$B$14,"STOP / MODIFY",IF(Z22=0,"Complete",IF(OR(AO22=0,AK22=""),"Add set data + RIR",IF(AND(MAX(AB22,AD22,AF22,AH22,AJ22)&gt;=P22,AK22&gt;=Q22+1),"Progress",IF(OR(MAX(AB22,AD22,AF22,AH22,AJ22)&lt;O22,AK22&lt;Q22-1),"Regress","Hold"))))))</x:f>
        <x:v>Not logged</x:v>
      </x:c>
      <x:c r="AT22" s="335" t="n">
        <x:f>IF(OR(Z22=0,AN22&lt;&gt;"Yes",AO22=0,AK22=""),0,IF(AL22&gt;='Setup'!$B$14,-2*'Setup'!$B$11,IF(AND(MAX(AB22,AD22,AF22,AH22,AJ22)&gt;=P22,AK22&gt;=Q22+1),'Setup'!$B$10,IF(OR(MAX(AB22,AD22,AF22,AH22,AJ22)&lt;O22,AK22&lt;Q22-1),-'Setup'!$B$11,0))))</x:f>
        <x:v>0</x:v>
      </x:c>
      <x:c r="AU22" s="333" t="n">
        <x:f>IF(Z22=0,0,IF(AN22&lt;&gt;"Yes",Z22,IF(COUNT(AA22,AC22,AE22,AG22,AI22)=0,Z22,ROUND((MAX(AA22,AC22,AE22,AG22,AI22)*(1+AT22))/'Setup'!$B$9,0)*'Setup'!$B$9)))</x:f>
        <x:v>0</x:v>
      </x:c>
      <x:c r="AV22" s="336"/>
    </x:row>
    <x:row r="23">
      <x:c r="A23" s="310" t="n">
        <x:f>'Setup'!$B$3+(C23-1)*7+(D23-1)</x:f>
        <x:v>46245</x:v>
      </x:c>
      <x:c r="B23" s="311" t="str">
        <x:v>1|2|5</x:v>
      </x:c>
      <x:c r="C23" s="311" t="n">
        <x:v>1</x:v>
      </x:c>
      <x:c r="D23" s="311" t="n">
        <x:v>2</x:v>
      </x:c>
      <x:c r="E23" s="311" t="str">
        <x:v>Accumulation</x:v>
      </x:c>
      <x:c r="F23" s="311" t="str">
        <x:v>Legs A</x:v>
      </x:c>
      <x:c r="G23" s="311" t="str">
        <x:v>Squat strength + lower-body power</x:v>
      </x:c>
      <x:c r="H23" s="311" t="n">
        <x:v>5</x:v>
      </x:c>
      <x:c r="I23" s="311" t="str">
        <x:v>Bulgarian Split Squat</x:v>
      </x:c>
      <x:c r="J23" s="311" t="str">
        <x:v>Hypertrophy</x:v>
      </x:c>
      <x:c r="K23" s="311" t="str">
        <x:v>Quads</x:v>
      </x:c>
      <x:c r="L23" s="311" t="str">
        <x:v>Straight sets</x:v>
      </x:c>
      <x:c r="M23" s="311"/>
      <x:c r="N23" s="311" t="n">
        <x:v>3</x:v>
      </x:c>
      <x:c r="O23" s="311" t="n">
        <x:v>8</x:v>
      </x:c>
      <x:c r="P23" s="311" t="n">
        <x:v>10</x:v>
      </x:c>
      <x:c r="Q23" s="311" t="n">
        <x:v>3</x:v>
      </x:c>
      <x:c r="R23" s="311" t="n">
        <x:v>90</x:v>
      </x:c>
      <x:c r="S23" s="311" t="str">
        <x:v>3-0-1</x:v>
      </x:c>
      <x:c r="T23" s="330" t="n">
        <x:v>1</x:v>
      </x:c>
      <x:c r="U23" s="330" t="n">
        <x:v>0</x:v>
      </x:c>
      <x:c r="V23" s="331" t="str">
        <x:v>load × reps</x:v>
      </x:c>
      <x:c r="W23" s="332" t="str">
        <x:f>'Readiness'!K8</x:f>
      </x:c>
      <x:c r="X23" s="314" t="n">
        <x:f>'Readiness'!L8</x:f>
        <x:v>1</x:v>
      </x:c>
      <x:c r="Y23" s="315" t="n">
        <x:f>IF(J23="Mobility",N23,MAX(1,ROUND(N23*X23,0)))</x:f>
        <x:v>3</x:v>
      </x:c>
      <x:c r="Z23" s="333" t="n">
        <x:f>IF('Setup'!$D$30&gt;0,'Setup'!$D$30,0)</x:f>
        <x:v>0</x:v>
      </x:c>
      <x:c r="AA23" s="334"/>
      <x:c r="AB23" s="334"/>
      <x:c r="AC23" s="334"/>
      <x:c r="AD23" s="334"/>
      <x:c r="AE23" s="334"/>
      <x:c r="AF23" s="334"/>
      <x:c r="AG23" s="334"/>
      <x:c r="AH23" s="334"/>
      <x:c r="AI23" s="334"/>
      <x:c r="AJ23" s="312"/>
      <x:c r="AK23" s="312"/>
      <x:c r="AL23" s="312"/>
      <x:c r="AM23" s="312"/>
      <x:c r="AN23" s="312"/>
      <x:c r="AO23" s="315" t="n">
        <x:f>COUNT(AB23,AD23,AF23,AH23,AJ23)</x:f>
        <x:v>0</x:v>
      </x:c>
      <x:c r="AP23" s="315" t="n">
        <x:f>SUM(AB23,AD23,AF23,AH23,AJ23)</x:f>
        <x:v>0</x:v>
      </x:c>
      <x:c r="AQ23" s="333" t="n">
        <x:f>AA23*AB23+AC23*AD23+AE23*AF23+AG23*AH23+AI23*AJ23</x:f>
        <x:v>0</x:v>
      </x:c>
      <x:c r="AR23" s="333" t="n">
        <x:f>IF(OR(J23="Strength",J23="Hypertrophy"),MAX(IF(AB23&gt;0,AA23*(1+AB23/30),0),IF(AD23&gt;0,AC23*(1+AD23/30),0),IF(AF23&gt;0,AE23*(1+AF23/30),0),IF(AH23&gt;0,AG23*(1+AH23/30),0),IF(AJ23&gt;0,AI23*(1+AJ23/30),0)),0)</x:f>
        <x:v>0</x:v>
      </x:c>
      <x:c r="AS23" s="315" t="str">
        <x:f>IF(AN23&lt;&gt;"Yes","Not logged",IF(AL23&gt;='Setup'!$B$14,"STOP / MODIFY",IF(Z23=0,"Complete",IF(OR(AO23=0,AK23=""),"Add set data + RIR",IF(AND(MAX(AB23,AD23,AF23,AH23,AJ23)&gt;=P23,AK23&gt;=Q23+1),"Progress",IF(OR(MAX(AB23,AD23,AF23,AH23,AJ23)&lt;O23,AK23&lt;Q23-1),"Regress","Hold"))))))</x:f>
        <x:v>Not logged</x:v>
      </x:c>
      <x:c r="AT23" s="335" t="n">
        <x:f>IF(OR(Z23=0,AN23&lt;&gt;"Yes",AO23=0,AK23=""),0,IF(AL23&gt;='Setup'!$B$14,-2*'Setup'!$B$11,IF(AND(MAX(AB23,AD23,AF23,AH23,AJ23)&gt;=P23,AK23&gt;=Q23+1),'Setup'!$B$10,IF(OR(MAX(AB23,AD23,AF23,AH23,AJ23)&lt;O23,AK23&lt;Q23-1),-'Setup'!$B$11,0))))</x:f>
        <x:v>0</x:v>
      </x:c>
      <x:c r="AU23" s="333" t="n">
        <x:f>IF(Z23=0,0,IF(AN23&lt;&gt;"Yes",Z23,IF(COUNT(AA23,AC23,AE23,AG23,AI23)=0,Z23,ROUND((MAX(AA23,AC23,AE23,AG23,AI23)*(1+AT23))/'Setup'!$B$9,0)*'Setup'!$B$9)))</x:f>
        <x:v>0</x:v>
      </x:c>
      <x:c r="AV23" s="336"/>
    </x:row>
    <x:row r="24">
      <x:c r="A24" s="310" t="n">
        <x:f>'Setup'!$B$3+(C24-1)*7+(D24-1)</x:f>
        <x:v>46245</x:v>
      </x:c>
      <x:c r="B24" s="311" t="str">
        <x:v>1|2|6</x:v>
      </x:c>
      <x:c r="C24" s="311" t="n">
        <x:v>1</x:v>
      </x:c>
      <x:c r="D24" s="311" t="n">
        <x:v>2</x:v>
      </x:c>
      <x:c r="E24" s="311" t="str">
        <x:v>Accumulation</x:v>
      </x:c>
      <x:c r="F24" s="311" t="str">
        <x:v>Legs A</x:v>
      </x:c>
      <x:c r="G24" s="311" t="str">
        <x:v>Squat strength + lower-body power</x:v>
      </x:c>
      <x:c r="H24" s="311" t="n">
        <x:v>6</x:v>
      </x:c>
      <x:c r="I24" s="311" t="str">
        <x:v>Lying Leg Curl</x:v>
      </x:c>
      <x:c r="J24" s="311" t="str">
        <x:v>Hypertrophy</x:v>
      </x:c>
      <x:c r="K24" s="311" t="str">
        <x:v>Hamstrings</x:v>
      </x:c>
      <x:c r="L24" s="311" t="str">
        <x:v>Straight sets</x:v>
      </x:c>
      <x:c r="M24" s="311"/>
      <x:c r="N24" s="311" t="n">
        <x:v>3</x:v>
      </x:c>
      <x:c r="O24" s="311" t="n">
        <x:v>10</x:v>
      </x:c>
      <x:c r="P24" s="311" t="n">
        <x:v>15</x:v>
      </x:c>
      <x:c r="Q24" s="311" t="n">
        <x:v>3</x:v>
      </x:c>
      <x:c r="R24" s="311" t="n">
        <x:v>60</x:v>
      </x:c>
      <x:c r="S24" s="311" t="str">
        <x:v>2-1-2</x:v>
      </x:c>
      <x:c r="T24" s="330" t="n">
        <x:v>1</x:v>
      </x:c>
      <x:c r="U24" s="330" t="n">
        <x:v>0</x:v>
      </x:c>
      <x:c r="V24" s="331" t="str">
        <x:v>load × reps</x:v>
      </x:c>
      <x:c r="W24" s="332" t="str">
        <x:f>'Readiness'!K8</x:f>
      </x:c>
      <x:c r="X24" s="314" t="n">
        <x:f>'Readiness'!L8</x:f>
        <x:v>1</x:v>
      </x:c>
      <x:c r="Y24" s="315" t="n">
        <x:f>IF(J24="Mobility",N24,MAX(1,ROUND(N24*X24,0)))</x:f>
        <x:v>3</x:v>
      </x:c>
      <x:c r="Z24" s="333" t="n">
        <x:f>IF('Setup'!$D$59&gt;0,'Setup'!$D$59,0)</x:f>
        <x:v>0</x:v>
      </x:c>
      <x:c r="AA24" s="334"/>
      <x:c r="AB24" s="334"/>
      <x:c r="AC24" s="334"/>
      <x:c r="AD24" s="334"/>
      <x:c r="AE24" s="334"/>
      <x:c r="AF24" s="334"/>
      <x:c r="AG24" s="334"/>
      <x:c r="AH24" s="334"/>
      <x:c r="AI24" s="334"/>
      <x:c r="AJ24" s="312"/>
      <x:c r="AK24" s="312"/>
      <x:c r="AL24" s="312"/>
      <x:c r="AM24" s="312"/>
      <x:c r="AN24" s="312"/>
      <x:c r="AO24" s="315" t="n">
        <x:f>COUNT(AB24,AD24,AF24,AH24,AJ24)</x:f>
        <x:v>0</x:v>
      </x:c>
      <x:c r="AP24" s="315" t="n">
        <x:f>SUM(AB24,AD24,AF24,AH24,AJ24)</x:f>
        <x:v>0</x:v>
      </x:c>
      <x:c r="AQ24" s="333" t="n">
        <x:f>AA24*AB24+AC24*AD24+AE24*AF24+AG24*AH24+AI24*AJ24</x:f>
        <x:v>0</x:v>
      </x:c>
      <x:c r="AR24" s="333" t="n">
        <x:f>IF(OR(J24="Strength",J24="Hypertrophy"),MAX(IF(AB24&gt;0,AA24*(1+AB24/30),0),IF(AD24&gt;0,AC24*(1+AD24/30),0),IF(AF24&gt;0,AE24*(1+AF24/30),0),IF(AH24&gt;0,AG24*(1+AH24/30),0),IF(AJ24&gt;0,AI24*(1+AJ24/30),0)),0)</x:f>
        <x:v>0</x:v>
      </x:c>
      <x:c r="AS24" s="315" t="str">
        <x:f>IF(AN24&lt;&gt;"Yes","Not logged",IF(AL24&gt;='Setup'!$B$14,"STOP / MODIFY",IF(Z24=0,"Complete",IF(OR(AO24=0,AK24=""),"Add set data + RIR",IF(AND(MAX(AB24,AD24,AF24,AH24,AJ24)&gt;=P24,AK24&gt;=Q24+1),"Progress",IF(OR(MAX(AB24,AD24,AF24,AH24,AJ24)&lt;O24,AK24&lt;Q24-1),"Regress","Hold"))))))</x:f>
        <x:v>Not logged</x:v>
      </x:c>
      <x:c r="AT24" s="335" t="n">
        <x:f>IF(OR(Z24=0,AN24&lt;&gt;"Yes",AO24=0,AK24=""),0,IF(AL24&gt;='Setup'!$B$14,-2*'Setup'!$B$11,IF(AND(MAX(AB24,AD24,AF24,AH24,AJ24)&gt;=P24,AK24&gt;=Q24+1),'Setup'!$B$10,IF(OR(MAX(AB24,AD24,AF24,AH24,AJ24)&lt;O24,AK24&lt;Q24-1),-'Setup'!$B$11,0))))</x:f>
        <x:v>0</x:v>
      </x:c>
      <x:c r="AU24" s="333" t="n">
        <x:f>IF(Z24=0,0,IF(AN24&lt;&gt;"Yes",Z24,IF(COUNT(AA24,AC24,AE24,AG24,AI24)=0,Z24,ROUND((MAX(AA24,AC24,AE24,AG24,AI24)*(1+AT24))/'Setup'!$B$9,0)*'Setup'!$B$9)))</x:f>
        <x:v>0</x:v>
      </x:c>
      <x:c r="AV24" s="336"/>
    </x:row>
    <x:row r="25">
      <x:c r="A25" s="310" t="n">
        <x:f>'Setup'!$B$3+(C25-1)*7+(D25-1)</x:f>
        <x:v>46245</x:v>
      </x:c>
      <x:c r="B25" s="311" t="str">
        <x:v>1|2|7</x:v>
      </x:c>
      <x:c r="C25" s="311" t="n">
        <x:v>1</x:v>
      </x:c>
      <x:c r="D25" s="311" t="n">
        <x:v>2</x:v>
      </x:c>
      <x:c r="E25" s="311" t="str">
        <x:v>Accumulation</x:v>
      </x:c>
      <x:c r="F25" s="311" t="str">
        <x:v>Legs A</x:v>
      </x:c>
      <x:c r="G25" s="311" t="str">
        <x:v>Squat strength + lower-body power</x:v>
      </x:c>
      <x:c r="H25" s="311" t="n">
        <x:v>7</x:v>
      </x:c>
      <x:c r="I25" s="311" t="str">
        <x:v>Standing Calf Raise</x:v>
      </x:c>
      <x:c r="J25" s="311" t="str">
        <x:v>Hypertrophy</x:v>
      </x:c>
      <x:c r="K25" s="311" t="str">
        <x:v>Calves</x:v>
      </x:c>
      <x:c r="L25" s="311" t="str">
        <x:v>Straight sets</x:v>
      </x:c>
      <x:c r="M25" s="311"/>
      <x:c r="N25" s="311" t="n">
        <x:v>3</x:v>
      </x:c>
      <x:c r="O25" s="311" t="n">
        <x:v>10</x:v>
      </x:c>
      <x:c r="P25" s="311" t="n">
        <x:v>15</x:v>
      </x:c>
      <x:c r="Q25" s="311" t="n">
        <x:v>3</x:v>
      </x:c>
      <x:c r="R25" s="311" t="n">
        <x:v>60</x:v>
      </x:c>
      <x:c r="S25" s="311" t="str">
        <x:v>2-2-1</x:v>
      </x:c>
      <x:c r="T25" s="330" t="n">
        <x:v>1</x:v>
      </x:c>
      <x:c r="U25" s="330" t="n">
        <x:v>0</x:v>
      </x:c>
      <x:c r="V25" s="331" t="str">
        <x:v>load × reps</x:v>
      </x:c>
      <x:c r="W25" s="332" t="str">
        <x:f>'Readiness'!K8</x:f>
      </x:c>
      <x:c r="X25" s="314" t="n">
        <x:f>'Readiness'!L8</x:f>
        <x:v>1</x:v>
      </x:c>
      <x:c r="Y25" s="315" t="n">
        <x:f>IF(J25="Mobility",N25,MAX(1,ROUND(N25*X25,0)))</x:f>
        <x:v>3</x:v>
      </x:c>
      <x:c r="Z25" s="333" t="n">
        <x:f>IF('Setup'!$D$90&gt;0,'Setup'!$D$90,0)</x:f>
        <x:v>0</x:v>
      </x:c>
      <x:c r="AA25" s="334"/>
      <x:c r="AB25" s="334"/>
      <x:c r="AC25" s="334"/>
      <x:c r="AD25" s="334"/>
      <x:c r="AE25" s="334"/>
      <x:c r="AF25" s="334"/>
      <x:c r="AG25" s="334"/>
      <x:c r="AH25" s="334"/>
      <x:c r="AI25" s="334"/>
      <x:c r="AJ25" s="312"/>
      <x:c r="AK25" s="312"/>
      <x:c r="AL25" s="312"/>
      <x:c r="AM25" s="312"/>
      <x:c r="AN25" s="312"/>
      <x:c r="AO25" s="315" t="n">
        <x:f>COUNT(AB25,AD25,AF25,AH25,AJ25)</x:f>
        <x:v>0</x:v>
      </x:c>
      <x:c r="AP25" s="315" t="n">
        <x:f>SUM(AB25,AD25,AF25,AH25,AJ25)</x:f>
        <x:v>0</x:v>
      </x:c>
      <x:c r="AQ25" s="333" t="n">
        <x:f>AA25*AB25+AC25*AD25+AE25*AF25+AG25*AH25+AI25*AJ25</x:f>
        <x:v>0</x:v>
      </x:c>
      <x:c r="AR25" s="333" t="n">
        <x:f>IF(OR(J25="Strength",J25="Hypertrophy"),MAX(IF(AB25&gt;0,AA25*(1+AB25/30),0),IF(AD25&gt;0,AC25*(1+AD25/30),0),IF(AF25&gt;0,AE25*(1+AF25/30),0),IF(AH25&gt;0,AG25*(1+AH25/30),0),IF(AJ25&gt;0,AI25*(1+AJ25/30),0)),0)</x:f>
        <x:v>0</x:v>
      </x:c>
      <x:c r="AS25" s="315" t="str">
        <x:f>IF(AN25&lt;&gt;"Yes","Not logged",IF(AL25&gt;='Setup'!$B$14,"STOP / MODIFY",IF(Z25=0,"Complete",IF(OR(AO25=0,AK25=""),"Add set data + RIR",IF(AND(MAX(AB25,AD25,AF25,AH25,AJ25)&gt;=P25,AK25&gt;=Q25+1),"Progress",IF(OR(MAX(AB25,AD25,AF25,AH25,AJ25)&lt;O25,AK25&lt;Q25-1),"Regress","Hold"))))))</x:f>
        <x:v>Not logged</x:v>
      </x:c>
      <x:c r="AT25" s="335" t="n">
        <x:f>IF(OR(Z25=0,AN25&lt;&gt;"Yes",AO25=0,AK25=""),0,IF(AL25&gt;='Setup'!$B$14,-2*'Setup'!$B$11,IF(AND(MAX(AB25,AD25,AF25,AH25,AJ25)&gt;=P25,AK25&gt;=Q25+1),'Setup'!$B$10,IF(OR(MAX(AB25,AD25,AF25,AH25,AJ25)&lt;O25,AK25&lt;Q25-1),-'Setup'!$B$11,0))))</x:f>
        <x:v>0</x:v>
      </x:c>
      <x:c r="AU25" s="333" t="n">
        <x:f>IF(Z25=0,0,IF(AN25&lt;&gt;"Yes",Z25,IF(COUNT(AA25,AC25,AE25,AG25,AI25)=0,Z25,ROUND((MAX(AA25,AC25,AE25,AG25,AI25)*(1+AT25))/'Setup'!$B$9,0)*'Setup'!$B$9)))</x:f>
        <x:v>0</x:v>
      </x:c>
      <x:c r="AV25" s="336"/>
    </x:row>
    <x:row r="26">
      <x:c r="A26" s="310" t="n">
        <x:f>'Setup'!$B$3+(C26-1)*7+(D26-1)</x:f>
        <x:v>46245</x:v>
      </x:c>
      <x:c r="B26" s="311" t="str">
        <x:v>1|2|8</x:v>
      </x:c>
      <x:c r="C26" s="311" t="n">
        <x:v>1</x:v>
      </x:c>
      <x:c r="D26" s="311" t="n">
        <x:v>2</x:v>
      </x:c>
      <x:c r="E26" s="311" t="str">
        <x:v>Accumulation</x:v>
      </x:c>
      <x:c r="F26" s="311" t="str">
        <x:v>Legs A</x:v>
      </x:c>
      <x:c r="G26" s="311" t="str">
        <x:v>Squat strength + lower-body power</x:v>
      </x:c>
      <x:c r="H26" s="311" t="n">
        <x:v>8</x:v>
      </x:c>
      <x:c r="I26" s="311" t="str">
        <x:v>Backward Sled Drag</x:v>
      </x:c>
      <x:c r="J26" s="311" t="str">
        <x:v>Athletic</x:v>
      </x:c>
      <x:c r="K26" s="311" t="str">
        <x:v>Quads</x:v>
      </x:c>
      <x:c r="L26" s="311" t="str">
        <x:v>Continuous strong steps</x:v>
      </x:c>
      <x:c r="M26" s="311"/>
      <x:c r="N26" s="311" t="n">
        <x:v>5</x:v>
      </x:c>
      <x:c r="O26" s="311" t="n">
        <x:v>20</x:v>
      </x:c>
      <x:c r="P26" s="311" t="n">
        <x:v>25</x:v>
      </x:c>
      <x:c r="Q26" s="311" t="n">
        <x:v>3</x:v>
      </x:c>
      <x:c r="R26" s="311" t="n">
        <x:v>60</x:v>
      </x:c>
      <x:c r="S26" s="311" t="str">
        <x:v>Controlled</x:v>
      </x:c>
      <x:c r="T26" s="330" t="n">
        <x:v>1</x:v>
      </x:c>
      <x:c r="U26" s="330" t="n">
        <x:v>0</x:v>
      </x:c>
      <x:c r="V26" s="331" t="str">
        <x:v>load + meters</x:v>
      </x:c>
      <x:c r="W26" s="332" t="str">
        <x:f>'Readiness'!K8</x:f>
      </x:c>
      <x:c r="X26" s="314" t="n">
        <x:f>'Readiness'!L8</x:f>
        <x:v>1</x:v>
      </x:c>
      <x:c r="Y26" s="315" t="n">
        <x:f>IF(J26="Mobility",N26,MAX(1,ROUND(N26*X26,0)))</x:f>
        <x:v>5</x:v>
      </x:c>
      <x:c r="Z26" s="333" t="n">
        <x:f>0</x:f>
        <x:v>0</x:v>
      </x:c>
      <x:c r="AA26" s="334"/>
      <x:c r="AB26" s="334"/>
      <x:c r="AC26" s="334"/>
      <x:c r="AD26" s="334"/>
      <x:c r="AE26" s="334"/>
      <x:c r="AF26" s="334"/>
      <x:c r="AG26" s="334"/>
      <x:c r="AH26" s="334"/>
      <x:c r="AI26" s="334"/>
      <x:c r="AJ26" s="312"/>
      <x:c r="AK26" s="312"/>
      <x:c r="AL26" s="312"/>
      <x:c r="AM26" s="312"/>
      <x:c r="AN26" s="312"/>
      <x:c r="AO26" s="315" t="n">
        <x:f>COUNT(AB26,AD26,AF26,AH26,AJ26)</x:f>
        <x:v>0</x:v>
      </x:c>
      <x:c r="AP26" s="315" t="n">
        <x:f>SUM(AB26,AD26,AF26,AH26,AJ26)</x:f>
        <x:v>0</x:v>
      </x:c>
      <x:c r="AQ26" s="333" t="n">
        <x:f>AA26*AB26+AC26*AD26+AE26*AF26+AG26*AH26+AI26*AJ26</x:f>
        <x:v>0</x:v>
      </x:c>
      <x:c r="AR26" s="333" t="n">
        <x:f>IF(OR(J26="Strength",J26="Hypertrophy"),MAX(IF(AB26&gt;0,AA26*(1+AB26/30),0),IF(AD26&gt;0,AC26*(1+AD26/30),0),IF(AF26&gt;0,AE26*(1+AF26/30),0),IF(AH26&gt;0,AG26*(1+AH26/30),0),IF(AJ26&gt;0,AI26*(1+AJ26/30),0)),0)</x:f>
        <x:v>0</x:v>
      </x:c>
      <x:c r="AS26" s="315" t="str">
        <x:f>IF(AN26&lt;&gt;"Yes","Not logged",IF(AL26&gt;='Setup'!$B$14,"STOP / MODIFY",IF(Z26=0,"Complete",IF(OR(AO26=0,AK26=""),"Add set data + RIR",IF(AND(MAX(AB26,AD26,AF26,AH26,AJ26)&gt;=P26,AK26&gt;=Q26+1),"Progress",IF(OR(MAX(AB26,AD26,AF26,AH26,AJ26)&lt;O26,AK26&lt;Q26-1),"Regress","Hold"))))))</x:f>
        <x:v>Not logged</x:v>
      </x:c>
      <x:c r="AT26" s="335" t="n">
        <x:f>IF(OR(Z26=0,AN26&lt;&gt;"Yes",AO26=0,AK26=""),0,IF(AL26&gt;='Setup'!$B$14,-2*'Setup'!$B$11,IF(AND(MAX(AB26,AD26,AF26,AH26,AJ26)&gt;=P26,AK26&gt;=Q26+1),'Setup'!$B$10,IF(OR(MAX(AB26,AD26,AF26,AH26,AJ26)&lt;O26,AK26&lt;Q26-1),-'Setup'!$B$11,0))))</x:f>
        <x:v>0</x:v>
      </x:c>
      <x:c r="AU26" s="333" t="n">
        <x:f>IF(Z26=0,0,IF(AN26&lt;&gt;"Yes",Z26,IF(COUNT(AA26,AC26,AE26,AG26,AI26)=0,Z26,ROUND((MAX(AA26,AC26,AE26,AG26,AI26)*(1+AT26))/'Setup'!$B$9,0)*'Setup'!$B$9)))</x:f>
        <x:v>0</x:v>
      </x:c>
      <x:c r="AV26" s="336"/>
    </x:row>
    <x:row r="27">
      <x:c r="A27" s="310" t="n">
        <x:f>'Setup'!$B$3+(C27-1)*7+(D27-1)</x:f>
        <x:v>46245</x:v>
      </x:c>
      <x:c r="B27" s="311" t="str">
        <x:v>1|2|9</x:v>
      </x:c>
      <x:c r="C27" s="311" t="n">
        <x:v>1</x:v>
      </x:c>
      <x:c r="D27" s="311" t="n">
        <x:v>2</x:v>
      </x:c>
      <x:c r="E27" s="311" t="str">
        <x:v>Accumulation</x:v>
      </x:c>
      <x:c r="F27" s="311" t="str">
        <x:v>Legs A</x:v>
      </x:c>
      <x:c r="G27" s="311" t="str">
        <x:v>Squat strength + lower-body power</x:v>
      </x:c>
      <x:c r="H27" s="311" t="n">
        <x:v>9</x:v>
      </x:c>
      <x:c r="I27" s="311" t="str">
        <x:v>Ankle Dorsiflexion Mobilization</x:v>
      </x:c>
      <x:c r="J27" s="311" t="str">
        <x:v>Mobility</x:v>
      </x:c>
      <x:c r="K27" s="311" t="str">
        <x:v>Ankles</x:v>
      </x:c>
      <x:c r="L27" s="311" t="str">
        <x:v>Controlled mobility</x:v>
      </x:c>
      <x:c r="M27" s="311"/>
      <x:c r="N27" s="311" t="n">
        <x:v>2</x:v>
      </x:c>
      <x:c r="O27" s="311" t="n">
        <x:v>8</x:v>
      </x:c>
      <x:c r="P27" s="311" t="n">
        <x:v>12</x:v>
      </x:c>
      <x:c r="Q27" s="311"/>
      <x:c r="R27" s="311" t="n">
        <x:v>20</x:v>
      </x:c>
      <x:c r="S27" s="311" t="str">
        <x:v>Slow</x:v>
      </x:c>
      <x:c r="T27" s="330" t="n">
        <x:v>1</x:v>
      </x:c>
      <x:c r="U27" s="330" t="n">
        <x:v>0</x:v>
      </x:c>
      <x:c r="V27" s="331" t="str">
        <x:v>reps</x:v>
      </x:c>
      <x:c r="W27" s="332" t="str">
        <x:f>'Readiness'!K8</x:f>
      </x:c>
      <x:c r="X27" s="314" t="n">
        <x:f>'Readiness'!L8</x:f>
        <x:v>1</x:v>
      </x:c>
      <x:c r="Y27" s="315" t="n">
        <x:f>IF(J27="Mobility",N27,MAX(1,ROUND(N27*X27,0)))</x:f>
        <x:v>2</x:v>
      </x:c>
      <x:c r="Z27" s="333" t="n">
        <x:f>0</x:f>
        <x:v>0</x:v>
      </x:c>
      <x:c r="AA27" s="334"/>
      <x:c r="AB27" s="334"/>
      <x:c r="AC27" s="334"/>
      <x:c r="AD27" s="334"/>
      <x:c r="AE27" s="334"/>
      <x:c r="AF27" s="334"/>
      <x:c r="AG27" s="334"/>
      <x:c r="AH27" s="334"/>
      <x:c r="AI27" s="334"/>
      <x:c r="AJ27" s="312"/>
      <x:c r="AK27" s="312"/>
      <x:c r="AL27" s="312"/>
      <x:c r="AM27" s="312"/>
      <x:c r="AN27" s="312"/>
      <x:c r="AO27" s="315" t="n">
        <x:f>COUNT(AB27,AD27,AF27,AH27,AJ27)</x:f>
        <x:v>0</x:v>
      </x:c>
      <x:c r="AP27" s="315" t="n">
        <x:f>SUM(AB27,AD27,AF27,AH27,AJ27)</x:f>
        <x:v>0</x:v>
      </x:c>
      <x:c r="AQ27" s="333" t="n">
        <x:f>AA27*AB27+AC27*AD27+AE27*AF27+AG27*AH27+AI27*AJ27</x:f>
        <x:v>0</x:v>
      </x:c>
      <x:c r="AR27" s="333" t="n">
        <x:f>IF(OR(J27="Strength",J27="Hypertrophy"),MAX(IF(AB27&gt;0,AA27*(1+AB27/30),0),IF(AD27&gt;0,AC27*(1+AD27/30),0),IF(AF27&gt;0,AE27*(1+AF27/30),0),IF(AH27&gt;0,AG27*(1+AH27/30),0),IF(AJ27&gt;0,AI27*(1+AJ27/30),0)),0)</x:f>
        <x:v>0</x:v>
      </x:c>
      <x:c r="AS27" s="315" t="str">
        <x:f>IF(AN27&lt;&gt;"Yes","Not logged",IF(AL27&gt;='Setup'!$B$14,"STOP / MODIFY",IF(Z27=0,"Complete",IF(OR(AO27=0,AK27=""),"Add set data + RIR",IF(AND(MAX(AB27,AD27,AF27,AH27,AJ27)&gt;=P27,AK27&gt;=Q27+1),"Progress",IF(OR(MAX(AB27,AD27,AF27,AH27,AJ27)&lt;O27,AK27&lt;Q27-1),"Regress","Hold"))))))</x:f>
        <x:v>Not logged</x:v>
      </x:c>
      <x:c r="AT27" s="335" t="n">
        <x:f>IF(OR(Z27=0,AN27&lt;&gt;"Yes",AO27=0,AK27=""),0,IF(AL27&gt;='Setup'!$B$14,-2*'Setup'!$B$11,IF(AND(MAX(AB27,AD27,AF27,AH27,AJ27)&gt;=P27,AK27&gt;=Q27+1),'Setup'!$B$10,IF(OR(MAX(AB27,AD27,AF27,AH27,AJ27)&lt;O27,AK27&lt;Q27-1),-'Setup'!$B$11,0))))</x:f>
        <x:v>0</x:v>
      </x:c>
      <x:c r="AU27" s="333" t="n">
        <x:f>IF(Z27=0,0,IF(AN27&lt;&gt;"Yes",Z27,IF(COUNT(AA27,AC27,AE27,AG27,AI27)=0,Z27,ROUND((MAX(AA27,AC27,AE27,AG27,AI27)*(1+AT27))/'Setup'!$B$9,0)*'Setup'!$B$9)))</x:f>
        <x:v>0</x:v>
      </x:c>
      <x:c r="AV27" s="336"/>
    </x:row>
    <x:row r="28">
      <x:c r="A28" s="310" t="n">
        <x:f>'Setup'!$B$3+(C28-1)*7+(D28-1)</x:f>
        <x:v>46245</x:v>
      </x:c>
      <x:c r="B28" s="311" t="str">
        <x:v>1|2|10</x:v>
      </x:c>
      <x:c r="C28" s="311" t="n">
        <x:v>1</x:v>
      </x:c>
      <x:c r="D28" s="311" t="n">
        <x:v>2</x:v>
      </x:c>
      <x:c r="E28" s="311" t="str">
        <x:v>Accumulation</x:v>
      </x:c>
      <x:c r="F28" s="311" t="str">
        <x:v>Legs A</x:v>
      </x:c>
      <x:c r="G28" s="311" t="str">
        <x:v>Squat strength + lower-body power</x:v>
      </x:c>
      <x:c r="H28" s="311" t="n">
        <x:v>10</x:v>
      </x:c>
      <x:c r="I28" s="311" t="str">
        <x:v>90/90 Hip Switch</x:v>
      </x:c>
      <x:c r="J28" s="311" t="str">
        <x:v>Mobility</x:v>
      </x:c>
      <x:c r="K28" s="311" t="str">
        <x:v>Hips</x:v>
      </x:c>
      <x:c r="L28" s="311" t="str">
        <x:v>Controlled mobility</x:v>
      </x:c>
      <x:c r="M28" s="311"/>
      <x:c r="N28" s="311" t="n">
        <x:v>2</x:v>
      </x:c>
      <x:c r="O28" s="311" t="n">
        <x:v>6</x:v>
      </x:c>
      <x:c r="P28" s="311" t="n">
        <x:v>10</x:v>
      </x:c>
      <x:c r="Q28" s="311"/>
      <x:c r="R28" s="311" t="n">
        <x:v>20</x:v>
      </x:c>
      <x:c r="S28" s="311" t="str">
        <x:v>Slow</x:v>
      </x:c>
      <x:c r="T28" s="330" t="n">
        <x:v>1</x:v>
      </x:c>
      <x:c r="U28" s="330" t="n">
        <x:v>0</x:v>
      </x:c>
      <x:c r="V28" s="331" t="str">
        <x:v>reps</x:v>
      </x:c>
      <x:c r="W28" s="332" t="str">
        <x:f>'Readiness'!K8</x:f>
      </x:c>
      <x:c r="X28" s="314" t="n">
        <x:f>'Readiness'!L8</x:f>
        <x:v>1</x:v>
      </x:c>
      <x:c r="Y28" s="315" t="n">
        <x:f>IF(J28="Mobility",N28,MAX(1,ROUND(N28*X28,0)))</x:f>
        <x:v>2</x:v>
      </x:c>
      <x:c r="Z28" s="333" t="n">
        <x:f>0</x:f>
        <x:v>0</x:v>
      </x:c>
      <x:c r="AA28" s="334"/>
      <x:c r="AB28" s="334"/>
      <x:c r="AC28" s="334"/>
      <x:c r="AD28" s="334"/>
      <x:c r="AE28" s="334"/>
      <x:c r="AF28" s="334"/>
      <x:c r="AG28" s="334"/>
      <x:c r="AH28" s="334"/>
      <x:c r="AI28" s="334"/>
      <x:c r="AJ28" s="312"/>
      <x:c r="AK28" s="312"/>
      <x:c r="AL28" s="312"/>
      <x:c r="AM28" s="312"/>
      <x:c r="AN28" s="312"/>
      <x:c r="AO28" s="315" t="n">
        <x:f>COUNT(AB28,AD28,AF28,AH28,AJ28)</x:f>
        <x:v>0</x:v>
      </x:c>
      <x:c r="AP28" s="315" t="n">
        <x:f>SUM(AB28,AD28,AF28,AH28,AJ28)</x:f>
        <x:v>0</x:v>
      </x:c>
      <x:c r="AQ28" s="333" t="n">
        <x:f>AA28*AB28+AC28*AD28+AE28*AF28+AG28*AH28+AI28*AJ28</x:f>
        <x:v>0</x:v>
      </x:c>
      <x:c r="AR28" s="333" t="n">
        <x:f>IF(OR(J28="Strength",J28="Hypertrophy"),MAX(IF(AB28&gt;0,AA28*(1+AB28/30),0),IF(AD28&gt;0,AC28*(1+AD28/30),0),IF(AF28&gt;0,AE28*(1+AF28/30),0),IF(AH28&gt;0,AG28*(1+AH28/30),0),IF(AJ28&gt;0,AI28*(1+AJ28/30),0)),0)</x:f>
        <x:v>0</x:v>
      </x:c>
      <x:c r="AS28" s="315" t="str">
        <x:f>IF(AN28&lt;&gt;"Yes","Not logged",IF(AL28&gt;='Setup'!$B$14,"STOP / MODIFY",IF(Z28=0,"Complete",IF(OR(AO28=0,AK28=""),"Add set data + RIR",IF(AND(MAX(AB28,AD28,AF28,AH28,AJ28)&gt;=P28,AK28&gt;=Q28+1),"Progress",IF(OR(MAX(AB28,AD28,AF28,AH28,AJ28)&lt;O28,AK28&lt;Q28-1),"Regress","Hold"))))))</x:f>
        <x:v>Not logged</x:v>
      </x:c>
      <x:c r="AT28" s="335" t="n">
        <x:f>IF(OR(Z28=0,AN28&lt;&gt;"Yes",AO28=0,AK28=""),0,IF(AL28&gt;='Setup'!$B$14,-2*'Setup'!$B$11,IF(AND(MAX(AB28,AD28,AF28,AH28,AJ28)&gt;=P28,AK28&gt;=Q28+1),'Setup'!$B$10,IF(OR(MAX(AB28,AD28,AF28,AH28,AJ28)&lt;O28,AK28&lt;Q28-1),-'Setup'!$B$11,0))))</x:f>
        <x:v>0</x:v>
      </x:c>
      <x:c r="AU28" s="333" t="n">
        <x:f>IF(Z28=0,0,IF(AN28&lt;&gt;"Yes",Z28,IF(COUNT(AA28,AC28,AE28,AG28,AI28)=0,Z28,ROUND((MAX(AA28,AC28,AE28,AG28,AI28)*(1+AT28))/'Setup'!$B$9,0)*'Setup'!$B$9)))</x:f>
        <x:v>0</x:v>
      </x:c>
      <x:c r="AV28" s="336"/>
    </x:row>
    <x:row r="29">
      <x:c r="A29" s="310" t="n">
        <x:f>'Setup'!$B$3+(C29-1)*7+(D29-1)</x:f>
        <x:v>46246</x:v>
      </x:c>
      <x:c r="B29" s="311" t="str">
        <x:v>1|3|1</x:v>
      </x:c>
      <x:c r="C29" s="311" t="n">
        <x:v>1</x:v>
      </x:c>
      <x:c r="D29" s="311" t="n">
        <x:v>3</x:v>
      </x:c>
      <x:c r="E29" s="311" t="str">
        <x:v>Accumulation</x:v>
      </x:c>
      <x:c r="F29" s="311" t="str">
        <x:v>Push A</x:v>
      </x:c>
      <x:c r="G29" s="311" t="str">
        <x:v>Chest strength + shoulder hypertrophy</x:v>
      </x:c>
      <x:c r="H29" s="311" t="n">
        <x:v>1</x:v>
      </x:c>
      <x:c r="I29" s="311" t="str">
        <x:v>Medicine Ball Chest Pass</x:v>
      </x:c>
      <x:c r="J29" s="311" t="str">
        <x:v>Power</x:v>
      </x:c>
      <x:c r="K29" s="311" t="str">
        <x:v>Chest</x:v>
      </x:c>
      <x:c r="L29" s="311" t="str">
        <x:v>Max intent, full reset</x:v>
      </x:c>
      <x:c r="M29" s="311"/>
      <x:c r="N29" s="311" t="n">
        <x:v>4</x:v>
      </x:c>
      <x:c r="O29" s="311" t="n">
        <x:v>3</x:v>
      </x:c>
      <x:c r="P29" s="311" t="n">
        <x:v>3</x:v>
      </x:c>
      <x:c r="Q29" s="311" t="n">
        <x:v>3</x:v>
      </x:c>
      <x:c r="R29" s="311" t="n">
        <x:v>60</x:v>
      </x:c>
      <x:c r="S29" s="311" t="str">
        <x:v>Explosive</x:v>
      </x:c>
      <x:c r="T29" s="330" t="n">
        <x:v>1</x:v>
      </x:c>
      <x:c r="U29" s="330" t="n">
        <x:v>0</x:v>
      </x:c>
      <x:c r="V29" s="331" t="str">
        <x:v>throw quality</x:v>
      </x:c>
      <x:c r="W29" s="332" t="str">
        <x:f>'Readiness'!K9</x:f>
      </x:c>
      <x:c r="X29" s="314" t="n">
        <x:f>'Readiness'!L9</x:f>
        <x:v>1</x:v>
      </x:c>
      <x:c r="Y29" s="315" t="n">
        <x:f>IF(J29="Mobility",N29,MAX(1,ROUND(N29*X29,0)))</x:f>
        <x:v>4</x:v>
      </x:c>
      <x:c r="Z29" s="333" t="n">
        <x:f>0</x:f>
        <x:v>0</x:v>
      </x:c>
      <x:c r="AA29" s="334"/>
      <x:c r="AB29" s="334"/>
      <x:c r="AC29" s="334"/>
      <x:c r="AD29" s="334"/>
      <x:c r="AE29" s="334"/>
      <x:c r="AF29" s="334"/>
      <x:c r="AG29" s="334"/>
      <x:c r="AH29" s="334"/>
      <x:c r="AI29" s="334"/>
      <x:c r="AJ29" s="312"/>
      <x:c r="AK29" s="312"/>
      <x:c r="AL29" s="312"/>
      <x:c r="AM29" s="312"/>
      <x:c r="AN29" s="312"/>
      <x:c r="AO29" s="315" t="n">
        <x:f>COUNT(AB29,AD29,AF29,AH29,AJ29)</x:f>
        <x:v>0</x:v>
      </x:c>
      <x:c r="AP29" s="315" t="n">
        <x:f>SUM(AB29,AD29,AF29,AH29,AJ29)</x:f>
        <x:v>0</x:v>
      </x:c>
      <x:c r="AQ29" s="333" t="n">
        <x:f>AA29*AB29+AC29*AD29+AE29*AF29+AG29*AH29+AI29*AJ29</x:f>
        <x:v>0</x:v>
      </x:c>
      <x:c r="AR29" s="333" t="n">
        <x:f>IF(OR(J29="Strength",J29="Hypertrophy"),MAX(IF(AB29&gt;0,AA29*(1+AB29/30),0),IF(AD29&gt;0,AC29*(1+AD29/30),0),IF(AF29&gt;0,AE29*(1+AF29/30),0),IF(AH29&gt;0,AG29*(1+AH29/30),0),IF(AJ29&gt;0,AI29*(1+AJ29/30),0)),0)</x:f>
        <x:v>0</x:v>
      </x:c>
      <x:c r="AS29" s="315" t="str">
        <x:f>IF(AN29&lt;&gt;"Yes","Not logged",IF(AL29&gt;='Setup'!$B$14,"STOP / MODIFY",IF(Z29=0,"Complete",IF(OR(AO29=0,AK29=""),"Add set data + RIR",IF(AND(MAX(AB29,AD29,AF29,AH29,AJ29)&gt;=P29,AK29&gt;=Q29+1),"Progress",IF(OR(MAX(AB29,AD29,AF29,AH29,AJ29)&lt;O29,AK29&lt;Q29-1),"Regress","Hold"))))))</x:f>
        <x:v>Not logged</x:v>
      </x:c>
      <x:c r="AT29" s="335" t="n">
        <x:f>IF(OR(Z29=0,AN29&lt;&gt;"Yes",AO29=0,AK29=""),0,IF(AL29&gt;='Setup'!$B$14,-2*'Setup'!$B$11,IF(AND(MAX(AB29,AD29,AF29,AH29,AJ29)&gt;=P29,AK29&gt;=Q29+1),'Setup'!$B$10,IF(OR(MAX(AB29,AD29,AF29,AH29,AJ29)&lt;O29,AK29&lt;Q29-1),-'Setup'!$B$11,0))))</x:f>
        <x:v>0</x:v>
      </x:c>
      <x:c r="AU29" s="333" t="n">
        <x:f>IF(Z29=0,0,IF(AN29&lt;&gt;"Yes",Z29,IF(COUNT(AA29,AC29,AE29,AG29,AI29)=0,Z29,ROUND((MAX(AA29,AC29,AE29,AG29,AI29)*(1+AT29))/'Setup'!$B$9,0)*'Setup'!$B$9)))</x:f>
        <x:v>0</x:v>
      </x:c>
      <x:c r="AV29" s="336"/>
    </x:row>
    <x:row r="30">
      <x:c r="A30" s="310" t="n">
        <x:f>'Setup'!$B$3+(C30-1)*7+(D30-1)</x:f>
        <x:v>46246</x:v>
      </x:c>
      <x:c r="B30" s="311" t="str">
        <x:v>1|3|2</x:v>
      </x:c>
      <x:c r="C30" s="311" t="n">
        <x:v>1</x:v>
      </x:c>
      <x:c r="D30" s="311" t="n">
        <x:v>3</x:v>
      </x:c>
      <x:c r="E30" s="311" t="str">
        <x:v>Accumulation</x:v>
      </x:c>
      <x:c r="F30" s="311" t="str">
        <x:v>Push A</x:v>
      </x:c>
      <x:c r="G30" s="311" t="str">
        <x:v>Chest strength + shoulder hypertrophy</x:v>
      </x:c>
      <x:c r="H30" s="311" t="n">
        <x:v>2</x:v>
      </x:c>
      <x:c r="I30" s="311" t="str">
        <x:v>Bench Press</x:v>
      </x:c>
      <x:c r="J30" s="311" t="str">
        <x:v>Strength</x:v>
      </x:c>
      <x:c r="K30" s="311" t="str">
        <x:v>Chest</x:v>
      </x:c>
      <x:c r="L30" s="311" t="str">
        <x:v>Top set + back-offs</x:v>
      </x:c>
      <x:c r="M30" s="311"/>
      <x:c r="N30" s="311" t="n">
        <x:v>4</x:v>
      </x:c>
      <x:c r="O30" s="311" t="n">
        <x:v>5</x:v>
      </x:c>
      <x:c r="P30" s="311" t="n">
        <x:v>7</x:v>
      </x:c>
      <x:c r="Q30" s="311" t="n">
        <x:v>3</x:v>
      </x:c>
      <x:c r="R30" s="311" t="n">
        <x:v>180</x:v>
      </x:c>
      <x:c r="S30" s="311" t="str">
        <x:v>2-0-X</x:v>
      </x:c>
      <x:c r="T30" s="330" t="n">
        <x:v>1</x:v>
      </x:c>
      <x:c r="U30" s="330" t="n">
        <x:v>0.7</x:v>
      </x:c>
      <x:c r="V30" s="331" t="str">
        <x:v>load × reps</x:v>
      </x:c>
      <x:c r="W30" s="332" t="str">
        <x:f>'Readiness'!K9</x:f>
      </x:c>
      <x:c r="X30" s="314" t="n">
        <x:f>'Readiness'!L9</x:f>
        <x:v>1</x:v>
      </x:c>
      <x:c r="Y30" s="315" t="n">
        <x:f>IF(J30="Mobility",N30,MAX(1,ROUND(N30*X30,0)))</x:f>
        <x:v>4</x:v>
      </x:c>
      <x:c r="Z30" s="333" t="n">
        <x:f>IF('Setup'!$D$27&gt;0,'Setup'!$D$27,IF('Setup'!$B$5&gt;0,ROUND(('Setup'!$B$5*U30)/'Setup'!$B$9,0)*'Setup'!$B$9,0))</x:f>
        <x:v>0</x:v>
      </x:c>
      <x:c r="AA30" s="334"/>
      <x:c r="AB30" s="334"/>
      <x:c r="AC30" s="334"/>
      <x:c r="AD30" s="334"/>
      <x:c r="AE30" s="334"/>
      <x:c r="AF30" s="334"/>
      <x:c r="AG30" s="334"/>
      <x:c r="AH30" s="334"/>
      <x:c r="AI30" s="334"/>
      <x:c r="AJ30" s="312"/>
      <x:c r="AK30" s="312"/>
      <x:c r="AL30" s="312"/>
      <x:c r="AM30" s="312"/>
      <x:c r="AN30" s="312"/>
      <x:c r="AO30" s="315" t="n">
        <x:f>COUNT(AB30,AD30,AF30,AH30,AJ30)</x:f>
        <x:v>0</x:v>
      </x:c>
      <x:c r="AP30" s="315" t="n">
        <x:f>SUM(AB30,AD30,AF30,AH30,AJ30)</x:f>
        <x:v>0</x:v>
      </x:c>
      <x:c r="AQ30" s="333" t="n">
        <x:f>AA30*AB30+AC30*AD30+AE30*AF30+AG30*AH30+AI30*AJ30</x:f>
        <x:v>0</x:v>
      </x:c>
      <x:c r="AR30" s="333" t="n">
        <x:f>IF(OR(J30="Strength",J30="Hypertrophy"),MAX(IF(AB30&gt;0,AA30*(1+AB30/30),0),IF(AD30&gt;0,AC30*(1+AD30/30),0),IF(AF30&gt;0,AE30*(1+AF30/30),0),IF(AH30&gt;0,AG30*(1+AH30/30),0),IF(AJ30&gt;0,AI30*(1+AJ30/30),0)),0)</x:f>
        <x:v>0</x:v>
      </x:c>
      <x:c r="AS30" s="315" t="str">
        <x:f>IF(AN30&lt;&gt;"Yes","Not logged",IF(AL30&gt;='Setup'!$B$14,"STOP / MODIFY",IF(Z30=0,"Complete",IF(OR(AO30=0,AK30=""),"Add set data + RIR",IF(AND(MAX(AB30,AD30,AF30,AH30,AJ30)&gt;=P30,AK30&gt;=Q30+1),"Progress",IF(OR(MAX(AB30,AD30,AF30,AH30,AJ30)&lt;O30,AK30&lt;Q30-1),"Regress","Hold"))))))</x:f>
        <x:v>Not logged</x:v>
      </x:c>
      <x:c r="AT30" s="335" t="n">
        <x:f>IF(OR(Z30=0,AN30&lt;&gt;"Yes",AO30=0,AK30=""),0,IF(AL30&gt;='Setup'!$B$14,-2*'Setup'!$B$11,IF(AND(MAX(AB30,AD30,AF30,AH30,AJ30)&gt;=P30,AK30&gt;=Q30+1),'Setup'!$B$10,IF(OR(MAX(AB30,AD30,AF30,AH30,AJ30)&lt;O30,AK30&lt;Q30-1),-'Setup'!$B$11,0))))</x:f>
        <x:v>0</x:v>
      </x:c>
      <x:c r="AU30" s="333" t="n">
        <x:f>IF(Z30=0,0,IF(AN30&lt;&gt;"Yes",Z30,IF(COUNT(AA30,AC30,AE30,AG30,AI30)=0,Z30,ROUND((MAX(AA30,AC30,AE30,AG30,AI30)*(1+AT30))/'Setup'!$B$9,0)*'Setup'!$B$9)))</x:f>
        <x:v>0</x:v>
      </x:c>
      <x:c r="AV30" s="336"/>
    </x:row>
    <x:row r="31">
      <x:c r="A31" s="310" t="n">
        <x:f>'Setup'!$B$3+(C31-1)*7+(D31-1)</x:f>
        <x:v>46246</x:v>
      </x:c>
      <x:c r="B31" s="311" t="str">
        <x:v>1|3|3</x:v>
      </x:c>
      <x:c r="C31" s="311" t="n">
        <x:v>1</x:v>
      </x:c>
      <x:c r="D31" s="311" t="n">
        <x:v>3</x:v>
      </x:c>
      <x:c r="E31" s="311" t="str">
        <x:v>Accumulation</x:v>
      </x:c>
      <x:c r="F31" s="311" t="str">
        <x:v>Push A</x:v>
      </x:c>
      <x:c r="G31" s="311" t="str">
        <x:v>Chest strength + shoulder hypertrophy</x:v>
      </x:c>
      <x:c r="H31" s="311" t="n">
        <x:v>3</x:v>
      </x:c>
      <x:c r="I31" s="311" t="str">
        <x:v>Incline Dumbbell Bench Press</x:v>
      </x:c>
      <x:c r="J31" s="311" t="str">
        <x:v>Hypertrophy</x:v>
      </x:c>
      <x:c r="K31" s="311" t="str">
        <x:v>Chest</x:v>
      </x:c>
      <x:c r="L31" s="311" t="str">
        <x:v>Straight sets</x:v>
      </x:c>
      <x:c r="M31" s="311"/>
      <x:c r="N31" s="311" t="n">
        <x:v>3</x:v>
      </x:c>
      <x:c r="O31" s="311" t="n">
        <x:v>8</x:v>
      </x:c>
      <x:c r="P31" s="311" t="n">
        <x:v>10</x:v>
      </x:c>
      <x:c r="Q31" s="311" t="n">
        <x:v>3</x:v>
      </x:c>
      <x:c r="R31" s="311" t="n">
        <x:v>90</x:v>
      </x:c>
      <x:c r="S31" s="311" t="str">
        <x:v>3-0-1</x:v>
      </x:c>
      <x:c r="T31" s="330" t="n">
        <x:v>1</x:v>
      </x:c>
      <x:c r="U31" s="330" t="n">
        <x:v>0</x:v>
      </x:c>
      <x:c r="V31" s="331" t="str">
        <x:v>load × reps</x:v>
      </x:c>
      <x:c r="W31" s="332" t="str">
        <x:f>'Readiness'!K9</x:f>
      </x:c>
      <x:c r="X31" s="314" t="n">
        <x:f>'Readiness'!L9</x:f>
        <x:v>1</x:v>
      </x:c>
      <x:c r="Y31" s="315" t="n">
        <x:f>IF(J31="Mobility",N31,MAX(1,ROUND(N31*X31,0)))</x:f>
        <x:v>3</x:v>
      </x:c>
      <x:c r="Z31" s="333" t="n">
        <x:f>IF('Setup'!$D$50&gt;0,'Setup'!$D$50,0)</x:f>
        <x:v>0</x:v>
      </x:c>
      <x:c r="AA31" s="334"/>
      <x:c r="AB31" s="334"/>
      <x:c r="AC31" s="334"/>
      <x:c r="AD31" s="334"/>
      <x:c r="AE31" s="334"/>
      <x:c r="AF31" s="334"/>
      <x:c r="AG31" s="334"/>
      <x:c r="AH31" s="334"/>
      <x:c r="AI31" s="334"/>
      <x:c r="AJ31" s="312"/>
      <x:c r="AK31" s="312"/>
      <x:c r="AL31" s="312"/>
      <x:c r="AM31" s="312"/>
      <x:c r="AN31" s="312"/>
      <x:c r="AO31" s="315" t="n">
        <x:f>COUNT(AB31,AD31,AF31,AH31,AJ31)</x:f>
        <x:v>0</x:v>
      </x:c>
      <x:c r="AP31" s="315" t="n">
        <x:f>SUM(AB31,AD31,AF31,AH31,AJ31)</x:f>
        <x:v>0</x:v>
      </x:c>
      <x:c r="AQ31" s="333" t="n">
        <x:f>AA31*AB31+AC31*AD31+AE31*AF31+AG31*AH31+AI31*AJ31</x:f>
        <x:v>0</x:v>
      </x:c>
      <x:c r="AR31" s="333" t="n">
        <x:f>IF(OR(J31="Strength",J31="Hypertrophy"),MAX(IF(AB31&gt;0,AA31*(1+AB31/30),0),IF(AD31&gt;0,AC31*(1+AD31/30),0),IF(AF31&gt;0,AE31*(1+AF31/30),0),IF(AH31&gt;0,AG31*(1+AH31/30),0),IF(AJ31&gt;0,AI31*(1+AJ31/30),0)),0)</x:f>
        <x:v>0</x:v>
      </x:c>
      <x:c r="AS31" s="315" t="str">
        <x:f>IF(AN31&lt;&gt;"Yes","Not logged",IF(AL31&gt;='Setup'!$B$14,"STOP / MODIFY",IF(Z31=0,"Complete",IF(OR(AO31=0,AK31=""),"Add set data + RIR",IF(AND(MAX(AB31,AD31,AF31,AH31,AJ31)&gt;=P31,AK31&gt;=Q31+1),"Progress",IF(OR(MAX(AB31,AD31,AF31,AH31,AJ31)&lt;O31,AK31&lt;Q31-1),"Regress","Hold"))))))</x:f>
        <x:v>Not logged</x:v>
      </x:c>
      <x:c r="AT31" s="335" t="n">
        <x:f>IF(OR(Z31=0,AN31&lt;&gt;"Yes",AO31=0,AK31=""),0,IF(AL31&gt;='Setup'!$B$14,-2*'Setup'!$B$11,IF(AND(MAX(AB31,AD31,AF31,AH31,AJ31)&gt;=P31,AK31&gt;=Q31+1),'Setup'!$B$10,IF(OR(MAX(AB31,AD31,AF31,AH31,AJ31)&lt;O31,AK31&lt;Q31-1),-'Setup'!$B$11,0))))</x:f>
        <x:v>0</x:v>
      </x:c>
      <x:c r="AU31" s="333" t="n">
        <x:f>IF(Z31=0,0,IF(AN31&lt;&gt;"Yes",Z31,IF(COUNT(AA31,AC31,AE31,AG31,AI31)=0,Z31,ROUND((MAX(AA31,AC31,AE31,AG31,AI31)*(1+AT31))/'Setup'!$B$9,0)*'Setup'!$B$9)))</x:f>
        <x:v>0</x:v>
      </x:c>
      <x:c r="AV31" s="336"/>
    </x:row>
    <x:row r="32">
      <x:c r="A32" s="310" t="n">
        <x:f>'Setup'!$B$3+(C32-1)*7+(D32-1)</x:f>
        <x:v>46246</x:v>
      </x:c>
      <x:c r="B32" s="311" t="str">
        <x:v>1|3|4</x:v>
      </x:c>
      <x:c r="C32" s="311" t="n">
        <x:v>1</x:v>
      </x:c>
      <x:c r="D32" s="311" t="n">
        <x:v>3</x:v>
      </x:c>
      <x:c r="E32" s="311" t="str">
        <x:v>Accumulation</x:v>
      </x:c>
      <x:c r="F32" s="311" t="str">
        <x:v>Push A</x:v>
      </x:c>
      <x:c r="G32" s="311" t="str">
        <x:v>Chest strength + shoulder hypertrophy</x:v>
      </x:c>
      <x:c r="H32" s="311" t="n">
        <x:v>4</x:v>
      </x:c>
      <x:c r="I32" s="311" t="str">
        <x:v>Seated Dumbbell Shoulder Press</x:v>
      </x:c>
      <x:c r="J32" s="311" t="str">
        <x:v>Hypertrophy</x:v>
      </x:c>
      <x:c r="K32" s="311" t="str">
        <x:v>Shoulders</x:v>
      </x:c>
      <x:c r="L32" s="311" t="str">
        <x:v>Straight sets</x:v>
      </x:c>
      <x:c r="M32" s="311"/>
      <x:c r="N32" s="311" t="n">
        <x:v>3</x:v>
      </x:c>
      <x:c r="O32" s="311" t="n">
        <x:v>8</x:v>
      </x:c>
      <x:c r="P32" s="311" t="n">
        <x:v>10</x:v>
      </x:c>
      <x:c r="Q32" s="311" t="n">
        <x:v>3</x:v>
      </x:c>
      <x:c r="R32" s="311" t="n">
        <x:v>90</x:v>
      </x:c>
      <x:c r="S32" s="311" t="str">
        <x:v>2-0-1</x:v>
      </x:c>
      <x:c r="T32" s="330" t="n">
        <x:v>1</x:v>
      </x:c>
      <x:c r="U32" s="330" t="n">
        <x:v>0</x:v>
      </x:c>
      <x:c r="V32" s="331" t="str">
        <x:v>load × reps</x:v>
      </x:c>
      <x:c r="W32" s="332" t="str">
        <x:f>'Readiness'!K9</x:f>
      </x:c>
      <x:c r="X32" s="314" t="n">
        <x:f>'Readiness'!L9</x:f>
        <x:v>1</x:v>
      </x:c>
      <x:c r="Y32" s="315" t="n">
        <x:f>IF(J32="Mobility",N32,MAX(1,ROUND(N32*X32,0)))</x:f>
        <x:v>3</x:v>
      </x:c>
      <x:c r="Z32" s="333" t="n">
        <x:f>IF('Setup'!$D$83&gt;0,'Setup'!$D$83,0)</x:f>
        <x:v>0</x:v>
      </x:c>
      <x:c r="AA32" s="334"/>
      <x:c r="AB32" s="334"/>
      <x:c r="AC32" s="334"/>
      <x:c r="AD32" s="334"/>
      <x:c r="AE32" s="334"/>
      <x:c r="AF32" s="334"/>
      <x:c r="AG32" s="334"/>
      <x:c r="AH32" s="334"/>
      <x:c r="AI32" s="334"/>
      <x:c r="AJ32" s="312"/>
      <x:c r="AK32" s="312"/>
      <x:c r="AL32" s="312"/>
      <x:c r="AM32" s="312"/>
      <x:c r="AN32" s="312"/>
      <x:c r="AO32" s="315" t="n">
        <x:f>COUNT(AB32,AD32,AF32,AH32,AJ32)</x:f>
        <x:v>0</x:v>
      </x:c>
      <x:c r="AP32" s="315" t="n">
        <x:f>SUM(AB32,AD32,AF32,AH32,AJ32)</x:f>
        <x:v>0</x:v>
      </x:c>
      <x:c r="AQ32" s="333" t="n">
        <x:f>AA32*AB32+AC32*AD32+AE32*AF32+AG32*AH32+AI32*AJ32</x:f>
        <x:v>0</x:v>
      </x:c>
      <x:c r="AR32" s="333" t="n">
        <x:f>IF(OR(J32="Strength",J32="Hypertrophy"),MAX(IF(AB32&gt;0,AA32*(1+AB32/30),0),IF(AD32&gt;0,AC32*(1+AD32/30),0),IF(AF32&gt;0,AE32*(1+AF32/30),0),IF(AH32&gt;0,AG32*(1+AH32/30),0),IF(AJ32&gt;0,AI32*(1+AJ32/30),0)),0)</x:f>
        <x:v>0</x:v>
      </x:c>
      <x:c r="AS32" s="315" t="str">
        <x:f>IF(AN32&lt;&gt;"Yes","Not logged",IF(AL32&gt;='Setup'!$B$14,"STOP / MODIFY",IF(Z32=0,"Complete",IF(OR(AO32=0,AK32=""),"Add set data + RIR",IF(AND(MAX(AB32,AD32,AF32,AH32,AJ32)&gt;=P32,AK32&gt;=Q32+1),"Progress",IF(OR(MAX(AB32,AD32,AF32,AH32,AJ32)&lt;O32,AK32&lt;Q32-1),"Regress","Hold"))))))</x:f>
        <x:v>Not logged</x:v>
      </x:c>
      <x:c r="AT32" s="335" t="n">
        <x:f>IF(OR(Z32=0,AN32&lt;&gt;"Yes",AO32=0,AK32=""),0,IF(AL32&gt;='Setup'!$B$14,-2*'Setup'!$B$11,IF(AND(MAX(AB32,AD32,AF32,AH32,AJ32)&gt;=P32,AK32&gt;=Q32+1),'Setup'!$B$10,IF(OR(MAX(AB32,AD32,AF32,AH32,AJ32)&lt;O32,AK32&lt;Q32-1),-'Setup'!$B$11,0))))</x:f>
        <x:v>0</x:v>
      </x:c>
      <x:c r="AU32" s="333" t="n">
        <x:f>IF(Z32=0,0,IF(AN32&lt;&gt;"Yes",Z32,IF(COUNT(AA32,AC32,AE32,AG32,AI32)=0,Z32,ROUND((MAX(AA32,AC32,AE32,AG32,AI32)*(1+AT32))/'Setup'!$B$9,0)*'Setup'!$B$9)))</x:f>
        <x:v>0</x:v>
      </x:c>
      <x:c r="AV32" s="336"/>
    </x:row>
    <x:row r="33">
      <x:c r="A33" s="310" t="n">
        <x:f>'Setup'!$B$3+(C33-1)*7+(D33-1)</x:f>
        <x:v>46246</x:v>
      </x:c>
      <x:c r="B33" s="311" t="str">
        <x:v>1|3|5</x:v>
      </x:c>
      <x:c r="C33" s="311" t="n">
        <x:v>1</x:v>
      </x:c>
      <x:c r="D33" s="311" t="n">
        <x:v>3</x:v>
      </x:c>
      <x:c r="E33" s="311" t="str">
        <x:v>Accumulation</x:v>
      </x:c>
      <x:c r="F33" s="311" t="str">
        <x:v>Push A</x:v>
      </x:c>
      <x:c r="G33" s="311" t="str">
        <x:v>Chest strength + shoulder hypertrophy</x:v>
      </x:c>
      <x:c r="H33" s="311" t="n">
        <x:v>5</x:v>
      </x:c>
      <x:c r="I33" s="311" t="str">
        <x:v>Cable Fly</x:v>
      </x:c>
      <x:c r="J33" s="311" t="str">
        <x:v>Hypertrophy</x:v>
      </x:c>
      <x:c r="K33" s="311" t="str">
        <x:v>Chest</x:v>
      </x:c>
      <x:c r="L33" s="311" t="str">
        <x:v>Superset</x:v>
      </x:c>
      <x:c r="M33" s="311" t="str">
        <x:v>A1</x:v>
      </x:c>
      <x:c r="N33" s="311" t="n">
        <x:v>3</x:v>
      </x:c>
      <x:c r="O33" s="311" t="n">
        <x:v>12</x:v>
      </x:c>
      <x:c r="P33" s="311" t="n">
        <x:v>15</x:v>
      </x:c>
      <x:c r="Q33" s="311" t="n">
        <x:v>3</x:v>
      </x:c>
      <x:c r="R33" s="311" t="n">
        <x:v>30</x:v>
      </x:c>
      <x:c r="S33" s="311" t="str">
        <x:v>2-1-2</x:v>
      </x:c>
      <x:c r="T33" s="330" t="n">
        <x:v>1</x:v>
      </x:c>
      <x:c r="U33" s="330" t="n">
        <x:v>0</x:v>
      </x:c>
      <x:c r="V33" s="331" t="str">
        <x:v>load × reps</x:v>
      </x:c>
      <x:c r="W33" s="332" t="str">
        <x:f>'Readiness'!K9</x:f>
      </x:c>
      <x:c r="X33" s="314" t="n">
        <x:f>'Readiness'!L9</x:f>
        <x:v>1</x:v>
      </x:c>
      <x:c r="Y33" s="315" t="n">
        <x:f>IF(J33="Mobility",N33,MAX(1,ROUND(N33*X33,0)))</x:f>
        <x:v>3</x:v>
      </x:c>
      <x:c r="Z33" s="333" t="n">
        <x:f>IF('Setup'!$D$31&gt;0,'Setup'!$D$31,0)</x:f>
        <x:v>0</x:v>
      </x:c>
      <x:c r="AA33" s="334"/>
      <x:c r="AB33" s="334"/>
      <x:c r="AC33" s="334"/>
      <x:c r="AD33" s="334"/>
      <x:c r="AE33" s="334"/>
      <x:c r="AF33" s="334"/>
      <x:c r="AG33" s="334"/>
      <x:c r="AH33" s="334"/>
      <x:c r="AI33" s="334"/>
      <x:c r="AJ33" s="312"/>
      <x:c r="AK33" s="312"/>
      <x:c r="AL33" s="312"/>
      <x:c r="AM33" s="312"/>
      <x:c r="AN33" s="312"/>
      <x:c r="AO33" s="315" t="n">
        <x:f>COUNT(AB33,AD33,AF33,AH33,AJ33)</x:f>
        <x:v>0</x:v>
      </x:c>
      <x:c r="AP33" s="315" t="n">
        <x:f>SUM(AB33,AD33,AF33,AH33,AJ33)</x:f>
        <x:v>0</x:v>
      </x:c>
      <x:c r="AQ33" s="333" t="n">
        <x:f>AA33*AB33+AC33*AD33+AE33*AF33+AG33*AH33+AI33*AJ33</x:f>
        <x:v>0</x:v>
      </x:c>
      <x:c r="AR33" s="333" t="n">
        <x:f>IF(OR(J33="Strength",J33="Hypertrophy"),MAX(IF(AB33&gt;0,AA33*(1+AB33/30),0),IF(AD33&gt;0,AC33*(1+AD33/30),0),IF(AF33&gt;0,AE33*(1+AF33/30),0),IF(AH33&gt;0,AG33*(1+AH33/30),0),IF(AJ33&gt;0,AI33*(1+AJ33/30),0)),0)</x:f>
        <x:v>0</x:v>
      </x:c>
      <x:c r="AS33" s="315" t="str">
        <x:f>IF(AN33&lt;&gt;"Yes","Not logged",IF(AL33&gt;='Setup'!$B$14,"STOP / MODIFY",IF(Z33=0,"Complete",IF(OR(AO33=0,AK33=""),"Add set data + RIR",IF(AND(MAX(AB33,AD33,AF33,AH33,AJ33)&gt;=P33,AK33&gt;=Q33+1),"Progress",IF(OR(MAX(AB33,AD33,AF33,AH33,AJ33)&lt;O33,AK33&lt;Q33-1),"Regress","Hold"))))))</x:f>
        <x:v>Not logged</x:v>
      </x:c>
      <x:c r="AT33" s="335" t="n">
        <x:f>IF(OR(Z33=0,AN33&lt;&gt;"Yes",AO33=0,AK33=""),0,IF(AL33&gt;='Setup'!$B$14,-2*'Setup'!$B$11,IF(AND(MAX(AB33,AD33,AF33,AH33,AJ33)&gt;=P33,AK33&gt;=Q33+1),'Setup'!$B$10,IF(OR(MAX(AB33,AD33,AF33,AH33,AJ33)&lt;O33,AK33&lt;Q33-1),-'Setup'!$B$11,0))))</x:f>
        <x:v>0</x:v>
      </x:c>
      <x:c r="AU33" s="333" t="n">
        <x:f>IF(Z33=0,0,IF(AN33&lt;&gt;"Yes",Z33,IF(COUNT(AA33,AC33,AE33,AG33,AI33)=0,Z33,ROUND((MAX(AA33,AC33,AE33,AG33,AI33)*(1+AT33))/'Setup'!$B$9,0)*'Setup'!$B$9)))</x:f>
        <x:v>0</x:v>
      </x:c>
      <x:c r="AV33" s="336"/>
    </x:row>
    <x:row r="34">
      <x:c r="A34" s="310" t="n">
        <x:f>'Setup'!$B$3+(C34-1)*7+(D34-1)</x:f>
        <x:v>46246</x:v>
      </x:c>
      <x:c r="B34" s="311" t="str">
        <x:v>1|3|6</x:v>
      </x:c>
      <x:c r="C34" s="311" t="n">
        <x:v>1</x:v>
      </x:c>
      <x:c r="D34" s="311" t="n">
        <x:v>3</x:v>
      </x:c>
      <x:c r="E34" s="311" t="str">
        <x:v>Accumulation</x:v>
      </x:c>
      <x:c r="F34" s="311" t="str">
        <x:v>Push A</x:v>
      </x:c>
      <x:c r="G34" s="311" t="str">
        <x:v>Chest strength + shoulder hypertrophy</x:v>
      </x:c>
      <x:c r="H34" s="311" t="n">
        <x:v>6</x:v>
      </x:c>
      <x:c r="I34" s="311" t="str">
        <x:v>Cable Lateral Raise</x:v>
      </x:c>
      <x:c r="J34" s="311" t="str">
        <x:v>Hypertrophy</x:v>
      </x:c>
      <x:c r="K34" s="311" t="str">
        <x:v>Shoulders</x:v>
      </x:c>
      <x:c r="L34" s="311" t="str">
        <x:v>Superset</x:v>
      </x:c>
      <x:c r="M34" s="311" t="str">
        <x:v>A2</x:v>
      </x:c>
      <x:c r="N34" s="311" t="n">
        <x:v>3</x:v>
      </x:c>
      <x:c r="O34" s="311" t="n">
        <x:v>12</x:v>
      </x:c>
      <x:c r="P34" s="311" t="n">
        <x:v>20</x:v>
      </x:c>
      <x:c r="Q34" s="311" t="n">
        <x:v>3</x:v>
      </x:c>
      <x:c r="R34" s="311" t="n">
        <x:v>30</x:v>
      </x:c>
      <x:c r="S34" s="311" t="str">
        <x:v>2-1-2</x:v>
      </x:c>
      <x:c r="T34" s="330" t="n">
        <x:v>1</x:v>
      </x:c>
      <x:c r="U34" s="330" t="n">
        <x:v>0</x:v>
      </x:c>
      <x:c r="V34" s="331" t="str">
        <x:v>load × reps</x:v>
      </x:c>
      <x:c r="W34" s="332" t="str">
        <x:f>'Readiness'!K9</x:f>
      </x:c>
      <x:c r="X34" s="314" t="n">
        <x:f>'Readiness'!L9</x:f>
        <x:v>1</x:v>
      </x:c>
      <x:c r="Y34" s="315" t="n">
        <x:f>IF(J34="Mobility",N34,MAX(1,ROUND(N34*X34,0)))</x:f>
        <x:v>3</x:v>
      </x:c>
      <x:c r="Z34" s="333" t="n">
        <x:f>IF('Setup'!$D$33&gt;0,'Setup'!$D$33,0)</x:f>
        <x:v>0</x:v>
      </x:c>
      <x:c r="AA34" s="334"/>
      <x:c r="AB34" s="334"/>
      <x:c r="AC34" s="334"/>
      <x:c r="AD34" s="334"/>
      <x:c r="AE34" s="334"/>
      <x:c r="AF34" s="334"/>
      <x:c r="AG34" s="334"/>
      <x:c r="AH34" s="334"/>
      <x:c r="AI34" s="334"/>
      <x:c r="AJ34" s="312"/>
      <x:c r="AK34" s="312"/>
      <x:c r="AL34" s="312"/>
      <x:c r="AM34" s="312"/>
      <x:c r="AN34" s="312"/>
      <x:c r="AO34" s="315" t="n">
        <x:f>COUNT(AB34,AD34,AF34,AH34,AJ34)</x:f>
        <x:v>0</x:v>
      </x:c>
      <x:c r="AP34" s="315" t="n">
        <x:f>SUM(AB34,AD34,AF34,AH34,AJ34)</x:f>
        <x:v>0</x:v>
      </x:c>
      <x:c r="AQ34" s="333" t="n">
        <x:f>AA34*AB34+AC34*AD34+AE34*AF34+AG34*AH34+AI34*AJ34</x:f>
        <x:v>0</x:v>
      </x:c>
      <x:c r="AR34" s="333" t="n">
        <x:f>IF(OR(J34="Strength",J34="Hypertrophy"),MAX(IF(AB34&gt;0,AA34*(1+AB34/30),0),IF(AD34&gt;0,AC34*(1+AD34/30),0),IF(AF34&gt;0,AE34*(1+AF34/30),0),IF(AH34&gt;0,AG34*(1+AH34/30),0),IF(AJ34&gt;0,AI34*(1+AJ34/30),0)),0)</x:f>
        <x:v>0</x:v>
      </x:c>
      <x:c r="AS34" s="315" t="str">
        <x:f>IF(AN34&lt;&gt;"Yes","Not logged",IF(AL34&gt;='Setup'!$B$14,"STOP / MODIFY",IF(Z34=0,"Complete",IF(OR(AO34=0,AK34=""),"Add set data + RIR",IF(AND(MAX(AB34,AD34,AF34,AH34,AJ34)&gt;=P34,AK34&gt;=Q34+1),"Progress",IF(OR(MAX(AB34,AD34,AF34,AH34,AJ34)&lt;O34,AK34&lt;Q34-1),"Regress","Hold"))))))</x:f>
        <x:v>Not logged</x:v>
      </x:c>
      <x:c r="AT34" s="335" t="n">
        <x:f>IF(OR(Z34=0,AN34&lt;&gt;"Yes",AO34=0,AK34=""),0,IF(AL34&gt;='Setup'!$B$14,-2*'Setup'!$B$11,IF(AND(MAX(AB34,AD34,AF34,AH34,AJ34)&gt;=P34,AK34&gt;=Q34+1),'Setup'!$B$10,IF(OR(MAX(AB34,AD34,AF34,AH34,AJ34)&lt;O34,AK34&lt;Q34-1),-'Setup'!$B$11,0))))</x:f>
        <x:v>0</x:v>
      </x:c>
      <x:c r="AU34" s="333" t="n">
        <x:f>IF(Z34=0,0,IF(AN34&lt;&gt;"Yes",Z34,IF(COUNT(AA34,AC34,AE34,AG34,AI34)=0,Z34,ROUND((MAX(AA34,AC34,AE34,AG34,AI34)*(1+AT34))/'Setup'!$B$9,0)*'Setup'!$B$9)))</x:f>
        <x:v>0</x:v>
      </x:c>
      <x:c r="AV34" s="336"/>
    </x:row>
    <x:row r="35">
      <x:c r="A35" s="310" t="n">
        <x:f>'Setup'!$B$3+(C35-1)*7+(D35-1)</x:f>
        <x:v>46246</x:v>
      </x:c>
      <x:c r="B35" s="311" t="str">
        <x:v>1|3|7</x:v>
      </x:c>
      <x:c r="C35" s="311" t="n">
        <x:v>1</x:v>
      </x:c>
      <x:c r="D35" s="311" t="n">
        <x:v>3</x:v>
      </x:c>
      <x:c r="E35" s="311" t="str">
        <x:v>Accumulation</x:v>
      </x:c>
      <x:c r="F35" s="311" t="str">
        <x:v>Push A</x:v>
      </x:c>
      <x:c r="G35" s="311" t="str">
        <x:v>Chest strength + shoulder hypertrophy</x:v>
      </x:c>
      <x:c r="H35" s="311" t="n">
        <x:v>7</x:v>
      </x:c>
      <x:c r="I35" s="311" t="str">
        <x:v>Triceps Pressdown</x:v>
      </x:c>
      <x:c r="J35" s="311" t="str">
        <x:v>Hypertrophy</x:v>
      </x:c>
      <x:c r="K35" s="311" t="str">
        <x:v>Triceps</x:v>
      </x:c>
      <x:c r="L35" s="311" t="str">
        <x:v>Straight sets</x:v>
      </x:c>
      <x:c r="M35" s="311"/>
      <x:c r="N35" s="311" t="n">
        <x:v>3</x:v>
      </x:c>
      <x:c r="O35" s="311" t="n">
        <x:v>10</x:v>
      </x:c>
      <x:c r="P35" s="311" t="n">
        <x:v>15</x:v>
      </x:c>
      <x:c r="Q35" s="311" t="n">
        <x:v>3</x:v>
      </x:c>
      <x:c r="R35" s="311" t="n">
        <x:v>60</x:v>
      </x:c>
      <x:c r="S35" s="311" t="str">
        <x:v>2-1-1</x:v>
      </x:c>
      <x:c r="T35" s="330" t="n">
        <x:v>1</x:v>
      </x:c>
      <x:c r="U35" s="330" t="n">
        <x:v>0</x:v>
      </x:c>
      <x:c r="V35" s="331" t="str">
        <x:v>load × reps</x:v>
      </x:c>
      <x:c r="W35" s="332" t="str">
        <x:f>'Readiness'!K9</x:f>
      </x:c>
      <x:c r="X35" s="314" t="n">
        <x:f>'Readiness'!L9</x:f>
        <x:v>1</x:v>
      </x:c>
      <x:c r="Y35" s="315" t="n">
        <x:f>IF(J35="Mobility",N35,MAX(1,ROUND(N35*X35,0)))</x:f>
        <x:v>3</x:v>
      </x:c>
      <x:c r="Z35" s="333" t="n">
        <x:f>IF('Setup'!$D$92&gt;0,'Setup'!$D$92,0)</x:f>
        <x:v>0</x:v>
      </x:c>
      <x:c r="AA35" s="334"/>
      <x:c r="AB35" s="334"/>
      <x:c r="AC35" s="334"/>
      <x:c r="AD35" s="334"/>
      <x:c r="AE35" s="334"/>
      <x:c r="AF35" s="334"/>
      <x:c r="AG35" s="334"/>
      <x:c r="AH35" s="334"/>
      <x:c r="AI35" s="334"/>
      <x:c r="AJ35" s="312"/>
      <x:c r="AK35" s="312"/>
      <x:c r="AL35" s="312"/>
      <x:c r="AM35" s="312"/>
      <x:c r="AN35" s="312"/>
      <x:c r="AO35" s="315" t="n">
        <x:f>COUNT(AB35,AD35,AF35,AH35,AJ35)</x:f>
        <x:v>0</x:v>
      </x:c>
      <x:c r="AP35" s="315" t="n">
        <x:f>SUM(AB35,AD35,AF35,AH35,AJ35)</x:f>
        <x:v>0</x:v>
      </x:c>
      <x:c r="AQ35" s="333" t="n">
        <x:f>AA35*AB35+AC35*AD35+AE35*AF35+AG35*AH35+AI35*AJ35</x:f>
        <x:v>0</x:v>
      </x:c>
      <x:c r="AR35" s="333" t="n">
        <x:f>IF(OR(J35="Strength",J35="Hypertrophy"),MAX(IF(AB35&gt;0,AA35*(1+AB35/30),0),IF(AD35&gt;0,AC35*(1+AD35/30),0),IF(AF35&gt;0,AE35*(1+AF35/30),0),IF(AH35&gt;0,AG35*(1+AH35/30),0),IF(AJ35&gt;0,AI35*(1+AJ35/30),0)),0)</x:f>
        <x:v>0</x:v>
      </x:c>
      <x:c r="AS35" s="315" t="str">
        <x:f>IF(AN35&lt;&gt;"Yes","Not logged",IF(AL35&gt;='Setup'!$B$14,"STOP / MODIFY",IF(Z35=0,"Complete",IF(OR(AO35=0,AK35=""),"Add set data + RIR",IF(AND(MAX(AB35,AD35,AF35,AH35,AJ35)&gt;=P35,AK35&gt;=Q35+1),"Progress",IF(OR(MAX(AB35,AD35,AF35,AH35,AJ35)&lt;O35,AK35&lt;Q35-1),"Regress","Hold"))))))</x:f>
        <x:v>Not logged</x:v>
      </x:c>
      <x:c r="AT35" s="335" t="n">
        <x:f>IF(OR(Z35=0,AN35&lt;&gt;"Yes",AO35=0,AK35=""),0,IF(AL35&gt;='Setup'!$B$14,-2*'Setup'!$B$11,IF(AND(MAX(AB35,AD35,AF35,AH35,AJ35)&gt;=P35,AK35&gt;=Q35+1),'Setup'!$B$10,IF(OR(MAX(AB35,AD35,AF35,AH35,AJ35)&lt;O35,AK35&lt;Q35-1),-'Setup'!$B$11,0))))</x:f>
        <x:v>0</x:v>
      </x:c>
      <x:c r="AU35" s="333" t="n">
        <x:f>IF(Z35=0,0,IF(AN35&lt;&gt;"Yes",Z35,IF(COUNT(AA35,AC35,AE35,AG35,AI35)=0,Z35,ROUND((MAX(AA35,AC35,AE35,AG35,AI35)*(1+AT35))/'Setup'!$B$9,0)*'Setup'!$B$9)))</x:f>
        <x:v>0</x:v>
      </x:c>
      <x:c r="AV35" s="336"/>
    </x:row>
    <x:row r="36">
      <x:c r="A36" s="310" t="n">
        <x:f>'Setup'!$B$3+(C36-1)*7+(D36-1)</x:f>
        <x:v>46246</x:v>
      </x:c>
      <x:c r="B36" s="311" t="str">
        <x:v>1|3|8</x:v>
      </x:c>
      <x:c r="C36" s="311" t="n">
        <x:v>1</x:v>
      </x:c>
      <x:c r="D36" s="311" t="n">
        <x:v>3</x:v>
      </x:c>
      <x:c r="E36" s="311" t="str">
        <x:v>Accumulation</x:v>
      </x:c>
      <x:c r="F36" s="311" t="str">
        <x:v>Push A</x:v>
      </x:c>
      <x:c r="G36" s="311" t="str">
        <x:v>Chest strength + shoulder hypertrophy</x:v>
      </x:c>
      <x:c r="H36" s="311" t="n">
        <x:v>8</x:v>
      </x:c>
      <x:c r="I36" s="311" t="str">
        <x:v>Serratus Wall Slide</x:v>
      </x:c>
      <x:c r="J36" s="311" t="str">
        <x:v>Mobility</x:v>
      </x:c>
      <x:c r="K36" s="311" t="str">
        <x:v>Shoulders</x:v>
      </x:c>
      <x:c r="L36" s="311" t="str">
        <x:v>Controlled mobility</x:v>
      </x:c>
      <x:c r="M36" s="311"/>
      <x:c r="N36" s="311" t="n">
        <x:v>2</x:v>
      </x:c>
      <x:c r="O36" s="311" t="n">
        <x:v>8</x:v>
      </x:c>
      <x:c r="P36" s="311" t="n">
        <x:v>10</x:v>
      </x:c>
      <x:c r="Q36" s="311"/>
      <x:c r="R36" s="311" t="n">
        <x:v>30</x:v>
      </x:c>
      <x:c r="S36" s="311" t="str">
        <x:v>Slow</x:v>
      </x:c>
      <x:c r="T36" s="330" t="n">
        <x:v>1</x:v>
      </x:c>
      <x:c r="U36" s="330" t="n">
        <x:v>0</x:v>
      </x:c>
      <x:c r="V36" s="331" t="str">
        <x:v>reps</x:v>
      </x:c>
      <x:c r="W36" s="332" t="str">
        <x:f>'Readiness'!K9</x:f>
      </x:c>
      <x:c r="X36" s="314" t="n">
        <x:f>'Readiness'!L9</x:f>
        <x:v>1</x:v>
      </x:c>
      <x:c r="Y36" s="315" t="n">
        <x:f>IF(J36="Mobility",N36,MAX(1,ROUND(N36*X36,0)))</x:f>
        <x:v>2</x:v>
      </x:c>
      <x:c r="Z36" s="333" t="n">
        <x:f>0</x:f>
        <x:v>0</x:v>
      </x:c>
      <x:c r="AA36" s="334"/>
      <x:c r="AB36" s="334"/>
      <x:c r="AC36" s="334"/>
      <x:c r="AD36" s="334"/>
      <x:c r="AE36" s="334"/>
      <x:c r="AF36" s="334"/>
      <x:c r="AG36" s="334"/>
      <x:c r="AH36" s="334"/>
      <x:c r="AI36" s="334"/>
      <x:c r="AJ36" s="312"/>
      <x:c r="AK36" s="312"/>
      <x:c r="AL36" s="312"/>
      <x:c r="AM36" s="312"/>
      <x:c r="AN36" s="312"/>
      <x:c r="AO36" s="315" t="n">
        <x:f>COUNT(AB36,AD36,AF36,AH36,AJ36)</x:f>
        <x:v>0</x:v>
      </x:c>
      <x:c r="AP36" s="315" t="n">
        <x:f>SUM(AB36,AD36,AF36,AH36,AJ36)</x:f>
        <x:v>0</x:v>
      </x:c>
      <x:c r="AQ36" s="333" t="n">
        <x:f>AA36*AB36+AC36*AD36+AE36*AF36+AG36*AH36+AI36*AJ36</x:f>
        <x:v>0</x:v>
      </x:c>
      <x:c r="AR36" s="333" t="n">
        <x:f>IF(OR(J36="Strength",J36="Hypertrophy"),MAX(IF(AB36&gt;0,AA36*(1+AB36/30),0),IF(AD36&gt;0,AC36*(1+AD36/30),0),IF(AF36&gt;0,AE36*(1+AF36/30),0),IF(AH36&gt;0,AG36*(1+AH36/30),0),IF(AJ36&gt;0,AI36*(1+AJ36/30),0)),0)</x:f>
        <x:v>0</x:v>
      </x:c>
      <x:c r="AS36" s="315" t="str">
        <x:f>IF(AN36&lt;&gt;"Yes","Not logged",IF(AL36&gt;='Setup'!$B$14,"STOP / MODIFY",IF(Z36=0,"Complete",IF(OR(AO36=0,AK36=""),"Add set data + RIR",IF(AND(MAX(AB36,AD36,AF36,AH36,AJ36)&gt;=P36,AK36&gt;=Q36+1),"Progress",IF(OR(MAX(AB36,AD36,AF36,AH36,AJ36)&lt;O36,AK36&lt;Q36-1),"Regress","Hold"))))))</x:f>
        <x:v>Not logged</x:v>
      </x:c>
      <x:c r="AT36" s="335" t="n">
        <x:f>IF(OR(Z36=0,AN36&lt;&gt;"Yes",AO36=0,AK36=""),0,IF(AL36&gt;='Setup'!$B$14,-2*'Setup'!$B$11,IF(AND(MAX(AB36,AD36,AF36,AH36,AJ36)&gt;=P36,AK36&gt;=Q36+1),'Setup'!$B$10,IF(OR(MAX(AB36,AD36,AF36,AH36,AJ36)&lt;O36,AK36&lt;Q36-1),-'Setup'!$B$11,0))))</x:f>
        <x:v>0</x:v>
      </x:c>
      <x:c r="AU36" s="333" t="n">
        <x:f>IF(Z36=0,0,IF(AN36&lt;&gt;"Yes",Z36,IF(COUNT(AA36,AC36,AE36,AG36,AI36)=0,Z36,ROUND((MAX(AA36,AC36,AE36,AG36,AI36)*(1+AT36))/'Setup'!$B$9,0)*'Setup'!$B$9)))</x:f>
        <x:v>0</x:v>
      </x:c>
      <x:c r="AV36" s="336"/>
    </x:row>
    <x:row r="37">
      <x:c r="A37" s="310" t="n">
        <x:f>'Setup'!$B$3+(C37-1)*7+(D37-1)</x:f>
        <x:v>46246</x:v>
      </x:c>
      <x:c r="B37" s="311" t="str">
        <x:v>1|3|9</x:v>
      </x:c>
      <x:c r="C37" s="311" t="n">
        <x:v>1</x:v>
      </x:c>
      <x:c r="D37" s="311" t="n">
        <x:v>3</x:v>
      </x:c>
      <x:c r="E37" s="311" t="str">
        <x:v>Accumulation</x:v>
      </x:c>
      <x:c r="F37" s="311" t="str">
        <x:v>Push A</x:v>
      </x:c>
      <x:c r="G37" s="311" t="str">
        <x:v>Chest strength + shoulder hypertrophy</x:v>
      </x:c>
      <x:c r="H37" s="311" t="n">
        <x:v>9</x:v>
      </x:c>
      <x:c r="I37" s="311" t="str">
        <x:v>Doorway Pec Stretch</x:v>
      </x:c>
      <x:c r="J37" s="311" t="str">
        <x:v>Mobility</x:v>
      </x:c>
      <x:c r="K37" s="311" t="str">
        <x:v>Chest</x:v>
      </x:c>
      <x:c r="L37" s="311" t="str">
        <x:v>Relaxed breathing</x:v>
      </x:c>
      <x:c r="M37" s="311"/>
      <x:c r="N37" s="311" t="n">
        <x:v>2</x:v>
      </x:c>
      <x:c r="O37" s="311" t="n">
        <x:v>30</x:v>
      </x:c>
      <x:c r="P37" s="311" t="n">
        <x:v>45</x:v>
      </x:c>
      <x:c r="Q37" s="311"/>
      <x:c r="R37" s="311" t="n">
        <x:v>20</x:v>
      </x:c>
      <x:c r="S37" s="311" t="str">
        <x:v>Hold</x:v>
      </x:c>
      <x:c r="T37" s="330" t="n">
        <x:v>1</x:v>
      </x:c>
      <x:c r="U37" s="330" t="n">
        <x:v>0</x:v>
      </x:c>
      <x:c r="V37" s="331" t="str">
        <x:v>seconds</x:v>
      </x:c>
      <x:c r="W37" s="332" t="str">
        <x:f>'Readiness'!K9</x:f>
      </x:c>
      <x:c r="X37" s="314" t="n">
        <x:f>'Readiness'!L9</x:f>
        <x:v>1</x:v>
      </x:c>
      <x:c r="Y37" s="315" t="n">
        <x:f>IF(J37="Mobility",N37,MAX(1,ROUND(N37*X37,0)))</x:f>
        <x:v>2</x:v>
      </x:c>
      <x:c r="Z37" s="333" t="n">
        <x:f>0</x:f>
        <x:v>0</x:v>
      </x:c>
      <x:c r="AA37" s="334"/>
      <x:c r="AB37" s="334"/>
      <x:c r="AC37" s="334"/>
      <x:c r="AD37" s="334"/>
      <x:c r="AE37" s="334"/>
      <x:c r="AF37" s="334"/>
      <x:c r="AG37" s="334"/>
      <x:c r="AH37" s="334"/>
      <x:c r="AI37" s="334"/>
      <x:c r="AJ37" s="312"/>
      <x:c r="AK37" s="312"/>
      <x:c r="AL37" s="312"/>
      <x:c r="AM37" s="312"/>
      <x:c r="AN37" s="312"/>
      <x:c r="AO37" s="315" t="n">
        <x:f>COUNT(AB37,AD37,AF37,AH37,AJ37)</x:f>
        <x:v>0</x:v>
      </x:c>
      <x:c r="AP37" s="315" t="n">
        <x:f>SUM(AB37,AD37,AF37,AH37,AJ37)</x:f>
        <x:v>0</x:v>
      </x:c>
      <x:c r="AQ37" s="333" t="n">
        <x:f>AA37*AB37+AC37*AD37+AE37*AF37+AG37*AH37+AI37*AJ37</x:f>
        <x:v>0</x:v>
      </x:c>
      <x:c r="AR37" s="333" t="n">
        <x:f>IF(OR(J37="Strength",J37="Hypertrophy"),MAX(IF(AB37&gt;0,AA37*(1+AB37/30),0),IF(AD37&gt;0,AC37*(1+AD37/30),0),IF(AF37&gt;0,AE37*(1+AF37/30),0),IF(AH37&gt;0,AG37*(1+AH37/30),0),IF(AJ37&gt;0,AI37*(1+AJ37/30),0)),0)</x:f>
        <x:v>0</x:v>
      </x:c>
      <x:c r="AS37" s="315" t="str">
        <x:f>IF(AN37&lt;&gt;"Yes","Not logged",IF(AL37&gt;='Setup'!$B$14,"STOP / MODIFY",IF(Z37=0,"Complete",IF(OR(AO37=0,AK37=""),"Add set data + RIR",IF(AND(MAX(AB37,AD37,AF37,AH37,AJ37)&gt;=P37,AK37&gt;=Q37+1),"Progress",IF(OR(MAX(AB37,AD37,AF37,AH37,AJ37)&lt;O37,AK37&lt;Q37-1),"Regress","Hold"))))))</x:f>
        <x:v>Not logged</x:v>
      </x:c>
      <x:c r="AT37" s="335" t="n">
        <x:f>IF(OR(Z37=0,AN37&lt;&gt;"Yes",AO37=0,AK37=""),0,IF(AL37&gt;='Setup'!$B$14,-2*'Setup'!$B$11,IF(AND(MAX(AB37,AD37,AF37,AH37,AJ37)&gt;=P37,AK37&gt;=Q37+1),'Setup'!$B$10,IF(OR(MAX(AB37,AD37,AF37,AH37,AJ37)&lt;O37,AK37&lt;Q37-1),-'Setup'!$B$11,0))))</x:f>
        <x:v>0</x:v>
      </x:c>
      <x:c r="AU37" s="333" t="n">
        <x:f>IF(Z37=0,0,IF(AN37&lt;&gt;"Yes",Z37,IF(COUNT(AA37,AC37,AE37,AG37,AI37)=0,Z37,ROUND((MAX(AA37,AC37,AE37,AG37,AI37)*(1+AT37))/'Setup'!$B$9,0)*'Setup'!$B$9)))</x:f>
        <x:v>0</x:v>
      </x:c>
      <x:c r="AV37" s="336"/>
    </x:row>
    <x:row r="38">
      <x:c r="A38" s="310" t="n">
        <x:f>'Setup'!$B$3+(C38-1)*7+(D38-1)</x:f>
        <x:v>46247</x:v>
      </x:c>
      <x:c r="B38" s="311" t="str">
        <x:v>1|4|1</x:v>
      </x:c>
      <x:c r="C38" s="311" t="n">
        <x:v>1</x:v>
      </x:c>
      <x:c r="D38" s="311" t="n">
        <x:v>4</x:v>
      </x:c>
      <x:c r="E38" s="311" t="str">
        <x:v>Accumulation</x:v>
      </x:c>
      <x:c r="F38" s="311" t="str">
        <x:v>Pull B</x:v>
      </x:c>
      <x:c r="G38" s="311" t="str">
        <x:v>Back width + arm volume</x:v>
      </x:c>
      <x:c r="H38" s="311" t="n">
        <x:v>1</x:v>
      </x:c>
      <x:c r="I38" s="311" t="str">
        <x:v>Medicine Ball Slam</x:v>
      </x:c>
      <x:c r="J38" s="311" t="str">
        <x:v>Power</x:v>
      </x:c>
      <x:c r="K38" s="311" t="str">
        <x:v>Back</x:v>
      </x:c>
      <x:c r="L38" s="311" t="str">
        <x:v>Max intent, full reset</x:v>
      </x:c>
      <x:c r="M38" s="311"/>
      <x:c r="N38" s="311" t="n">
        <x:v>4</x:v>
      </x:c>
      <x:c r="O38" s="311" t="n">
        <x:v>4</x:v>
      </x:c>
      <x:c r="P38" s="311" t="n">
        <x:v>4</x:v>
      </x:c>
      <x:c r="Q38" s="311" t="n">
        <x:v>3</x:v>
      </x:c>
      <x:c r="R38" s="311" t="n">
        <x:v>60</x:v>
      </x:c>
      <x:c r="S38" s="311" t="str">
        <x:v>Explosive</x:v>
      </x:c>
      <x:c r="T38" s="330" t="n">
        <x:v>1</x:v>
      </x:c>
      <x:c r="U38" s="330" t="n">
        <x:v>0</x:v>
      </x:c>
      <x:c r="V38" s="331" t="str">
        <x:v>throw quality</x:v>
      </x:c>
      <x:c r="W38" s="332" t="str">
        <x:f>'Readiness'!K10</x:f>
      </x:c>
      <x:c r="X38" s="314" t="n">
        <x:f>'Readiness'!L10</x:f>
        <x:v>1</x:v>
      </x:c>
      <x:c r="Y38" s="315" t="n">
        <x:f>IF(J38="Mobility",N38,MAX(1,ROUND(N38*X38,0)))</x:f>
        <x:v>4</x:v>
      </x:c>
      <x:c r="Z38" s="333" t="n">
        <x:f>0</x:f>
        <x:v>0</x:v>
      </x:c>
      <x:c r="AA38" s="334"/>
      <x:c r="AB38" s="334"/>
      <x:c r="AC38" s="334"/>
      <x:c r="AD38" s="334"/>
      <x:c r="AE38" s="334"/>
      <x:c r="AF38" s="334"/>
      <x:c r="AG38" s="334"/>
      <x:c r="AH38" s="334"/>
      <x:c r="AI38" s="334"/>
      <x:c r="AJ38" s="312"/>
      <x:c r="AK38" s="312"/>
      <x:c r="AL38" s="312"/>
      <x:c r="AM38" s="312"/>
      <x:c r="AN38" s="312"/>
      <x:c r="AO38" s="315" t="n">
        <x:f>COUNT(AB38,AD38,AF38,AH38,AJ38)</x:f>
        <x:v>0</x:v>
      </x:c>
      <x:c r="AP38" s="315" t="n">
        <x:f>SUM(AB38,AD38,AF38,AH38,AJ38)</x:f>
        <x:v>0</x:v>
      </x:c>
      <x:c r="AQ38" s="333" t="n">
        <x:f>AA38*AB38+AC38*AD38+AE38*AF38+AG38*AH38+AI38*AJ38</x:f>
        <x:v>0</x:v>
      </x:c>
      <x:c r="AR38" s="333" t="n">
        <x:f>IF(OR(J38="Strength",J38="Hypertrophy"),MAX(IF(AB38&gt;0,AA38*(1+AB38/30),0),IF(AD38&gt;0,AC38*(1+AD38/30),0),IF(AF38&gt;0,AE38*(1+AF38/30),0),IF(AH38&gt;0,AG38*(1+AH38/30),0),IF(AJ38&gt;0,AI38*(1+AJ38/30),0)),0)</x:f>
        <x:v>0</x:v>
      </x:c>
      <x:c r="AS38" s="315" t="str">
        <x:f>IF(AN38&lt;&gt;"Yes","Not logged",IF(AL38&gt;='Setup'!$B$14,"STOP / MODIFY",IF(Z38=0,"Complete",IF(OR(AO38=0,AK38=""),"Add set data + RIR",IF(AND(MAX(AB38,AD38,AF38,AH38,AJ38)&gt;=P38,AK38&gt;=Q38+1),"Progress",IF(OR(MAX(AB38,AD38,AF38,AH38,AJ38)&lt;O38,AK38&lt;Q38-1),"Regress","Hold"))))))</x:f>
        <x:v>Not logged</x:v>
      </x:c>
      <x:c r="AT38" s="335" t="n">
        <x:f>IF(OR(Z38=0,AN38&lt;&gt;"Yes",AO38=0,AK38=""),0,IF(AL38&gt;='Setup'!$B$14,-2*'Setup'!$B$11,IF(AND(MAX(AB38,AD38,AF38,AH38,AJ38)&gt;=P38,AK38&gt;=Q38+1),'Setup'!$B$10,IF(OR(MAX(AB38,AD38,AF38,AH38,AJ38)&lt;O38,AK38&lt;Q38-1),-'Setup'!$B$11,0))))</x:f>
        <x:v>0</x:v>
      </x:c>
      <x:c r="AU38" s="333" t="n">
        <x:f>IF(Z38=0,0,IF(AN38&lt;&gt;"Yes",Z38,IF(COUNT(AA38,AC38,AE38,AG38,AI38)=0,Z38,ROUND((MAX(AA38,AC38,AE38,AG38,AI38)*(1+AT38))/'Setup'!$B$9,0)*'Setup'!$B$9)))</x:f>
        <x:v>0</x:v>
      </x:c>
      <x:c r="AV38" s="336"/>
    </x:row>
    <x:row r="39">
      <x:c r="A39" s="310" t="n">
        <x:f>'Setup'!$B$3+(C39-1)*7+(D39-1)</x:f>
        <x:v>46247</x:v>
      </x:c>
      <x:c r="B39" s="311" t="str">
        <x:v>1|4|2</x:v>
      </x:c>
      <x:c r="C39" s="311" t="n">
        <x:v>1</x:v>
      </x:c>
      <x:c r="D39" s="311" t="n">
        <x:v>4</x:v>
      </x:c>
      <x:c r="E39" s="311" t="str">
        <x:v>Accumulation</x:v>
      </x:c>
      <x:c r="F39" s="311" t="str">
        <x:v>Pull B</x:v>
      </x:c>
      <x:c r="G39" s="311" t="str">
        <x:v>Back width + arm volume</x:v>
      </x:c>
      <x:c r="H39" s="311" t="n">
        <x:v>2</x:v>
      </x:c>
      <x:c r="I39" s="311" t="str">
        <x:v>Neutral-Grip Lat Pulldown</x:v>
      </x:c>
      <x:c r="J39" s="311" t="str">
        <x:v>Hypertrophy</x:v>
      </x:c>
      <x:c r="K39" s="311" t="str">
        <x:v>Back</x:v>
      </x:c>
      <x:c r="L39" s="311" t="str">
        <x:v>Straight sets</x:v>
      </x:c>
      <x:c r="M39" s="311"/>
      <x:c r="N39" s="311" t="n">
        <x:v>4</x:v>
      </x:c>
      <x:c r="O39" s="311" t="n">
        <x:v>8</x:v>
      </x:c>
      <x:c r="P39" s="311" t="n">
        <x:v>10</x:v>
      </x:c>
      <x:c r="Q39" s="311" t="n">
        <x:v>3</x:v>
      </x:c>
      <x:c r="R39" s="311" t="n">
        <x:v>90</x:v>
      </x:c>
      <x:c r="S39" s="311" t="str">
        <x:v>2-1-1</x:v>
      </x:c>
      <x:c r="T39" s="330" t="n">
        <x:v>1</x:v>
      </x:c>
      <x:c r="U39" s="330" t="n">
        <x:v>0</x:v>
      </x:c>
      <x:c r="V39" s="331" t="str">
        <x:v>load × reps</x:v>
      </x:c>
      <x:c r="W39" s="332" t="str">
        <x:f>'Readiness'!K10</x:f>
      </x:c>
      <x:c r="X39" s="314" t="n">
        <x:f>'Readiness'!L10</x:f>
        <x:v>1</x:v>
      </x:c>
      <x:c r="Y39" s="315" t="n">
        <x:f>IF(J39="Mobility",N39,MAX(1,ROUND(N39*X39,0)))</x:f>
        <x:v>4</x:v>
      </x:c>
      <x:c r="Z39" s="333" t="n">
        <x:f>IF('Setup'!$D$65&gt;0,'Setup'!$D$65,0)</x:f>
        <x:v>0</x:v>
      </x:c>
      <x:c r="AA39" s="334"/>
      <x:c r="AB39" s="334"/>
      <x:c r="AC39" s="334"/>
      <x:c r="AD39" s="334"/>
      <x:c r="AE39" s="334"/>
      <x:c r="AF39" s="334"/>
      <x:c r="AG39" s="334"/>
      <x:c r="AH39" s="334"/>
      <x:c r="AI39" s="334"/>
      <x:c r="AJ39" s="312"/>
      <x:c r="AK39" s="312"/>
      <x:c r="AL39" s="312"/>
      <x:c r="AM39" s="312"/>
      <x:c r="AN39" s="312"/>
      <x:c r="AO39" s="315" t="n">
        <x:f>COUNT(AB39,AD39,AF39,AH39,AJ39)</x:f>
        <x:v>0</x:v>
      </x:c>
      <x:c r="AP39" s="315" t="n">
        <x:f>SUM(AB39,AD39,AF39,AH39,AJ39)</x:f>
        <x:v>0</x:v>
      </x:c>
      <x:c r="AQ39" s="333" t="n">
        <x:f>AA39*AB39+AC39*AD39+AE39*AF39+AG39*AH39+AI39*AJ39</x:f>
        <x:v>0</x:v>
      </x:c>
      <x:c r="AR39" s="333" t="n">
        <x:f>IF(OR(J39="Strength",J39="Hypertrophy"),MAX(IF(AB39&gt;0,AA39*(1+AB39/30),0),IF(AD39&gt;0,AC39*(1+AD39/30),0),IF(AF39&gt;0,AE39*(1+AF39/30),0),IF(AH39&gt;0,AG39*(1+AH39/30),0),IF(AJ39&gt;0,AI39*(1+AJ39/30),0)),0)</x:f>
        <x:v>0</x:v>
      </x:c>
      <x:c r="AS39" s="315" t="str">
        <x:f>IF(AN39&lt;&gt;"Yes","Not logged",IF(AL39&gt;='Setup'!$B$14,"STOP / MODIFY",IF(Z39=0,"Complete",IF(OR(AO39=0,AK39=""),"Add set data + RIR",IF(AND(MAX(AB39,AD39,AF39,AH39,AJ39)&gt;=P39,AK39&gt;=Q39+1),"Progress",IF(OR(MAX(AB39,AD39,AF39,AH39,AJ39)&lt;O39,AK39&lt;Q39-1),"Regress","Hold"))))))</x:f>
        <x:v>Not logged</x:v>
      </x:c>
      <x:c r="AT39" s="335" t="n">
        <x:f>IF(OR(Z39=0,AN39&lt;&gt;"Yes",AO39=0,AK39=""),0,IF(AL39&gt;='Setup'!$B$14,-2*'Setup'!$B$11,IF(AND(MAX(AB39,AD39,AF39,AH39,AJ39)&gt;=P39,AK39&gt;=Q39+1),'Setup'!$B$10,IF(OR(MAX(AB39,AD39,AF39,AH39,AJ39)&lt;O39,AK39&lt;Q39-1),-'Setup'!$B$11,0))))</x:f>
        <x:v>0</x:v>
      </x:c>
      <x:c r="AU39" s="333" t="n">
        <x:f>IF(Z39=0,0,IF(AN39&lt;&gt;"Yes",Z39,IF(COUNT(AA39,AC39,AE39,AG39,AI39)=0,Z39,ROUND((MAX(AA39,AC39,AE39,AG39,AI39)*(1+AT39))/'Setup'!$B$9,0)*'Setup'!$B$9)))</x:f>
        <x:v>0</x:v>
      </x:c>
      <x:c r="AV39" s="336"/>
    </x:row>
    <x:row r="40">
      <x:c r="A40" s="310" t="n">
        <x:f>'Setup'!$B$3+(C40-1)*7+(D40-1)</x:f>
        <x:v>46247</x:v>
      </x:c>
      <x:c r="B40" s="311" t="str">
        <x:v>1|4|3</x:v>
      </x:c>
      <x:c r="C40" s="311" t="n">
        <x:v>1</x:v>
      </x:c>
      <x:c r="D40" s="311" t="n">
        <x:v>4</x:v>
      </x:c>
      <x:c r="E40" s="311" t="str">
        <x:v>Accumulation</x:v>
      </x:c>
      <x:c r="F40" s="311" t="str">
        <x:v>Pull B</x:v>
      </x:c>
      <x:c r="G40" s="311" t="str">
        <x:v>Back width + arm volume</x:v>
      </x:c>
      <x:c r="H40" s="311" t="n">
        <x:v>3</x:v>
      </x:c>
      <x:c r="I40" s="311" t="str">
        <x:v>One-Arm Cable Row</x:v>
      </x:c>
      <x:c r="J40" s="311" t="str">
        <x:v>Hypertrophy</x:v>
      </x:c>
      <x:c r="K40" s="311" t="str">
        <x:v>Back</x:v>
      </x:c>
      <x:c r="L40" s="311" t="str">
        <x:v>Straight sets</x:v>
      </x:c>
      <x:c r="M40" s="311"/>
      <x:c r="N40" s="311" t="n">
        <x:v>3</x:v>
      </x:c>
      <x:c r="O40" s="311" t="n">
        <x:v>10</x:v>
      </x:c>
      <x:c r="P40" s="311" t="n">
        <x:v>12</x:v>
      </x:c>
      <x:c r="Q40" s="311" t="n">
        <x:v>3</x:v>
      </x:c>
      <x:c r="R40" s="311" t="n">
        <x:v>75</x:v>
      </x:c>
      <x:c r="S40" s="311" t="str">
        <x:v>2-1-1</x:v>
      </x:c>
      <x:c r="T40" s="330" t="n">
        <x:v>1</x:v>
      </x:c>
      <x:c r="U40" s="330" t="n">
        <x:v>0</x:v>
      </x:c>
      <x:c r="V40" s="331" t="str">
        <x:v>load × reps</x:v>
      </x:c>
      <x:c r="W40" s="332" t="str">
        <x:f>'Readiness'!K10</x:f>
      </x:c>
      <x:c r="X40" s="314" t="n">
        <x:f>'Readiness'!L10</x:f>
        <x:v>1</x:v>
      </x:c>
      <x:c r="Y40" s="315" t="n">
        <x:f>IF(J40="Mobility",N40,MAX(1,ROUND(N40*X40,0)))</x:f>
        <x:v>3</x:v>
      </x:c>
      <x:c r="Z40" s="333" t="n">
        <x:f>IF('Setup'!$D$67&gt;0,'Setup'!$D$67,0)</x:f>
        <x:v>0</x:v>
      </x:c>
      <x:c r="AA40" s="334"/>
      <x:c r="AB40" s="334"/>
      <x:c r="AC40" s="334"/>
      <x:c r="AD40" s="334"/>
      <x:c r="AE40" s="334"/>
      <x:c r="AF40" s="334"/>
      <x:c r="AG40" s="334"/>
      <x:c r="AH40" s="334"/>
      <x:c r="AI40" s="334"/>
      <x:c r="AJ40" s="312"/>
      <x:c r="AK40" s="312"/>
      <x:c r="AL40" s="312"/>
      <x:c r="AM40" s="312"/>
      <x:c r="AN40" s="312"/>
      <x:c r="AO40" s="315" t="n">
        <x:f>COUNT(AB40,AD40,AF40,AH40,AJ40)</x:f>
        <x:v>0</x:v>
      </x:c>
      <x:c r="AP40" s="315" t="n">
        <x:f>SUM(AB40,AD40,AF40,AH40,AJ40)</x:f>
        <x:v>0</x:v>
      </x:c>
      <x:c r="AQ40" s="333" t="n">
        <x:f>AA40*AB40+AC40*AD40+AE40*AF40+AG40*AH40+AI40*AJ40</x:f>
        <x:v>0</x:v>
      </x:c>
      <x:c r="AR40" s="333" t="n">
        <x:f>IF(OR(J40="Strength",J40="Hypertrophy"),MAX(IF(AB40&gt;0,AA40*(1+AB40/30),0),IF(AD40&gt;0,AC40*(1+AD40/30),0),IF(AF40&gt;0,AE40*(1+AF40/30),0),IF(AH40&gt;0,AG40*(1+AH40/30),0),IF(AJ40&gt;0,AI40*(1+AJ40/30),0)),0)</x:f>
        <x:v>0</x:v>
      </x:c>
      <x:c r="AS40" s="315" t="str">
        <x:f>IF(AN40&lt;&gt;"Yes","Not logged",IF(AL40&gt;='Setup'!$B$14,"STOP / MODIFY",IF(Z40=0,"Complete",IF(OR(AO40=0,AK40=""),"Add set data + RIR",IF(AND(MAX(AB40,AD40,AF40,AH40,AJ40)&gt;=P40,AK40&gt;=Q40+1),"Progress",IF(OR(MAX(AB40,AD40,AF40,AH40,AJ40)&lt;O40,AK40&lt;Q40-1),"Regress","Hold"))))))</x:f>
        <x:v>Not logged</x:v>
      </x:c>
      <x:c r="AT40" s="335" t="n">
        <x:f>IF(OR(Z40=0,AN40&lt;&gt;"Yes",AO40=0,AK40=""),0,IF(AL40&gt;='Setup'!$B$14,-2*'Setup'!$B$11,IF(AND(MAX(AB40,AD40,AF40,AH40,AJ40)&gt;=P40,AK40&gt;=Q40+1),'Setup'!$B$10,IF(OR(MAX(AB40,AD40,AF40,AH40,AJ40)&lt;O40,AK40&lt;Q40-1),-'Setup'!$B$11,0))))</x:f>
        <x:v>0</x:v>
      </x:c>
      <x:c r="AU40" s="333" t="n">
        <x:f>IF(Z40=0,0,IF(AN40&lt;&gt;"Yes",Z40,IF(COUNT(AA40,AC40,AE40,AG40,AI40)=0,Z40,ROUND((MAX(AA40,AC40,AE40,AG40,AI40)*(1+AT40))/'Setup'!$B$9,0)*'Setup'!$B$9)))</x:f>
        <x:v>0</x:v>
      </x:c>
      <x:c r="AV40" s="336"/>
    </x:row>
    <x:row r="41">
      <x:c r="A41" s="310" t="n">
        <x:f>'Setup'!$B$3+(C41-1)*7+(D41-1)</x:f>
        <x:v>46247</x:v>
      </x:c>
      <x:c r="B41" s="311" t="str">
        <x:v>1|4|4</x:v>
      </x:c>
      <x:c r="C41" s="311" t="n">
        <x:v>1</x:v>
      </x:c>
      <x:c r="D41" s="311" t="n">
        <x:v>4</x:v>
      </x:c>
      <x:c r="E41" s="311" t="str">
        <x:v>Accumulation</x:v>
      </x:c>
      <x:c r="F41" s="311" t="str">
        <x:v>Pull B</x:v>
      </x:c>
      <x:c r="G41" s="311" t="str">
        <x:v>Back width + arm volume</x:v>
      </x:c>
      <x:c r="H41" s="311" t="n">
        <x:v>4</x:v>
      </x:c>
      <x:c r="I41" s="311" t="str">
        <x:v>Machine High Row</x:v>
      </x:c>
      <x:c r="J41" s="311" t="str">
        <x:v>Hypertrophy</x:v>
      </x:c>
      <x:c r="K41" s="311" t="str">
        <x:v>Back</x:v>
      </x:c>
      <x:c r="L41" s="311" t="str">
        <x:v>Straight sets</x:v>
      </x:c>
      <x:c r="M41" s="311"/>
      <x:c r="N41" s="311" t="n">
        <x:v>3</x:v>
      </x:c>
      <x:c r="O41" s="311" t="n">
        <x:v>8</x:v>
      </x:c>
      <x:c r="P41" s="311" t="n">
        <x:v>12</x:v>
      </x:c>
      <x:c r="Q41" s="311" t="n">
        <x:v>3</x:v>
      </x:c>
      <x:c r="R41" s="311" t="n">
        <x:v>90</x:v>
      </x:c>
      <x:c r="S41" s="311" t="str">
        <x:v>2-1-1</x:v>
      </x:c>
      <x:c r="T41" s="330" t="n">
        <x:v>1</x:v>
      </x:c>
      <x:c r="U41" s="330" t="n">
        <x:v>0</x:v>
      </x:c>
      <x:c r="V41" s="331" t="str">
        <x:v>load × reps</x:v>
      </x:c>
      <x:c r="W41" s="332" t="str">
        <x:f>'Readiness'!K10</x:f>
      </x:c>
      <x:c r="X41" s="314" t="n">
        <x:f>'Readiness'!L10</x:f>
        <x:v>1</x:v>
      </x:c>
      <x:c r="Y41" s="315" t="n">
        <x:f>IF(J41="Mobility",N41,MAX(1,ROUND(N41*X41,0)))</x:f>
        <x:v>3</x:v>
      </x:c>
      <x:c r="Z41" s="333" t="n">
        <x:f>IF('Setup'!$D$61&gt;0,'Setup'!$D$61,0)</x:f>
        <x:v>0</x:v>
      </x:c>
      <x:c r="AA41" s="334"/>
      <x:c r="AB41" s="334"/>
      <x:c r="AC41" s="334"/>
      <x:c r="AD41" s="334"/>
      <x:c r="AE41" s="334"/>
      <x:c r="AF41" s="334"/>
      <x:c r="AG41" s="334"/>
      <x:c r="AH41" s="334"/>
      <x:c r="AI41" s="334"/>
      <x:c r="AJ41" s="312"/>
      <x:c r="AK41" s="312"/>
      <x:c r="AL41" s="312"/>
      <x:c r="AM41" s="312"/>
      <x:c r="AN41" s="312"/>
      <x:c r="AO41" s="315" t="n">
        <x:f>COUNT(AB41,AD41,AF41,AH41,AJ41)</x:f>
        <x:v>0</x:v>
      </x:c>
      <x:c r="AP41" s="315" t="n">
        <x:f>SUM(AB41,AD41,AF41,AH41,AJ41)</x:f>
        <x:v>0</x:v>
      </x:c>
      <x:c r="AQ41" s="333" t="n">
        <x:f>AA41*AB41+AC41*AD41+AE41*AF41+AG41*AH41+AI41*AJ41</x:f>
        <x:v>0</x:v>
      </x:c>
      <x:c r="AR41" s="333" t="n">
        <x:f>IF(OR(J41="Strength",J41="Hypertrophy"),MAX(IF(AB41&gt;0,AA41*(1+AB41/30),0),IF(AD41&gt;0,AC41*(1+AD41/30),0),IF(AF41&gt;0,AE41*(1+AF41/30),0),IF(AH41&gt;0,AG41*(1+AH41/30),0),IF(AJ41&gt;0,AI41*(1+AJ41/30),0)),0)</x:f>
        <x:v>0</x:v>
      </x:c>
      <x:c r="AS41" s="315" t="str">
        <x:f>IF(AN41&lt;&gt;"Yes","Not logged",IF(AL41&gt;='Setup'!$B$14,"STOP / MODIFY",IF(Z41=0,"Complete",IF(OR(AO41=0,AK41=""),"Add set data + RIR",IF(AND(MAX(AB41,AD41,AF41,AH41,AJ41)&gt;=P41,AK41&gt;=Q41+1),"Progress",IF(OR(MAX(AB41,AD41,AF41,AH41,AJ41)&lt;O41,AK41&lt;Q41-1),"Regress","Hold"))))))</x:f>
        <x:v>Not logged</x:v>
      </x:c>
      <x:c r="AT41" s="335" t="n">
        <x:f>IF(OR(Z41=0,AN41&lt;&gt;"Yes",AO41=0,AK41=""),0,IF(AL41&gt;='Setup'!$B$14,-2*'Setup'!$B$11,IF(AND(MAX(AB41,AD41,AF41,AH41,AJ41)&gt;=P41,AK41&gt;=Q41+1),'Setup'!$B$10,IF(OR(MAX(AB41,AD41,AF41,AH41,AJ41)&lt;O41,AK41&lt;Q41-1),-'Setup'!$B$11,0))))</x:f>
        <x:v>0</x:v>
      </x:c>
      <x:c r="AU41" s="333" t="n">
        <x:f>IF(Z41=0,0,IF(AN41&lt;&gt;"Yes",Z41,IF(COUNT(AA41,AC41,AE41,AG41,AI41)=0,Z41,ROUND((MAX(AA41,AC41,AE41,AG41,AI41)*(1+AT41))/'Setup'!$B$9,0)*'Setup'!$B$9)))</x:f>
        <x:v>0</x:v>
      </x:c>
      <x:c r="AV41" s="336"/>
    </x:row>
    <x:row r="42">
      <x:c r="A42" s="310" t="n">
        <x:f>'Setup'!$B$3+(C42-1)*7+(D42-1)</x:f>
        <x:v>46247</x:v>
      </x:c>
      <x:c r="B42" s="311" t="str">
        <x:v>1|4|5</x:v>
      </x:c>
      <x:c r="C42" s="311" t="n">
        <x:v>1</x:v>
      </x:c>
      <x:c r="D42" s="311" t="n">
        <x:v>4</x:v>
      </x:c>
      <x:c r="E42" s="311" t="str">
        <x:v>Accumulation</x:v>
      </x:c>
      <x:c r="F42" s="311" t="str">
        <x:v>Pull B</x:v>
      </x:c>
      <x:c r="G42" s="311" t="str">
        <x:v>Back width + arm volume</x:v>
      </x:c>
      <x:c r="H42" s="311" t="n">
        <x:v>5</x:v>
      </x:c>
      <x:c r="I42" s="311" t="str">
        <x:v>Straight-Arm Pulldown</x:v>
      </x:c>
      <x:c r="J42" s="311" t="str">
        <x:v>Hypertrophy</x:v>
      </x:c>
      <x:c r="K42" s="311" t="str">
        <x:v>Back</x:v>
      </x:c>
      <x:c r="L42" s="311" t="str">
        <x:v>Straight sets</x:v>
      </x:c>
      <x:c r="M42" s="311"/>
      <x:c r="N42" s="311" t="n">
        <x:v>3</x:v>
      </x:c>
      <x:c r="O42" s="311" t="n">
        <x:v>12</x:v>
      </x:c>
      <x:c r="P42" s="311" t="n">
        <x:v>15</x:v>
      </x:c>
      <x:c r="Q42" s="311" t="n">
        <x:v>3</x:v>
      </x:c>
      <x:c r="R42" s="311" t="n">
        <x:v>60</x:v>
      </x:c>
      <x:c r="S42" s="311" t="str">
        <x:v>3-1-1</x:v>
      </x:c>
      <x:c r="T42" s="330" t="n">
        <x:v>1</x:v>
      </x:c>
      <x:c r="U42" s="330" t="n">
        <x:v>0</x:v>
      </x:c>
      <x:c r="V42" s="331" t="str">
        <x:v>load × reps</x:v>
      </x:c>
      <x:c r="W42" s="332" t="str">
        <x:f>'Readiness'!K10</x:f>
      </x:c>
      <x:c r="X42" s="314" t="n">
        <x:f>'Readiness'!L10</x:f>
        <x:v>1</x:v>
      </x:c>
      <x:c r="Y42" s="315" t="n">
        <x:f>IF(J42="Mobility",N42,MAX(1,ROUND(N42*X42,0)))</x:f>
        <x:v>3</x:v>
      </x:c>
      <x:c r="Z42" s="333" t="n">
        <x:f>IF('Setup'!$D$91&gt;0,'Setup'!$D$91,0)</x:f>
        <x:v>0</x:v>
      </x:c>
      <x:c r="AA42" s="334"/>
      <x:c r="AB42" s="334"/>
      <x:c r="AC42" s="334"/>
      <x:c r="AD42" s="334"/>
      <x:c r="AE42" s="334"/>
      <x:c r="AF42" s="334"/>
      <x:c r="AG42" s="334"/>
      <x:c r="AH42" s="334"/>
      <x:c r="AI42" s="334"/>
      <x:c r="AJ42" s="312"/>
      <x:c r="AK42" s="312"/>
      <x:c r="AL42" s="312"/>
      <x:c r="AM42" s="312"/>
      <x:c r="AN42" s="312"/>
      <x:c r="AO42" s="315" t="n">
        <x:f>COUNT(AB42,AD42,AF42,AH42,AJ42)</x:f>
        <x:v>0</x:v>
      </x:c>
      <x:c r="AP42" s="315" t="n">
        <x:f>SUM(AB42,AD42,AF42,AH42,AJ42)</x:f>
        <x:v>0</x:v>
      </x:c>
      <x:c r="AQ42" s="333" t="n">
        <x:f>AA42*AB42+AC42*AD42+AE42*AF42+AG42*AH42+AI42*AJ42</x:f>
        <x:v>0</x:v>
      </x:c>
      <x:c r="AR42" s="333" t="n">
        <x:f>IF(OR(J42="Strength",J42="Hypertrophy"),MAX(IF(AB42&gt;0,AA42*(1+AB42/30),0),IF(AD42&gt;0,AC42*(1+AD42/30),0),IF(AF42&gt;0,AE42*(1+AF42/30),0),IF(AH42&gt;0,AG42*(1+AH42/30),0),IF(AJ42&gt;0,AI42*(1+AJ42/30),0)),0)</x:f>
        <x:v>0</x:v>
      </x:c>
      <x:c r="AS42" s="315" t="str">
        <x:f>IF(AN42&lt;&gt;"Yes","Not logged",IF(AL42&gt;='Setup'!$B$14,"STOP / MODIFY",IF(Z42=0,"Complete",IF(OR(AO42=0,AK42=""),"Add set data + RIR",IF(AND(MAX(AB42,AD42,AF42,AH42,AJ42)&gt;=P42,AK42&gt;=Q42+1),"Progress",IF(OR(MAX(AB42,AD42,AF42,AH42,AJ42)&lt;O42,AK42&lt;Q42-1),"Regress","Hold"))))))</x:f>
        <x:v>Not logged</x:v>
      </x:c>
      <x:c r="AT42" s="335" t="n">
        <x:f>IF(OR(Z42=0,AN42&lt;&gt;"Yes",AO42=0,AK42=""),0,IF(AL42&gt;='Setup'!$B$14,-2*'Setup'!$B$11,IF(AND(MAX(AB42,AD42,AF42,AH42,AJ42)&gt;=P42,AK42&gt;=Q42+1),'Setup'!$B$10,IF(OR(MAX(AB42,AD42,AF42,AH42,AJ42)&lt;O42,AK42&lt;Q42-1),-'Setup'!$B$11,0))))</x:f>
        <x:v>0</x:v>
      </x:c>
      <x:c r="AU42" s="333" t="n">
        <x:f>IF(Z42=0,0,IF(AN42&lt;&gt;"Yes",Z42,IF(COUNT(AA42,AC42,AE42,AG42,AI42)=0,Z42,ROUND((MAX(AA42,AC42,AE42,AG42,AI42)*(1+AT42))/'Setup'!$B$9,0)*'Setup'!$B$9)))</x:f>
        <x:v>0</x:v>
      </x:c>
      <x:c r="AV42" s="336"/>
    </x:row>
    <x:row r="43">
      <x:c r="A43" s="310" t="n">
        <x:f>'Setup'!$B$3+(C43-1)*7+(D43-1)</x:f>
        <x:v>46247</x:v>
      </x:c>
      <x:c r="B43" s="311" t="str">
        <x:v>1|4|6</x:v>
      </x:c>
      <x:c r="C43" s="311" t="n">
        <x:v>1</x:v>
      </x:c>
      <x:c r="D43" s="311" t="n">
        <x:v>4</x:v>
      </x:c>
      <x:c r="E43" s="311" t="str">
        <x:v>Accumulation</x:v>
      </x:c>
      <x:c r="F43" s="311" t="str">
        <x:v>Pull B</x:v>
      </x:c>
      <x:c r="G43" s="311" t="str">
        <x:v>Back width + arm volume</x:v>
      </x:c>
      <x:c r="H43" s="311" t="n">
        <x:v>6</x:v>
      </x:c>
      <x:c r="I43" s="311" t="str">
        <x:v>Face Pull</x:v>
      </x:c>
      <x:c r="J43" s="311" t="str">
        <x:v>Hypertrophy</x:v>
      </x:c>
      <x:c r="K43" s="311" t="str">
        <x:v>Rear Delts</x:v>
      </x:c>
      <x:c r="L43" s="311" t="str">
        <x:v>Superset</x:v>
      </x:c>
      <x:c r="M43" s="311" t="str">
        <x:v>A1</x:v>
      </x:c>
      <x:c r="N43" s="311" t="n">
        <x:v>3</x:v>
      </x:c>
      <x:c r="O43" s="311" t="n">
        <x:v>12</x:v>
      </x:c>
      <x:c r="P43" s="311" t="n">
        <x:v>20</x:v>
      </x:c>
      <x:c r="Q43" s="311" t="n">
        <x:v>3</x:v>
      </x:c>
      <x:c r="R43" s="311" t="n">
        <x:v>30</x:v>
      </x:c>
      <x:c r="S43" s="311" t="str">
        <x:v>2-1-2</x:v>
      </x:c>
      <x:c r="T43" s="330" t="n">
        <x:v>1</x:v>
      </x:c>
      <x:c r="U43" s="330" t="n">
        <x:v>0</x:v>
      </x:c>
      <x:c r="V43" s="331" t="str">
        <x:v>load × reps</x:v>
      </x:c>
      <x:c r="W43" s="332" t="str">
        <x:f>'Readiness'!K10</x:f>
      </x:c>
      <x:c r="X43" s="314" t="n">
        <x:f>'Readiness'!L10</x:f>
        <x:v>1</x:v>
      </x:c>
      <x:c r="Y43" s="315" t="n">
        <x:f>IF(J43="Mobility",N43,MAX(1,ROUND(N43*X43,0)))</x:f>
        <x:v>3</x:v>
      </x:c>
      <x:c r="Z43" s="333" t="n">
        <x:f>IF('Setup'!$D$41&gt;0,'Setup'!$D$41,0)</x:f>
        <x:v>0</x:v>
      </x:c>
      <x:c r="AA43" s="334"/>
      <x:c r="AB43" s="334"/>
      <x:c r="AC43" s="334"/>
      <x:c r="AD43" s="334"/>
      <x:c r="AE43" s="334"/>
      <x:c r="AF43" s="334"/>
      <x:c r="AG43" s="334"/>
      <x:c r="AH43" s="334"/>
      <x:c r="AI43" s="334"/>
      <x:c r="AJ43" s="312"/>
      <x:c r="AK43" s="312"/>
      <x:c r="AL43" s="312"/>
      <x:c r="AM43" s="312"/>
      <x:c r="AN43" s="312"/>
      <x:c r="AO43" s="315" t="n">
        <x:f>COUNT(AB43,AD43,AF43,AH43,AJ43)</x:f>
        <x:v>0</x:v>
      </x:c>
      <x:c r="AP43" s="315" t="n">
        <x:f>SUM(AB43,AD43,AF43,AH43,AJ43)</x:f>
        <x:v>0</x:v>
      </x:c>
      <x:c r="AQ43" s="333" t="n">
        <x:f>AA43*AB43+AC43*AD43+AE43*AF43+AG43*AH43+AI43*AJ43</x:f>
        <x:v>0</x:v>
      </x:c>
      <x:c r="AR43" s="333" t="n">
        <x:f>IF(OR(J43="Strength",J43="Hypertrophy"),MAX(IF(AB43&gt;0,AA43*(1+AB43/30),0),IF(AD43&gt;0,AC43*(1+AD43/30),0),IF(AF43&gt;0,AE43*(1+AF43/30),0),IF(AH43&gt;0,AG43*(1+AH43/30),0),IF(AJ43&gt;0,AI43*(1+AJ43/30),0)),0)</x:f>
        <x:v>0</x:v>
      </x:c>
      <x:c r="AS43" s="315" t="str">
        <x:f>IF(AN43&lt;&gt;"Yes","Not logged",IF(AL43&gt;='Setup'!$B$14,"STOP / MODIFY",IF(Z43=0,"Complete",IF(OR(AO43=0,AK43=""),"Add set data + RIR",IF(AND(MAX(AB43,AD43,AF43,AH43,AJ43)&gt;=P43,AK43&gt;=Q43+1),"Progress",IF(OR(MAX(AB43,AD43,AF43,AH43,AJ43)&lt;O43,AK43&lt;Q43-1),"Regress","Hold"))))))</x:f>
        <x:v>Not logged</x:v>
      </x:c>
      <x:c r="AT43" s="335" t="n">
        <x:f>IF(OR(Z43=0,AN43&lt;&gt;"Yes",AO43=0,AK43=""),0,IF(AL43&gt;='Setup'!$B$14,-2*'Setup'!$B$11,IF(AND(MAX(AB43,AD43,AF43,AH43,AJ43)&gt;=P43,AK43&gt;=Q43+1),'Setup'!$B$10,IF(OR(MAX(AB43,AD43,AF43,AH43,AJ43)&lt;O43,AK43&lt;Q43-1),-'Setup'!$B$11,0))))</x:f>
        <x:v>0</x:v>
      </x:c>
      <x:c r="AU43" s="333" t="n">
        <x:f>IF(Z43=0,0,IF(AN43&lt;&gt;"Yes",Z43,IF(COUNT(AA43,AC43,AE43,AG43,AI43)=0,Z43,ROUND((MAX(AA43,AC43,AE43,AG43,AI43)*(1+AT43))/'Setup'!$B$9,0)*'Setup'!$B$9)))</x:f>
        <x:v>0</x:v>
      </x:c>
      <x:c r="AV43" s="336"/>
    </x:row>
    <x:row r="44">
      <x:c r="A44" s="310" t="n">
        <x:f>'Setup'!$B$3+(C44-1)*7+(D44-1)</x:f>
        <x:v>46247</x:v>
      </x:c>
      <x:c r="B44" s="311" t="str">
        <x:v>1|4|7</x:v>
      </x:c>
      <x:c r="C44" s="311" t="n">
        <x:v>1</x:v>
      </x:c>
      <x:c r="D44" s="311" t="n">
        <x:v>4</x:v>
      </x:c>
      <x:c r="E44" s="311" t="str">
        <x:v>Accumulation</x:v>
      </x:c>
      <x:c r="F44" s="311" t="str">
        <x:v>Pull B</x:v>
      </x:c>
      <x:c r="G44" s="311" t="str">
        <x:v>Back width + arm volume</x:v>
      </x:c>
      <x:c r="H44" s="311" t="n">
        <x:v>7</x:v>
      </x:c>
      <x:c r="I44" s="311" t="str">
        <x:v>Hammer Curl</x:v>
      </x:c>
      <x:c r="J44" s="311" t="str">
        <x:v>Hypertrophy</x:v>
      </x:c>
      <x:c r="K44" s="311" t="str">
        <x:v>Biceps</x:v>
      </x:c>
      <x:c r="L44" s="311" t="str">
        <x:v>Superset</x:v>
      </x:c>
      <x:c r="M44" s="311" t="str">
        <x:v>A2</x:v>
      </x:c>
      <x:c r="N44" s="311" t="n">
        <x:v>3</x:v>
      </x:c>
      <x:c r="O44" s="311" t="n">
        <x:v>10</x:v>
      </x:c>
      <x:c r="P44" s="311" t="n">
        <x:v>15</x:v>
      </x:c>
      <x:c r="Q44" s="311" t="n">
        <x:v>3</x:v>
      </x:c>
      <x:c r="R44" s="311" t="n">
        <x:v>45</x:v>
      </x:c>
      <x:c r="S44" s="311" t="str">
        <x:v>2-0-1</x:v>
      </x:c>
      <x:c r="T44" s="330" t="n">
        <x:v>1</x:v>
      </x:c>
      <x:c r="U44" s="330" t="n">
        <x:v>0</x:v>
      </x:c>
      <x:c r="V44" s="331" t="str">
        <x:v>load × reps</x:v>
      </x:c>
      <x:c r="W44" s="332" t="str">
        <x:f>'Readiness'!K10</x:f>
      </x:c>
      <x:c r="X44" s="314" t="n">
        <x:f>'Readiness'!L10</x:f>
        <x:v>1</x:v>
      </x:c>
      <x:c r="Y44" s="315" t="n">
        <x:f>IF(J44="Mobility",N44,MAX(1,ROUND(N44*X44,0)))</x:f>
        <x:v>3</x:v>
      </x:c>
      <x:c r="Z44" s="333" t="n">
        <x:f>IF('Setup'!$D$48&gt;0,'Setup'!$D$48,0)</x:f>
        <x:v>0</x:v>
      </x:c>
      <x:c r="AA44" s="334"/>
      <x:c r="AB44" s="334"/>
      <x:c r="AC44" s="334"/>
      <x:c r="AD44" s="334"/>
      <x:c r="AE44" s="334"/>
      <x:c r="AF44" s="334"/>
      <x:c r="AG44" s="334"/>
      <x:c r="AH44" s="334"/>
      <x:c r="AI44" s="334"/>
      <x:c r="AJ44" s="312"/>
      <x:c r="AK44" s="312"/>
      <x:c r="AL44" s="312"/>
      <x:c r="AM44" s="312"/>
      <x:c r="AN44" s="312"/>
      <x:c r="AO44" s="315" t="n">
        <x:f>COUNT(AB44,AD44,AF44,AH44,AJ44)</x:f>
        <x:v>0</x:v>
      </x:c>
      <x:c r="AP44" s="315" t="n">
        <x:f>SUM(AB44,AD44,AF44,AH44,AJ44)</x:f>
        <x:v>0</x:v>
      </x:c>
      <x:c r="AQ44" s="333" t="n">
        <x:f>AA44*AB44+AC44*AD44+AE44*AF44+AG44*AH44+AI44*AJ44</x:f>
        <x:v>0</x:v>
      </x:c>
      <x:c r="AR44" s="333" t="n">
        <x:f>IF(OR(J44="Strength",J44="Hypertrophy"),MAX(IF(AB44&gt;0,AA44*(1+AB44/30),0),IF(AD44&gt;0,AC44*(1+AD44/30),0),IF(AF44&gt;0,AE44*(1+AF44/30),0),IF(AH44&gt;0,AG44*(1+AH44/30),0),IF(AJ44&gt;0,AI44*(1+AJ44/30),0)),0)</x:f>
        <x:v>0</x:v>
      </x:c>
      <x:c r="AS44" s="315" t="str">
        <x:f>IF(AN44&lt;&gt;"Yes","Not logged",IF(AL44&gt;='Setup'!$B$14,"STOP / MODIFY",IF(Z44=0,"Complete",IF(OR(AO44=0,AK44=""),"Add set data + RIR",IF(AND(MAX(AB44,AD44,AF44,AH44,AJ44)&gt;=P44,AK44&gt;=Q44+1),"Progress",IF(OR(MAX(AB44,AD44,AF44,AH44,AJ44)&lt;O44,AK44&lt;Q44-1),"Regress","Hold"))))))</x:f>
        <x:v>Not logged</x:v>
      </x:c>
      <x:c r="AT44" s="335" t="n">
        <x:f>IF(OR(Z44=0,AN44&lt;&gt;"Yes",AO44=0,AK44=""),0,IF(AL44&gt;='Setup'!$B$14,-2*'Setup'!$B$11,IF(AND(MAX(AB44,AD44,AF44,AH44,AJ44)&gt;=P44,AK44&gt;=Q44+1),'Setup'!$B$10,IF(OR(MAX(AB44,AD44,AF44,AH44,AJ44)&lt;O44,AK44&lt;Q44-1),-'Setup'!$B$11,0))))</x:f>
        <x:v>0</x:v>
      </x:c>
      <x:c r="AU44" s="333" t="n">
        <x:f>IF(Z44=0,0,IF(AN44&lt;&gt;"Yes",Z44,IF(COUNT(AA44,AC44,AE44,AG44,AI44)=0,Z44,ROUND((MAX(AA44,AC44,AE44,AG44,AI44)*(1+AT44))/'Setup'!$B$9,0)*'Setup'!$B$9)))</x:f>
        <x:v>0</x:v>
      </x:c>
      <x:c r="AV44" s="336"/>
    </x:row>
    <x:row r="45">
      <x:c r="A45" s="310" t="n">
        <x:f>'Setup'!$B$3+(C45-1)*7+(D45-1)</x:f>
        <x:v>46247</x:v>
      </x:c>
      <x:c r="B45" s="311" t="str">
        <x:v>1|4|8</x:v>
      </x:c>
      <x:c r="C45" s="311" t="n">
        <x:v>1</x:v>
      </x:c>
      <x:c r="D45" s="311" t="n">
        <x:v>4</x:v>
      </x:c>
      <x:c r="E45" s="311" t="str">
        <x:v>Accumulation</x:v>
      </x:c>
      <x:c r="F45" s="311" t="str">
        <x:v>Pull B</x:v>
      </x:c>
      <x:c r="G45" s="311" t="str">
        <x:v>Back width + arm volume</x:v>
      </x:c>
      <x:c r="H45" s="311" t="n">
        <x:v>8</x:v>
      </x:c>
      <x:c r="I45" s="311" t="str">
        <x:v>RowErg Sprint Intervals</x:v>
      </x:c>
      <x:c r="J45" s="311" t="str">
        <x:v>Athletic</x:v>
      </x:c>
      <x:c r="K45" s="311" t="str">
        <x:v>Full Body</x:v>
      </x:c>
      <x:c r="L45" s="311" t="str">
        <x:v>20 s hard / 70 s easy</x:v>
      </x:c>
      <x:c r="M45" s="311"/>
      <x:c r="N45" s="311" t="n">
        <x:v>6</x:v>
      </x:c>
      <x:c r="O45" s="311" t="n">
        <x:v>20</x:v>
      </x:c>
      <x:c r="P45" s="311" t="n">
        <x:v>20</x:v>
      </x:c>
      <x:c r="Q45" s="311" t="n">
        <x:v>3</x:v>
      </x:c>
      <x:c r="R45" s="311" t="n">
        <x:v>70</x:v>
      </x:c>
      <x:c r="S45" s="311" t="str">
        <x:v>Powerful</x:v>
      </x:c>
      <x:c r="T45" s="330" t="n">
        <x:v>1</x:v>
      </x:c>
      <x:c r="U45" s="330" t="n">
        <x:v>0</x:v>
      </x:c>
      <x:c r="V45" s="331" t="str">
        <x:v>watts / meters</x:v>
      </x:c>
      <x:c r="W45" s="332" t="str">
        <x:f>'Readiness'!K10</x:f>
      </x:c>
      <x:c r="X45" s="314" t="n">
        <x:f>'Readiness'!L10</x:f>
        <x:v>1</x:v>
      </x:c>
      <x:c r="Y45" s="315" t="n">
        <x:f>IF(J45="Mobility",N45,MAX(1,ROUND(N45*X45,0)))</x:f>
        <x:v>6</x:v>
      </x:c>
      <x:c r="Z45" s="333" t="n">
        <x:f>0</x:f>
        <x:v>0</x:v>
      </x:c>
      <x:c r="AA45" s="334"/>
      <x:c r="AB45" s="334"/>
      <x:c r="AC45" s="334"/>
      <x:c r="AD45" s="334"/>
      <x:c r="AE45" s="334"/>
      <x:c r="AF45" s="334"/>
      <x:c r="AG45" s="334"/>
      <x:c r="AH45" s="334"/>
      <x:c r="AI45" s="334"/>
      <x:c r="AJ45" s="312"/>
      <x:c r="AK45" s="312"/>
      <x:c r="AL45" s="312"/>
      <x:c r="AM45" s="312"/>
      <x:c r="AN45" s="312"/>
      <x:c r="AO45" s="315" t="n">
        <x:f>COUNT(AB45,AD45,AF45,AH45,AJ45)</x:f>
        <x:v>0</x:v>
      </x:c>
      <x:c r="AP45" s="315" t="n">
        <x:f>SUM(AB45,AD45,AF45,AH45,AJ45)</x:f>
        <x:v>0</x:v>
      </x:c>
      <x:c r="AQ45" s="333" t="n">
        <x:f>AA45*AB45+AC45*AD45+AE45*AF45+AG45*AH45+AI45*AJ45</x:f>
        <x:v>0</x:v>
      </x:c>
      <x:c r="AR45" s="333" t="n">
        <x:f>IF(OR(J45="Strength",J45="Hypertrophy"),MAX(IF(AB45&gt;0,AA45*(1+AB45/30),0),IF(AD45&gt;0,AC45*(1+AD45/30),0),IF(AF45&gt;0,AE45*(1+AF45/30),0),IF(AH45&gt;0,AG45*(1+AH45/30),0),IF(AJ45&gt;0,AI45*(1+AJ45/30),0)),0)</x:f>
        <x:v>0</x:v>
      </x:c>
      <x:c r="AS45" s="315" t="str">
        <x:f>IF(AN45&lt;&gt;"Yes","Not logged",IF(AL45&gt;='Setup'!$B$14,"STOP / MODIFY",IF(Z45=0,"Complete",IF(OR(AO45=0,AK45=""),"Add set data + RIR",IF(AND(MAX(AB45,AD45,AF45,AH45,AJ45)&gt;=P45,AK45&gt;=Q45+1),"Progress",IF(OR(MAX(AB45,AD45,AF45,AH45,AJ45)&lt;O45,AK45&lt;Q45-1),"Regress","Hold"))))))</x:f>
        <x:v>Not logged</x:v>
      </x:c>
      <x:c r="AT45" s="335" t="n">
        <x:f>IF(OR(Z45=0,AN45&lt;&gt;"Yes",AO45=0,AK45=""),0,IF(AL45&gt;='Setup'!$B$14,-2*'Setup'!$B$11,IF(AND(MAX(AB45,AD45,AF45,AH45,AJ45)&gt;=P45,AK45&gt;=Q45+1),'Setup'!$B$10,IF(OR(MAX(AB45,AD45,AF45,AH45,AJ45)&lt;O45,AK45&lt;Q45-1),-'Setup'!$B$11,0))))</x:f>
        <x:v>0</x:v>
      </x:c>
      <x:c r="AU45" s="333" t="n">
        <x:f>IF(Z45=0,0,IF(AN45&lt;&gt;"Yes",Z45,IF(COUNT(AA45,AC45,AE45,AG45,AI45)=0,Z45,ROUND((MAX(AA45,AC45,AE45,AG45,AI45)*(1+AT45))/'Setup'!$B$9,0)*'Setup'!$B$9)))</x:f>
        <x:v>0</x:v>
      </x:c>
      <x:c r="AV45" s="336"/>
    </x:row>
    <x:row r="46">
      <x:c r="A46" s="310" t="n">
        <x:f>'Setup'!$B$3+(C46-1)*7+(D46-1)</x:f>
        <x:v>46247</x:v>
      </x:c>
      <x:c r="B46" s="311" t="str">
        <x:v>1|4|9</x:v>
      </x:c>
      <x:c r="C46" s="311" t="n">
        <x:v>1</x:v>
      </x:c>
      <x:c r="D46" s="311" t="n">
        <x:v>4</x:v>
      </x:c>
      <x:c r="E46" s="311" t="str">
        <x:v>Accumulation</x:v>
      </x:c>
      <x:c r="F46" s="311" t="str">
        <x:v>Pull B</x:v>
      </x:c>
      <x:c r="G46" s="311" t="str">
        <x:v>Back width + arm volume</x:v>
      </x:c>
      <x:c r="H46" s="311" t="n">
        <x:v>9</x:v>
      </x:c>
      <x:c r="I46" s="311" t="str">
        <x:v>Scapular Pull-Up</x:v>
      </x:c>
      <x:c r="J46" s="311" t="str">
        <x:v>Mobility</x:v>
      </x:c>
      <x:c r="K46" s="311" t="str">
        <x:v>Shoulders</x:v>
      </x:c>
      <x:c r="L46" s="311" t="str">
        <x:v>Controlled scapular motion</x:v>
      </x:c>
      <x:c r="M46" s="311"/>
      <x:c r="N46" s="311" t="n">
        <x:v>2</x:v>
      </x:c>
      <x:c r="O46" s="311" t="n">
        <x:v>6</x:v>
      </x:c>
      <x:c r="P46" s="311" t="n">
        <x:v>10</x:v>
      </x:c>
      <x:c r="Q46" s="311"/>
      <x:c r="R46" s="311" t="n">
        <x:v>30</x:v>
      </x:c>
      <x:c r="S46" s="311" t="str">
        <x:v>Slow</x:v>
      </x:c>
      <x:c r="T46" s="330" t="n">
        <x:v>1</x:v>
      </x:c>
      <x:c r="U46" s="330" t="n">
        <x:v>0</x:v>
      </x:c>
      <x:c r="V46" s="331" t="str">
        <x:v>reps</x:v>
      </x:c>
      <x:c r="W46" s="332" t="str">
        <x:f>'Readiness'!K10</x:f>
      </x:c>
      <x:c r="X46" s="314" t="n">
        <x:f>'Readiness'!L10</x:f>
        <x:v>1</x:v>
      </x:c>
      <x:c r="Y46" s="315" t="n">
        <x:f>IF(J46="Mobility",N46,MAX(1,ROUND(N46*X46,0)))</x:f>
        <x:v>2</x:v>
      </x:c>
      <x:c r="Z46" s="333" t="n">
        <x:f>0</x:f>
        <x:v>0</x:v>
      </x:c>
      <x:c r="AA46" s="334"/>
      <x:c r="AB46" s="334"/>
      <x:c r="AC46" s="334"/>
      <x:c r="AD46" s="334"/>
      <x:c r="AE46" s="334"/>
      <x:c r="AF46" s="334"/>
      <x:c r="AG46" s="334"/>
      <x:c r="AH46" s="334"/>
      <x:c r="AI46" s="334"/>
      <x:c r="AJ46" s="312"/>
      <x:c r="AK46" s="312"/>
      <x:c r="AL46" s="312"/>
      <x:c r="AM46" s="312"/>
      <x:c r="AN46" s="312"/>
      <x:c r="AO46" s="315" t="n">
        <x:f>COUNT(AB46,AD46,AF46,AH46,AJ46)</x:f>
        <x:v>0</x:v>
      </x:c>
      <x:c r="AP46" s="315" t="n">
        <x:f>SUM(AB46,AD46,AF46,AH46,AJ46)</x:f>
        <x:v>0</x:v>
      </x:c>
      <x:c r="AQ46" s="333" t="n">
        <x:f>AA46*AB46+AC46*AD46+AE46*AF46+AG46*AH46+AI46*AJ46</x:f>
        <x:v>0</x:v>
      </x:c>
      <x:c r="AR46" s="333" t="n">
        <x:f>IF(OR(J46="Strength",J46="Hypertrophy"),MAX(IF(AB46&gt;0,AA46*(1+AB46/30),0),IF(AD46&gt;0,AC46*(1+AD46/30),0),IF(AF46&gt;0,AE46*(1+AF46/30),0),IF(AH46&gt;0,AG46*(1+AH46/30),0),IF(AJ46&gt;0,AI46*(1+AJ46/30),0)),0)</x:f>
        <x:v>0</x:v>
      </x:c>
      <x:c r="AS46" s="315" t="str">
        <x:f>IF(AN46&lt;&gt;"Yes","Not logged",IF(AL46&gt;='Setup'!$B$14,"STOP / MODIFY",IF(Z46=0,"Complete",IF(OR(AO46=0,AK46=""),"Add set data + RIR",IF(AND(MAX(AB46,AD46,AF46,AH46,AJ46)&gt;=P46,AK46&gt;=Q46+1),"Progress",IF(OR(MAX(AB46,AD46,AF46,AH46,AJ46)&lt;O46,AK46&lt;Q46-1),"Regress","Hold"))))))</x:f>
        <x:v>Not logged</x:v>
      </x:c>
      <x:c r="AT46" s="335" t="n">
        <x:f>IF(OR(Z46=0,AN46&lt;&gt;"Yes",AO46=0,AK46=""),0,IF(AL46&gt;='Setup'!$B$14,-2*'Setup'!$B$11,IF(AND(MAX(AB46,AD46,AF46,AH46,AJ46)&gt;=P46,AK46&gt;=Q46+1),'Setup'!$B$10,IF(OR(MAX(AB46,AD46,AF46,AH46,AJ46)&lt;O46,AK46&lt;Q46-1),-'Setup'!$B$11,0))))</x:f>
        <x:v>0</x:v>
      </x:c>
      <x:c r="AU46" s="333" t="n">
        <x:f>IF(Z46=0,0,IF(AN46&lt;&gt;"Yes",Z46,IF(COUNT(AA46,AC46,AE46,AG46,AI46)=0,Z46,ROUND((MAX(AA46,AC46,AE46,AG46,AI46)*(1+AT46))/'Setup'!$B$9,0)*'Setup'!$B$9)))</x:f>
        <x:v>0</x:v>
      </x:c>
      <x:c r="AV46" s="336"/>
    </x:row>
    <x:row r="47">
      <x:c r="A47" s="310" t="n">
        <x:f>'Setup'!$B$3+(C47-1)*7+(D47-1)</x:f>
        <x:v>46248</x:v>
      </x:c>
      <x:c r="B47" s="311" t="str">
        <x:v>1|5|1</x:v>
      </x:c>
      <x:c r="C47" s="311" t="n">
        <x:v>1</x:v>
      </x:c>
      <x:c r="D47" s="311" t="n">
        <x:v>5</x:v>
      </x:c>
      <x:c r="E47" s="311" t="str">
        <x:v>Accumulation</x:v>
      </x:c>
      <x:c r="F47" s="311" t="str">
        <x:v>Legs B + Athletic</x:v>
      </x:c>
      <x:c r="G47" s="311" t="str">
        <x:v>Acceleration + lower-body hypertrophy</x:v>
      </x:c>
      <x:c r="H47" s="311" t="n">
        <x:v>1</x:v>
      </x:c>
      <x:c r="I47" s="311" t="str">
        <x:v>Acceleration Sprint</x:v>
      </x:c>
      <x:c r="J47" s="311" t="str">
        <x:v>Athletic</x:v>
      </x:c>
      <x:c r="K47" s="311" t="str">
        <x:v>Full Body</x:v>
      </x:c>
      <x:c r="L47" s="311" t="str">
        <x:v>Full recovery, stop on speed drop</x:v>
      </x:c>
      <x:c r="M47" s="311"/>
      <x:c r="N47" s="311" t="n">
        <x:v>6</x:v>
      </x:c>
      <x:c r="O47" s="311" t="n">
        <x:v>20</x:v>
      </x:c>
      <x:c r="P47" s="311" t="n">
        <x:v>20</x:v>
      </x:c>
      <x:c r="Q47" s="311" t="n">
        <x:v>3</x:v>
      </x:c>
      <x:c r="R47" s="311" t="n">
        <x:v>90</x:v>
      </x:c>
      <x:c r="S47" s="311" t="str">
        <x:v>Max quality</x:v>
      </x:c>
      <x:c r="T47" s="330" t="n">
        <x:v>1</x:v>
      </x:c>
      <x:c r="U47" s="330" t="n">
        <x:v>0</x:v>
      </x:c>
      <x:c r="V47" s="331" t="str">
        <x:v>20 m time</x:v>
      </x:c>
      <x:c r="W47" s="332" t="str">
        <x:f>'Readiness'!K11</x:f>
      </x:c>
      <x:c r="X47" s="314" t="n">
        <x:f>'Readiness'!L11</x:f>
        <x:v>1</x:v>
      </x:c>
      <x:c r="Y47" s="315" t="n">
        <x:f>IF(J47="Mobility",N47,MAX(1,ROUND(N47*X47,0)))</x:f>
        <x:v>6</x:v>
      </x:c>
      <x:c r="Z47" s="333" t="n">
        <x:f>0</x:f>
        <x:v>0</x:v>
      </x:c>
      <x:c r="AA47" s="334"/>
      <x:c r="AB47" s="334"/>
      <x:c r="AC47" s="334"/>
      <x:c r="AD47" s="334"/>
      <x:c r="AE47" s="334"/>
      <x:c r="AF47" s="334"/>
      <x:c r="AG47" s="334"/>
      <x:c r="AH47" s="334"/>
      <x:c r="AI47" s="334"/>
      <x:c r="AJ47" s="312"/>
      <x:c r="AK47" s="312"/>
      <x:c r="AL47" s="312"/>
      <x:c r="AM47" s="312"/>
      <x:c r="AN47" s="312"/>
      <x:c r="AO47" s="315" t="n">
        <x:f>COUNT(AB47,AD47,AF47,AH47,AJ47)</x:f>
        <x:v>0</x:v>
      </x:c>
      <x:c r="AP47" s="315" t="n">
        <x:f>SUM(AB47,AD47,AF47,AH47,AJ47)</x:f>
        <x:v>0</x:v>
      </x:c>
      <x:c r="AQ47" s="333" t="n">
        <x:f>AA47*AB47+AC47*AD47+AE47*AF47+AG47*AH47+AI47*AJ47</x:f>
        <x:v>0</x:v>
      </x:c>
      <x:c r="AR47" s="333" t="n">
        <x:f>IF(OR(J47="Strength",J47="Hypertrophy"),MAX(IF(AB47&gt;0,AA47*(1+AB47/30),0),IF(AD47&gt;0,AC47*(1+AD47/30),0),IF(AF47&gt;0,AE47*(1+AF47/30),0),IF(AH47&gt;0,AG47*(1+AH47/30),0),IF(AJ47&gt;0,AI47*(1+AJ47/30),0)),0)</x:f>
        <x:v>0</x:v>
      </x:c>
      <x:c r="AS47" s="315" t="str">
        <x:f>IF(AN47&lt;&gt;"Yes","Not logged",IF(AL47&gt;='Setup'!$B$14,"STOP / MODIFY",IF(Z47=0,"Complete",IF(OR(AO47=0,AK47=""),"Add set data + RIR",IF(AND(MAX(AB47,AD47,AF47,AH47,AJ47)&gt;=P47,AK47&gt;=Q47+1),"Progress",IF(OR(MAX(AB47,AD47,AF47,AH47,AJ47)&lt;O47,AK47&lt;Q47-1),"Regress","Hold"))))))</x:f>
        <x:v>Not logged</x:v>
      </x:c>
      <x:c r="AT47" s="335" t="n">
        <x:f>IF(OR(Z47=0,AN47&lt;&gt;"Yes",AO47=0,AK47=""),0,IF(AL47&gt;='Setup'!$B$14,-2*'Setup'!$B$11,IF(AND(MAX(AB47,AD47,AF47,AH47,AJ47)&gt;=P47,AK47&gt;=Q47+1),'Setup'!$B$10,IF(OR(MAX(AB47,AD47,AF47,AH47,AJ47)&lt;O47,AK47&lt;Q47-1),-'Setup'!$B$11,0))))</x:f>
        <x:v>0</x:v>
      </x:c>
      <x:c r="AU47" s="333" t="n">
        <x:f>IF(Z47=0,0,IF(AN47&lt;&gt;"Yes",Z47,IF(COUNT(AA47,AC47,AE47,AG47,AI47)=0,Z47,ROUND((MAX(AA47,AC47,AE47,AG47,AI47)*(1+AT47))/'Setup'!$B$9,0)*'Setup'!$B$9)))</x:f>
        <x:v>0</x:v>
      </x:c>
      <x:c r="AV47" s="336"/>
    </x:row>
    <x:row r="48">
      <x:c r="A48" s="310" t="n">
        <x:f>'Setup'!$B$3+(C48-1)*7+(D48-1)</x:f>
        <x:v>46248</x:v>
      </x:c>
      <x:c r="B48" s="311" t="str">
        <x:v>1|5|2</x:v>
      </x:c>
      <x:c r="C48" s="311" t="n">
        <x:v>1</x:v>
      </x:c>
      <x:c r="D48" s="311" t="n">
        <x:v>5</x:v>
      </x:c>
      <x:c r="E48" s="311" t="str">
        <x:v>Accumulation</x:v>
      </x:c>
      <x:c r="F48" s="311" t="str">
        <x:v>Legs B + Athletic</x:v>
      </x:c>
      <x:c r="G48" s="311" t="str">
        <x:v>Acceleration + lower-body hypertrophy</x:v>
      </x:c>
      <x:c r="H48" s="311" t="n">
        <x:v>2</x:v>
      </x:c>
      <x:c r="I48" s="311" t="str">
        <x:v>Broad Jump</x:v>
      </x:c>
      <x:c r="J48" s="311" t="str">
        <x:v>Power</x:v>
      </x:c>
      <x:c r="K48" s="311" t="str">
        <x:v>Quads</x:v>
      </x:c>
      <x:c r="L48" s="311" t="str">
        <x:v>Full reset, stick landing</x:v>
      </x:c>
      <x:c r="M48" s="311"/>
      <x:c r="N48" s="311" t="n">
        <x:v>4</x:v>
      </x:c>
      <x:c r="O48" s="311" t="n">
        <x:v>3</x:v>
      </x:c>
      <x:c r="P48" s="311" t="n">
        <x:v>3</x:v>
      </x:c>
      <x:c r="Q48" s="311" t="n">
        <x:v>3</x:v>
      </x:c>
      <x:c r="R48" s="311" t="n">
        <x:v>75</x:v>
      </x:c>
      <x:c r="S48" s="311" t="str">
        <x:v>Explosive</x:v>
      </x:c>
      <x:c r="T48" s="330" t="n">
        <x:v>1</x:v>
      </x:c>
      <x:c r="U48" s="330" t="n">
        <x:v>0</x:v>
      </x:c>
      <x:c r="V48" s="331" t="str">
        <x:v>distance</x:v>
      </x:c>
      <x:c r="W48" s="332" t="str">
        <x:f>'Readiness'!K11</x:f>
      </x:c>
      <x:c r="X48" s="314" t="n">
        <x:f>'Readiness'!L11</x:f>
        <x:v>1</x:v>
      </x:c>
      <x:c r="Y48" s="315" t="n">
        <x:f>IF(J48="Mobility",N48,MAX(1,ROUND(N48*X48,0)))</x:f>
        <x:v>4</x:v>
      </x:c>
      <x:c r="Z48" s="333" t="n">
        <x:f>0</x:f>
        <x:v>0</x:v>
      </x:c>
      <x:c r="AA48" s="334"/>
      <x:c r="AB48" s="334"/>
      <x:c r="AC48" s="334"/>
      <x:c r="AD48" s="334"/>
      <x:c r="AE48" s="334"/>
      <x:c r="AF48" s="334"/>
      <x:c r="AG48" s="334"/>
      <x:c r="AH48" s="334"/>
      <x:c r="AI48" s="334"/>
      <x:c r="AJ48" s="312"/>
      <x:c r="AK48" s="312"/>
      <x:c r="AL48" s="312"/>
      <x:c r="AM48" s="312"/>
      <x:c r="AN48" s="312"/>
      <x:c r="AO48" s="315" t="n">
        <x:f>COUNT(AB48,AD48,AF48,AH48,AJ48)</x:f>
        <x:v>0</x:v>
      </x:c>
      <x:c r="AP48" s="315" t="n">
        <x:f>SUM(AB48,AD48,AF48,AH48,AJ48)</x:f>
        <x:v>0</x:v>
      </x:c>
      <x:c r="AQ48" s="333" t="n">
        <x:f>AA48*AB48+AC48*AD48+AE48*AF48+AG48*AH48+AI48*AJ48</x:f>
        <x:v>0</x:v>
      </x:c>
      <x:c r="AR48" s="333" t="n">
        <x:f>IF(OR(J48="Strength",J48="Hypertrophy"),MAX(IF(AB48&gt;0,AA48*(1+AB48/30),0),IF(AD48&gt;0,AC48*(1+AD48/30),0),IF(AF48&gt;0,AE48*(1+AF48/30),0),IF(AH48&gt;0,AG48*(1+AH48/30),0),IF(AJ48&gt;0,AI48*(1+AJ48/30),0)),0)</x:f>
        <x:v>0</x:v>
      </x:c>
      <x:c r="AS48" s="315" t="str">
        <x:f>IF(AN48&lt;&gt;"Yes","Not logged",IF(AL48&gt;='Setup'!$B$14,"STOP / MODIFY",IF(Z48=0,"Complete",IF(OR(AO48=0,AK48=""),"Add set data + RIR",IF(AND(MAX(AB48,AD48,AF48,AH48,AJ48)&gt;=P48,AK48&gt;=Q48+1),"Progress",IF(OR(MAX(AB48,AD48,AF48,AH48,AJ48)&lt;O48,AK48&lt;Q48-1),"Regress","Hold"))))))</x:f>
        <x:v>Not logged</x:v>
      </x:c>
      <x:c r="AT48" s="335" t="n">
        <x:f>IF(OR(Z48=0,AN48&lt;&gt;"Yes",AO48=0,AK48=""),0,IF(AL48&gt;='Setup'!$B$14,-2*'Setup'!$B$11,IF(AND(MAX(AB48,AD48,AF48,AH48,AJ48)&gt;=P48,AK48&gt;=Q48+1),'Setup'!$B$10,IF(OR(MAX(AB48,AD48,AF48,AH48,AJ48)&lt;O48,AK48&lt;Q48-1),-'Setup'!$B$11,0))))</x:f>
        <x:v>0</x:v>
      </x:c>
      <x:c r="AU48" s="333" t="n">
        <x:f>IF(Z48=0,0,IF(AN48&lt;&gt;"Yes",Z48,IF(COUNT(AA48,AC48,AE48,AG48,AI48)=0,Z48,ROUND((MAX(AA48,AC48,AE48,AG48,AI48)*(1+AT48))/'Setup'!$B$9,0)*'Setup'!$B$9)))</x:f>
        <x:v>0</x:v>
      </x:c>
      <x:c r="AV48" s="336"/>
    </x:row>
    <x:row r="49">
      <x:c r="A49" s="310" t="n">
        <x:f>'Setup'!$B$3+(C49-1)*7+(D49-1)</x:f>
        <x:v>46248</x:v>
      </x:c>
      <x:c r="B49" s="311" t="str">
        <x:v>1|5|3</x:v>
      </x:c>
      <x:c r="C49" s="311" t="n">
        <x:v>1</x:v>
      </x:c>
      <x:c r="D49" s="311" t="n">
        <x:v>5</x:v>
      </x:c>
      <x:c r="E49" s="311" t="str">
        <x:v>Accumulation</x:v>
      </x:c>
      <x:c r="F49" s="311" t="str">
        <x:v>Legs B + Athletic</x:v>
      </x:c>
      <x:c r="G49" s="311" t="str">
        <x:v>Acceleration + lower-body hypertrophy</x:v>
      </x:c>
      <x:c r="H49" s="311" t="n">
        <x:v>3</x:v>
      </x:c>
      <x:c r="I49" s="311" t="str">
        <x:v>Front Squat</x:v>
      </x:c>
      <x:c r="J49" s="311" t="str">
        <x:v>Strength</x:v>
      </x:c>
      <x:c r="K49" s="311" t="str">
        <x:v>Quads</x:v>
      </x:c>
      <x:c r="L49" s="311" t="str">
        <x:v>Straight sets</x:v>
      </x:c>
      <x:c r="M49" s="311"/>
      <x:c r="N49" s="311" t="n">
        <x:v>4</x:v>
      </x:c>
      <x:c r="O49" s="311" t="n">
        <x:v>8</x:v>
      </x:c>
      <x:c r="P49" s="311" t="n">
        <x:v>10</x:v>
      </x:c>
      <x:c r="Q49" s="311" t="n">
        <x:v>3</x:v>
      </x:c>
      <x:c r="R49" s="311" t="n">
        <x:v>150</x:v>
      </x:c>
      <x:c r="S49" s="311" t="str">
        <x:v>3-1-X</x:v>
      </x:c>
      <x:c r="T49" s="330" t="n">
        <x:v>1</x:v>
      </x:c>
      <x:c r="U49" s="330" t="n">
        <x:v>0.6</x:v>
      </x:c>
      <x:c r="V49" s="331" t="str">
        <x:v>load × reps</x:v>
      </x:c>
      <x:c r="W49" s="332" t="str">
        <x:f>'Readiness'!K11</x:f>
      </x:c>
      <x:c r="X49" s="314" t="n">
        <x:f>'Readiness'!L11</x:f>
        <x:v>1</x:v>
      </x:c>
      <x:c r="Y49" s="315" t="n">
        <x:f>IF(J49="Mobility",N49,MAX(1,ROUND(N49*X49,0)))</x:f>
        <x:v>4</x:v>
      </x:c>
      <x:c r="Z49" s="333" t="n">
        <x:f>IF('Setup'!$D$43&gt;0,'Setup'!$D$43,IF('Setup'!$B$6&gt;0,ROUND(('Setup'!$B$6*U49)/'Setup'!$B$9,0)*'Setup'!$B$9,0))</x:f>
        <x:v>0</x:v>
      </x:c>
      <x:c r="AA49" s="334"/>
      <x:c r="AB49" s="334"/>
      <x:c r="AC49" s="334"/>
      <x:c r="AD49" s="334"/>
      <x:c r="AE49" s="334"/>
      <x:c r="AF49" s="334"/>
      <x:c r="AG49" s="334"/>
      <x:c r="AH49" s="334"/>
      <x:c r="AI49" s="334"/>
      <x:c r="AJ49" s="312"/>
      <x:c r="AK49" s="312"/>
      <x:c r="AL49" s="312"/>
      <x:c r="AM49" s="312"/>
      <x:c r="AN49" s="312"/>
      <x:c r="AO49" s="315" t="n">
        <x:f>COUNT(AB49,AD49,AF49,AH49,AJ49)</x:f>
        <x:v>0</x:v>
      </x:c>
      <x:c r="AP49" s="315" t="n">
        <x:f>SUM(AB49,AD49,AF49,AH49,AJ49)</x:f>
        <x:v>0</x:v>
      </x:c>
      <x:c r="AQ49" s="333" t="n">
        <x:f>AA49*AB49+AC49*AD49+AE49*AF49+AG49*AH49+AI49*AJ49</x:f>
        <x:v>0</x:v>
      </x:c>
      <x:c r="AR49" s="333" t="n">
        <x:f>IF(OR(J49="Strength",J49="Hypertrophy"),MAX(IF(AB49&gt;0,AA49*(1+AB49/30),0),IF(AD49&gt;0,AC49*(1+AD49/30),0),IF(AF49&gt;0,AE49*(1+AF49/30),0),IF(AH49&gt;0,AG49*(1+AH49/30),0),IF(AJ49&gt;0,AI49*(1+AJ49/30),0)),0)</x:f>
        <x:v>0</x:v>
      </x:c>
      <x:c r="AS49" s="315" t="str">
        <x:f>IF(AN49&lt;&gt;"Yes","Not logged",IF(AL49&gt;='Setup'!$B$14,"STOP / MODIFY",IF(Z49=0,"Complete",IF(OR(AO49=0,AK49=""),"Add set data + RIR",IF(AND(MAX(AB49,AD49,AF49,AH49,AJ49)&gt;=P49,AK49&gt;=Q49+1),"Progress",IF(OR(MAX(AB49,AD49,AF49,AH49,AJ49)&lt;O49,AK49&lt;Q49-1),"Regress","Hold"))))))</x:f>
        <x:v>Not logged</x:v>
      </x:c>
      <x:c r="AT49" s="335" t="n">
        <x:f>IF(OR(Z49=0,AN49&lt;&gt;"Yes",AO49=0,AK49=""),0,IF(AL49&gt;='Setup'!$B$14,-2*'Setup'!$B$11,IF(AND(MAX(AB49,AD49,AF49,AH49,AJ49)&gt;=P49,AK49&gt;=Q49+1),'Setup'!$B$10,IF(OR(MAX(AB49,AD49,AF49,AH49,AJ49)&lt;O49,AK49&lt;Q49-1),-'Setup'!$B$11,0))))</x:f>
        <x:v>0</x:v>
      </x:c>
      <x:c r="AU49" s="333" t="n">
        <x:f>IF(Z49=0,0,IF(AN49&lt;&gt;"Yes",Z49,IF(COUNT(AA49,AC49,AE49,AG49,AI49)=0,Z49,ROUND((MAX(AA49,AC49,AE49,AG49,AI49)*(1+AT49))/'Setup'!$B$9,0)*'Setup'!$B$9)))</x:f>
        <x:v>0</x:v>
      </x:c>
      <x:c r="AV49" s="336"/>
    </x:row>
    <x:row r="50">
      <x:c r="A50" s="310" t="n">
        <x:f>'Setup'!$B$3+(C50-1)*7+(D50-1)</x:f>
        <x:v>46248</x:v>
      </x:c>
      <x:c r="B50" s="311" t="str">
        <x:v>1|5|4</x:v>
      </x:c>
      <x:c r="C50" s="311" t="n">
        <x:v>1</x:v>
      </x:c>
      <x:c r="D50" s="311" t="n">
        <x:v>5</x:v>
      </x:c>
      <x:c r="E50" s="311" t="str">
        <x:v>Accumulation</x:v>
      </x:c>
      <x:c r="F50" s="311" t="str">
        <x:v>Legs B + Athletic</x:v>
      </x:c>
      <x:c r="G50" s="311" t="str">
        <x:v>Acceleration + lower-body hypertrophy</x:v>
      </x:c>
      <x:c r="H50" s="311" t="n">
        <x:v>4</x:v>
      </x:c>
      <x:c r="I50" s="311" t="str">
        <x:v>Barbell Hip Thrust</x:v>
      </x:c>
      <x:c r="J50" s="311" t="str">
        <x:v>Hypertrophy</x:v>
      </x:c>
      <x:c r="K50" s="311" t="str">
        <x:v>Glutes</x:v>
      </x:c>
      <x:c r="L50" s="311" t="str">
        <x:v>Straight sets</x:v>
      </x:c>
      <x:c r="M50" s="311"/>
      <x:c r="N50" s="311" t="n">
        <x:v>3</x:v>
      </x:c>
      <x:c r="O50" s="311" t="n">
        <x:v>8</x:v>
      </x:c>
      <x:c r="P50" s="311" t="n">
        <x:v>12</x:v>
      </x:c>
      <x:c r="Q50" s="311" t="n">
        <x:v>3</x:v>
      </x:c>
      <x:c r="R50" s="311" t="n">
        <x:v>90</x:v>
      </x:c>
      <x:c r="S50" s="311" t="str">
        <x:v>2-1-1</x:v>
      </x:c>
      <x:c r="T50" s="330" t="n">
        <x:v>1</x:v>
      </x:c>
      <x:c r="U50" s="330" t="n">
        <x:v>0</x:v>
      </x:c>
      <x:c r="V50" s="331" t="str">
        <x:v>load × reps</x:v>
      </x:c>
      <x:c r="W50" s="332" t="str">
        <x:f>'Readiness'!K11</x:f>
      </x:c>
      <x:c r="X50" s="314" t="n">
        <x:f>'Readiness'!L11</x:f>
        <x:v>1</x:v>
      </x:c>
      <x:c r="Y50" s="315" t="n">
        <x:f>IF(J50="Mobility",N50,MAX(1,ROUND(N50*X50,0)))</x:f>
        <x:v>3</x:v>
      </x:c>
      <x:c r="Z50" s="333" t="n">
        <x:f>IF('Setup'!$D$25&gt;0,'Setup'!$D$25,0)</x:f>
        <x:v>0</x:v>
      </x:c>
      <x:c r="AA50" s="334"/>
      <x:c r="AB50" s="334"/>
      <x:c r="AC50" s="334"/>
      <x:c r="AD50" s="334"/>
      <x:c r="AE50" s="334"/>
      <x:c r="AF50" s="334"/>
      <x:c r="AG50" s="334"/>
      <x:c r="AH50" s="334"/>
      <x:c r="AI50" s="334"/>
      <x:c r="AJ50" s="312"/>
      <x:c r="AK50" s="312"/>
      <x:c r="AL50" s="312"/>
      <x:c r="AM50" s="312"/>
      <x:c r="AN50" s="312"/>
      <x:c r="AO50" s="315" t="n">
        <x:f>COUNT(AB50,AD50,AF50,AH50,AJ50)</x:f>
        <x:v>0</x:v>
      </x:c>
      <x:c r="AP50" s="315" t="n">
        <x:f>SUM(AB50,AD50,AF50,AH50,AJ50)</x:f>
        <x:v>0</x:v>
      </x:c>
      <x:c r="AQ50" s="333" t="n">
        <x:f>AA50*AB50+AC50*AD50+AE50*AF50+AG50*AH50+AI50*AJ50</x:f>
        <x:v>0</x:v>
      </x:c>
      <x:c r="AR50" s="333" t="n">
        <x:f>IF(OR(J50="Strength",J50="Hypertrophy"),MAX(IF(AB50&gt;0,AA50*(1+AB50/30),0),IF(AD50&gt;0,AC50*(1+AD50/30),0),IF(AF50&gt;0,AE50*(1+AF50/30),0),IF(AH50&gt;0,AG50*(1+AH50/30),0),IF(AJ50&gt;0,AI50*(1+AJ50/30),0)),0)</x:f>
        <x:v>0</x:v>
      </x:c>
      <x:c r="AS50" s="315" t="str">
        <x:f>IF(AN50&lt;&gt;"Yes","Not logged",IF(AL50&gt;='Setup'!$B$14,"STOP / MODIFY",IF(Z50=0,"Complete",IF(OR(AO50=0,AK50=""),"Add set data + RIR",IF(AND(MAX(AB50,AD50,AF50,AH50,AJ50)&gt;=P50,AK50&gt;=Q50+1),"Progress",IF(OR(MAX(AB50,AD50,AF50,AH50,AJ50)&lt;O50,AK50&lt;Q50-1),"Regress","Hold"))))))</x:f>
        <x:v>Not logged</x:v>
      </x:c>
      <x:c r="AT50" s="335" t="n">
        <x:f>IF(OR(Z50=0,AN50&lt;&gt;"Yes",AO50=0,AK50=""),0,IF(AL50&gt;='Setup'!$B$14,-2*'Setup'!$B$11,IF(AND(MAX(AB50,AD50,AF50,AH50,AJ50)&gt;=P50,AK50&gt;=Q50+1),'Setup'!$B$10,IF(OR(MAX(AB50,AD50,AF50,AH50,AJ50)&lt;O50,AK50&lt;Q50-1),-'Setup'!$B$11,0))))</x:f>
        <x:v>0</x:v>
      </x:c>
      <x:c r="AU50" s="333" t="n">
        <x:f>IF(Z50=0,0,IF(AN50&lt;&gt;"Yes",Z50,IF(COUNT(AA50,AC50,AE50,AG50,AI50)=0,Z50,ROUND((MAX(AA50,AC50,AE50,AG50,AI50)*(1+AT50))/'Setup'!$B$9,0)*'Setup'!$B$9)))</x:f>
        <x:v>0</x:v>
      </x:c>
      <x:c r="AV50" s="336"/>
    </x:row>
    <x:row r="51">
      <x:c r="A51" s="310" t="n">
        <x:f>'Setup'!$B$3+(C51-1)*7+(D51-1)</x:f>
        <x:v>46248</x:v>
      </x:c>
      <x:c r="B51" s="311" t="str">
        <x:v>1|5|5</x:v>
      </x:c>
      <x:c r="C51" s="311" t="n">
        <x:v>1</x:v>
      </x:c>
      <x:c r="D51" s="311" t="n">
        <x:v>5</x:v>
      </x:c>
      <x:c r="E51" s="311" t="str">
        <x:v>Accumulation</x:v>
      </x:c>
      <x:c r="F51" s="311" t="str">
        <x:v>Legs B + Athletic</x:v>
      </x:c>
      <x:c r="G51" s="311" t="str">
        <x:v>Acceleration + lower-body hypertrophy</x:v>
      </x:c>
      <x:c r="H51" s="311" t="n">
        <x:v>5</x:v>
      </x:c>
      <x:c r="I51" s="311" t="str">
        <x:v>Leg Press</x:v>
      </x:c>
      <x:c r="J51" s="311" t="str">
        <x:v>Hypertrophy</x:v>
      </x:c>
      <x:c r="K51" s="311" t="str">
        <x:v>Quads</x:v>
      </x:c>
      <x:c r="L51" s="311" t="str">
        <x:v>Straight sets</x:v>
      </x:c>
      <x:c r="M51" s="311"/>
      <x:c r="N51" s="311" t="n">
        <x:v>3</x:v>
      </x:c>
      <x:c r="O51" s="311" t="n">
        <x:v>12</x:v>
      </x:c>
      <x:c r="P51" s="311" t="n">
        <x:v>15</x:v>
      </x:c>
      <x:c r="Q51" s="311" t="n">
        <x:v>3</x:v>
      </x:c>
      <x:c r="R51" s="311" t="n">
        <x:v>90</x:v>
      </x:c>
      <x:c r="S51" s="311" t="str">
        <x:v>3-0-1</x:v>
      </x:c>
      <x:c r="T51" s="330" t="n">
        <x:v>1</x:v>
      </x:c>
      <x:c r="U51" s="330" t="n">
        <x:v>0</x:v>
      </x:c>
      <x:c r="V51" s="331" t="str">
        <x:v>load × reps</x:v>
      </x:c>
      <x:c r="W51" s="332" t="str">
        <x:f>'Readiness'!K11</x:f>
      </x:c>
      <x:c r="X51" s="314" t="n">
        <x:f>'Readiness'!L11</x:f>
        <x:v>1</x:v>
      </x:c>
      <x:c r="Y51" s="315" t="n">
        <x:f>IF(J51="Mobility",N51,MAX(1,ROUND(N51*X51,0)))</x:f>
        <x:v>3</x:v>
      </x:c>
      <x:c r="Z51" s="333" t="n">
        <x:f>IF('Setup'!$D$58&gt;0,'Setup'!$D$58,0)</x:f>
        <x:v>0</x:v>
      </x:c>
      <x:c r="AA51" s="334"/>
      <x:c r="AB51" s="334"/>
      <x:c r="AC51" s="334"/>
      <x:c r="AD51" s="334"/>
      <x:c r="AE51" s="334"/>
      <x:c r="AF51" s="334"/>
      <x:c r="AG51" s="334"/>
      <x:c r="AH51" s="334"/>
      <x:c r="AI51" s="334"/>
      <x:c r="AJ51" s="312"/>
      <x:c r="AK51" s="312"/>
      <x:c r="AL51" s="312"/>
      <x:c r="AM51" s="312"/>
      <x:c r="AN51" s="312"/>
      <x:c r="AO51" s="315" t="n">
        <x:f>COUNT(AB51,AD51,AF51,AH51,AJ51)</x:f>
        <x:v>0</x:v>
      </x:c>
      <x:c r="AP51" s="315" t="n">
        <x:f>SUM(AB51,AD51,AF51,AH51,AJ51)</x:f>
        <x:v>0</x:v>
      </x:c>
      <x:c r="AQ51" s="333" t="n">
        <x:f>AA51*AB51+AC51*AD51+AE51*AF51+AG51*AH51+AI51*AJ51</x:f>
        <x:v>0</x:v>
      </x:c>
      <x:c r="AR51" s="333" t="n">
        <x:f>IF(OR(J51="Strength",J51="Hypertrophy"),MAX(IF(AB51&gt;0,AA51*(1+AB51/30),0),IF(AD51&gt;0,AC51*(1+AD51/30),0),IF(AF51&gt;0,AE51*(1+AF51/30),0),IF(AH51&gt;0,AG51*(1+AH51/30),0),IF(AJ51&gt;0,AI51*(1+AJ51/30),0)),0)</x:f>
        <x:v>0</x:v>
      </x:c>
      <x:c r="AS51" s="315" t="str">
        <x:f>IF(AN51&lt;&gt;"Yes","Not logged",IF(AL51&gt;='Setup'!$B$14,"STOP / MODIFY",IF(Z51=0,"Complete",IF(OR(AO51=0,AK51=""),"Add set data + RIR",IF(AND(MAX(AB51,AD51,AF51,AH51,AJ51)&gt;=P51,AK51&gt;=Q51+1),"Progress",IF(OR(MAX(AB51,AD51,AF51,AH51,AJ51)&lt;O51,AK51&lt;Q51-1),"Regress","Hold"))))))</x:f>
        <x:v>Not logged</x:v>
      </x:c>
      <x:c r="AT51" s="335" t="n">
        <x:f>IF(OR(Z51=0,AN51&lt;&gt;"Yes",AO51=0,AK51=""),0,IF(AL51&gt;='Setup'!$B$14,-2*'Setup'!$B$11,IF(AND(MAX(AB51,AD51,AF51,AH51,AJ51)&gt;=P51,AK51&gt;=Q51+1),'Setup'!$B$10,IF(OR(MAX(AB51,AD51,AF51,AH51,AJ51)&lt;O51,AK51&lt;Q51-1),-'Setup'!$B$11,0))))</x:f>
        <x:v>0</x:v>
      </x:c>
      <x:c r="AU51" s="333" t="n">
        <x:f>IF(Z51=0,0,IF(AN51&lt;&gt;"Yes",Z51,IF(COUNT(AA51,AC51,AE51,AG51,AI51)=0,Z51,ROUND((MAX(AA51,AC51,AE51,AG51,AI51)*(1+AT51))/'Setup'!$B$9,0)*'Setup'!$B$9)))</x:f>
        <x:v>0</x:v>
      </x:c>
      <x:c r="AV51" s="336"/>
    </x:row>
    <x:row r="52">
      <x:c r="A52" s="310" t="n">
        <x:f>'Setup'!$B$3+(C52-1)*7+(D52-1)</x:f>
        <x:v>46248</x:v>
      </x:c>
      <x:c r="B52" s="311" t="str">
        <x:v>1|5|6</x:v>
      </x:c>
      <x:c r="C52" s="311" t="n">
        <x:v>1</x:v>
      </x:c>
      <x:c r="D52" s="311" t="n">
        <x:v>5</x:v>
      </x:c>
      <x:c r="E52" s="311" t="str">
        <x:v>Accumulation</x:v>
      </x:c>
      <x:c r="F52" s="311" t="str">
        <x:v>Legs B + Athletic</x:v>
      </x:c>
      <x:c r="G52" s="311" t="str">
        <x:v>Acceleration + lower-body hypertrophy</x:v>
      </x:c>
      <x:c r="H52" s="311" t="n">
        <x:v>6</x:v>
      </x:c>
      <x:c r="I52" s="311" t="str">
        <x:v>Walking Lunge</x:v>
      </x:c>
      <x:c r="J52" s="311" t="str">
        <x:v>Hypertrophy</x:v>
      </x:c>
      <x:c r="K52" s="311" t="str">
        <x:v>Quads</x:v>
      </x:c>
      <x:c r="L52" s="311" t="str">
        <x:v>Straight sets</x:v>
      </x:c>
      <x:c r="M52" s="311"/>
      <x:c r="N52" s="311" t="n">
        <x:v>2</x:v>
      </x:c>
      <x:c r="O52" s="311" t="n">
        <x:v>10</x:v>
      </x:c>
      <x:c r="P52" s="311" t="n">
        <x:v>12</x:v>
      </x:c>
      <x:c r="Q52" s="311" t="n">
        <x:v>3</x:v>
      </x:c>
      <x:c r="R52" s="311" t="n">
        <x:v>75</x:v>
      </x:c>
      <x:c r="S52" s="311" t="str">
        <x:v>2-0-1</x:v>
      </x:c>
      <x:c r="T52" s="330" t="n">
        <x:v>1</x:v>
      </x:c>
      <x:c r="U52" s="330" t="n">
        <x:v>0</x:v>
      </x:c>
      <x:c r="V52" s="331" t="str">
        <x:v>load × reps</x:v>
      </x:c>
      <x:c r="W52" s="332" t="str">
        <x:f>'Readiness'!K11</x:f>
      </x:c>
      <x:c r="X52" s="314" t="n">
        <x:f>'Readiness'!L11</x:f>
        <x:v>1</x:v>
      </x:c>
      <x:c r="Y52" s="315" t="n">
        <x:f>IF(J52="Mobility",N52,MAX(1,ROUND(N52*X52,0)))</x:f>
        <x:v>2</x:v>
      </x:c>
      <x:c r="Z52" s="333" t="n">
        <x:f>IF('Setup'!$D$93&gt;0,'Setup'!$D$93,0)</x:f>
        <x:v>0</x:v>
      </x:c>
      <x:c r="AA52" s="334"/>
      <x:c r="AB52" s="334"/>
      <x:c r="AC52" s="334"/>
      <x:c r="AD52" s="334"/>
      <x:c r="AE52" s="334"/>
      <x:c r="AF52" s="334"/>
      <x:c r="AG52" s="334"/>
      <x:c r="AH52" s="334"/>
      <x:c r="AI52" s="334"/>
      <x:c r="AJ52" s="312"/>
      <x:c r="AK52" s="312"/>
      <x:c r="AL52" s="312"/>
      <x:c r="AM52" s="312"/>
      <x:c r="AN52" s="312"/>
      <x:c r="AO52" s="315" t="n">
        <x:f>COUNT(AB52,AD52,AF52,AH52,AJ52)</x:f>
        <x:v>0</x:v>
      </x:c>
      <x:c r="AP52" s="315" t="n">
        <x:f>SUM(AB52,AD52,AF52,AH52,AJ52)</x:f>
        <x:v>0</x:v>
      </x:c>
      <x:c r="AQ52" s="333" t="n">
        <x:f>AA52*AB52+AC52*AD52+AE52*AF52+AG52*AH52+AI52*AJ52</x:f>
        <x:v>0</x:v>
      </x:c>
      <x:c r="AR52" s="333" t="n">
        <x:f>IF(OR(J52="Strength",J52="Hypertrophy"),MAX(IF(AB52&gt;0,AA52*(1+AB52/30),0),IF(AD52&gt;0,AC52*(1+AD52/30),0),IF(AF52&gt;0,AE52*(1+AF52/30),0),IF(AH52&gt;0,AG52*(1+AH52/30),0),IF(AJ52&gt;0,AI52*(1+AJ52/30),0)),0)</x:f>
        <x:v>0</x:v>
      </x:c>
      <x:c r="AS52" s="315" t="str">
        <x:f>IF(AN52&lt;&gt;"Yes","Not logged",IF(AL52&gt;='Setup'!$B$14,"STOP / MODIFY",IF(Z52=0,"Complete",IF(OR(AO52=0,AK52=""),"Add set data + RIR",IF(AND(MAX(AB52,AD52,AF52,AH52,AJ52)&gt;=P52,AK52&gt;=Q52+1),"Progress",IF(OR(MAX(AB52,AD52,AF52,AH52,AJ52)&lt;O52,AK52&lt;Q52-1),"Regress","Hold"))))))</x:f>
        <x:v>Not logged</x:v>
      </x:c>
      <x:c r="AT52" s="335" t="n">
        <x:f>IF(OR(Z52=0,AN52&lt;&gt;"Yes",AO52=0,AK52=""),0,IF(AL52&gt;='Setup'!$B$14,-2*'Setup'!$B$11,IF(AND(MAX(AB52,AD52,AF52,AH52,AJ52)&gt;=P52,AK52&gt;=Q52+1),'Setup'!$B$10,IF(OR(MAX(AB52,AD52,AF52,AH52,AJ52)&lt;O52,AK52&lt;Q52-1),-'Setup'!$B$11,0))))</x:f>
        <x:v>0</x:v>
      </x:c>
      <x:c r="AU52" s="333" t="n">
        <x:f>IF(Z52=0,0,IF(AN52&lt;&gt;"Yes",Z52,IF(COUNT(AA52,AC52,AE52,AG52,AI52)=0,Z52,ROUND((MAX(AA52,AC52,AE52,AG52,AI52)*(1+AT52))/'Setup'!$B$9,0)*'Setup'!$B$9)))</x:f>
        <x:v>0</x:v>
      </x:c>
      <x:c r="AV52" s="336"/>
    </x:row>
    <x:row r="53">
      <x:c r="A53" s="310" t="n">
        <x:f>'Setup'!$B$3+(C53-1)*7+(D53-1)</x:f>
        <x:v>46248</x:v>
      </x:c>
      <x:c r="B53" s="311" t="str">
        <x:v>1|5|7</x:v>
      </x:c>
      <x:c r="C53" s="311" t="n">
        <x:v>1</x:v>
      </x:c>
      <x:c r="D53" s="311" t="n">
        <x:v>5</x:v>
      </x:c>
      <x:c r="E53" s="311" t="str">
        <x:v>Accumulation</x:v>
      </x:c>
      <x:c r="F53" s="311" t="str">
        <x:v>Legs B + Athletic</x:v>
      </x:c>
      <x:c r="G53" s="311" t="str">
        <x:v>Acceleration + lower-body hypertrophy</x:v>
      </x:c>
      <x:c r="H53" s="311" t="n">
        <x:v>7</x:v>
      </x:c>
      <x:c r="I53" s="311" t="str">
        <x:v>Sled Push</x:v>
      </x:c>
      <x:c r="J53" s="311" t="str">
        <x:v>Athletic</x:v>
      </x:c>
      <x:c r="K53" s="311" t="str">
        <x:v>Quads</x:v>
      </x:c>
      <x:c r="L53" s="311" t="str">
        <x:v>Fast, powerful steps</x:v>
      </x:c>
      <x:c r="M53" s="311"/>
      <x:c r="N53" s="311" t="n">
        <x:v>6</x:v>
      </x:c>
      <x:c r="O53" s="311" t="n">
        <x:v>20</x:v>
      </x:c>
      <x:c r="P53" s="311" t="n">
        <x:v>25</x:v>
      </x:c>
      <x:c r="Q53" s="311" t="n">
        <x:v>3</x:v>
      </x:c>
      <x:c r="R53" s="311" t="n">
        <x:v>75</x:v>
      </x:c>
      <x:c r="S53" s="311" t="str">
        <x:v>Fast</x:v>
      </x:c>
      <x:c r="T53" s="330" t="n">
        <x:v>1</x:v>
      </x:c>
      <x:c r="U53" s="330" t="n">
        <x:v>0</x:v>
      </x:c>
      <x:c r="V53" s="331" t="str">
        <x:v>load + meters</x:v>
      </x:c>
      <x:c r="W53" s="332" t="str">
        <x:f>'Readiness'!K11</x:f>
      </x:c>
      <x:c r="X53" s="314" t="n">
        <x:f>'Readiness'!L11</x:f>
        <x:v>1</x:v>
      </x:c>
      <x:c r="Y53" s="315" t="n">
        <x:f>IF(J53="Mobility",N53,MAX(1,ROUND(N53*X53,0)))</x:f>
        <x:v>6</x:v>
      </x:c>
      <x:c r="Z53" s="333" t="n">
        <x:f>0</x:f>
        <x:v>0</x:v>
      </x:c>
      <x:c r="AA53" s="334"/>
      <x:c r="AB53" s="334"/>
      <x:c r="AC53" s="334"/>
      <x:c r="AD53" s="334"/>
      <x:c r="AE53" s="334"/>
      <x:c r="AF53" s="334"/>
      <x:c r="AG53" s="334"/>
      <x:c r="AH53" s="334"/>
      <x:c r="AI53" s="334"/>
      <x:c r="AJ53" s="312"/>
      <x:c r="AK53" s="312"/>
      <x:c r="AL53" s="312"/>
      <x:c r="AM53" s="312"/>
      <x:c r="AN53" s="312"/>
      <x:c r="AO53" s="315" t="n">
        <x:f>COUNT(AB53,AD53,AF53,AH53,AJ53)</x:f>
        <x:v>0</x:v>
      </x:c>
      <x:c r="AP53" s="315" t="n">
        <x:f>SUM(AB53,AD53,AF53,AH53,AJ53)</x:f>
        <x:v>0</x:v>
      </x:c>
      <x:c r="AQ53" s="333" t="n">
        <x:f>AA53*AB53+AC53*AD53+AE53*AF53+AG53*AH53+AI53*AJ53</x:f>
        <x:v>0</x:v>
      </x:c>
      <x:c r="AR53" s="333" t="n">
        <x:f>IF(OR(J53="Strength",J53="Hypertrophy"),MAX(IF(AB53&gt;0,AA53*(1+AB53/30),0),IF(AD53&gt;0,AC53*(1+AD53/30),0),IF(AF53&gt;0,AE53*(1+AF53/30),0),IF(AH53&gt;0,AG53*(1+AH53/30),0),IF(AJ53&gt;0,AI53*(1+AJ53/30),0)),0)</x:f>
        <x:v>0</x:v>
      </x:c>
      <x:c r="AS53" s="315" t="str">
        <x:f>IF(AN53&lt;&gt;"Yes","Not logged",IF(AL53&gt;='Setup'!$B$14,"STOP / MODIFY",IF(Z53=0,"Complete",IF(OR(AO53=0,AK53=""),"Add set data + RIR",IF(AND(MAX(AB53,AD53,AF53,AH53,AJ53)&gt;=P53,AK53&gt;=Q53+1),"Progress",IF(OR(MAX(AB53,AD53,AF53,AH53,AJ53)&lt;O53,AK53&lt;Q53-1),"Regress","Hold"))))))</x:f>
        <x:v>Not logged</x:v>
      </x:c>
      <x:c r="AT53" s="335" t="n">
        <x:f>IF(OR(Z53=0,AN53&lt;&gt;"Yes",AO53=0,AK53=""),0,IF(AL53&gt;='Setup'!$B$14,-2*'Setup'!$B$11,IF(AND(MAX(AB53,AD53,AF53,AH53,AJ53)&gt;=P53,AK53&gt;=Q53+1),'Setup'!$B$10,IF(OR(MAX(AB53,AD53,AF53,AH53,AJ53)&lt;O53,AK53&lt;Q53-1),-'Setup'!$B$11,0))))</x:f>
        <x:v>0</x:v>
      </x:c>
      <x:c r="AU53" s="333" t="n">
        <x:f>IF(Z53=0,0,IF(AN53&lt;&gt;"Yes",Z53,IF(COUNT(AA53,AC53,AE53,AG53,AI53)=0,Z53,ROUND((MAX(AA53,AC53,AE53,AG53,AI53)*(1+AT53))/'Setup'!$B$9,0)*'Setup'!$B$9)))</x:f>
        <x:v>0</x:v>
      </x:c>
      <x:c r="AV53" s="336"/>
    </x:row>
    <x:row r="54">
      <x:c r="A54" s="310" t="n">
        <x:f>'Setup'!$B$3+(C54-1)*7+(D54-1)</x:f>
        <x:v>46248</x:v>
      </x:c>
      <x:c r="B54" s="311" t="str">
        <x:v>1|5|8</x:v>
      </x:c>
      <x:c r="C54" s="311" t="n">
        <x:v>1</x:v>
      </x:c>
      <x:c r="D54" s="311" t="n">
        <x:v>5</x:v>
      </x:c>
      <x:c r="E54" s="311" t="str">
        <x:v>Accumulation</x:v>
      </x:c>
      <x:c r="F54" s="311" t="str">
        <x:v>Legs B + Athletic</x:v>
      </x:c>
      <x:c r="G54" s="311" t="str">
        <x:v>Acceleration + lower-body hypertrophy</x:v>
      </x:c>
      <x:c r="H54" s="311" t="n">
        <x:v>8</x:v>
      </x:c>
      <x:c r="I54" s="311" t="str">
        <x:v>Seated Calf Raise</x:v>
      </x:c>
      <x:c r="J54" s="311" t="str">
        <x:v>Hypertrophy</x:v>
      </x:c>
      <x:c r="K54" s="311" t="str">
        <x:v>Calves</x:v>
      </x:c>
      <x:c r="L54" s="311" t="str">
        <x:v>Straight sets</x:v>
      </x:c>
      <x:c r="M54" s="311"/>
      <x:c r="N54" s="311" t="n">
        <x:v>3</x:v>
      </x:c>
      <x:c r="O54" s="311" t="n">
        <x:v>12</x:v>
      </x:c>
      <x:c r="P54" s="311" t="n">
        <x:v>20</x:v>
      </x:c>
      <x:c r="Q54" s="311" t="n">
        <x:v>3</x:v>
      </x:c>
      <x:c r="R54" s="311" t="n">
        <x:v>60</x:v>
      </x:c>
      <x:c r="S54" s="311" t="str">
        <x:v>2-2-1</x:v>
      </x:c>
      <x:c r="T54" s="330" t="n">
        <x:v>1</x:v>
      </x:c>
      <x:c r="U54" s="330" t="n">
        <x:v>0</x:v>
      </x:c>
      <x:c r="V54" s="331" t="str">
        <x:v>load × reps</x:v>
      </x:c>
      <x:c r="W54" s="332" t="str">
        <x:f>'Readiness'!K11</x:f>
      </x:c>
      <x:c r="X54" s="314" t="n">
        <x:f>'Readiness'!L11</x:f>
        <x:v>1</x:v>
      </x:c>
      <x:c r="Y54" s="315" t="n">
        <x:f>IF(J54="Mobility",N54,MAX(1,ROUND(N54*X54,0)))</x:f>
        <x:v>3</x:v>
      </x:c>
      <x:c r="Z54" s="333" t="n">
        <x:f>IF('Setup'!$D$82&gt;0,'Setup'!$D$82,0)</x:f>
        <x:v>0</x:v>
      </x:c>
      <x:c r="AA54" s="334"/>
      <x:c r="AB54" s="334"/>
      <x:c r="AC54" s="334"/>
      <x:c r="AD54" s="334"/>
      <x:c r="AE54" s="334"/>
      <x:c r="AF54" s="334"/>
      <x:c r="AG54" s="334"/>
      <x:c r="AH54" s="334"/>
      <x:c r="AI54" s="334"/>
      <x:c r="AJ54" s="312"/>
      <x:c r="AK54" s="312"/>
      <x:c r="AL54" s="312"/>
      <x:c r="AM54" s="312"/>
      <x:c r="AN54" s="312"/>
      <x:c r="AO54" s="315" t="n">
        <x:f>COUNT(AB54,AD54,AF54,AH54,AJ54)</x:f>
        <x:v>0</x:v>
      </x:c>
      <x:c r="AP54" s="315" t="n">
        <x:f>SUM(AB54,AD54,AF54,AH54,AJ54)</x:f>
        <x:v>0</x:v>
      </x:c>
      <x:c r="AQ54" s="333" t="n">
        <x:f>AA54*AB54+AC54*AD54+AE54*AF54+AG54*AH54+AI54*AJ54</x:f>
        <x:v>0</x:v>
      </x:c>
      <x:c r="AR54" s="333" t="n">
        <x:f>IF(OR(J54="Strength",J54="Hypertrophy"),MAX(IF(AB54&gt;0,AA54*(1+AB54/30),0),IF(AD54&gt;0,AC54*(1+AD54/30),0),IF(AF54&gt;0,AE54*(1+AF54/30),0),IF(AH54&gt;0,AG54*(1+AH54/30),0),IF(AJ54&gt;0,AI54*(1+AJ54/30),0)),0)</x:f>
        <x:v>0</x:v>
      </x:c>
      <x:c r="AS54" s="315" t="str">
        <x:f>IF(AN54&lt;&gt;"Yes","Not logged",IF(AL54&gt;='Setup'!$B$14,"STOP / MODIFY",IF(Z54=0,"Complete",IF(OR(AO54=0,AK54=""),"Add set data + RIR",IF(AND(MAX(AB54,AD54,AF54,AH54,AJ54)&gt;=P54,AK54&gt;=Q54+1),"Progress",IF(OR(MAX(AB54,AD54,AF54,AH54,AJ54)&lt;O54,AK54&lt;Q54-1),"Regress","Hold"))))))</x:f>
        <x:v>Not logged</x:v>
      </x:c>
      <x:c r="AT54" s="335" t="n">
        <x:f>IF(OR(Z54=0,AN54&lt;&gt;"Yes",AO54=0,AK54=""),0,IF(AL54&gt;='Setup'!$B$14,-2*'Setup'!$B$11,IF(AND(MAX(AB54,AD54,AF54,AH54,AJ54)&gt;=P54,AK54&gt;=Q54+1),'Setup'!$B$10,IF(OR(MAX(AB54,AD54,AF54,AH54,AJ54)&lt;O54,AK54&lt;Q54-1),-'Setup'!$B$11,0))))</x:f>
        <x:v>0</x:v>
      </x:c>
      <x:c r="AU54" s="333" t="n">
        <x:f>IF(Z54=0,0,IF(AN54&lt;&gt;"Yes",Z54,IF(COUNT(AA54,AC54,AE54,AG54,AI54)=0,Z54,ROUND((MAX(AA54,AC54,AE54,AG54,AI54)*(1+AT54))/'Setup'!$B$9,0)*'Setup'!$B$9)))</x:f>
        <x:v>0</x:v>
      </x:c>
      <x:c r="AV54" s="336"/>
    </x:row>
    <x:row r="55">
      <x:c r="A55" s="310" t="n">
        <x:f>'Setup'!$B$3+(C55-1)*7+(D55-1)</x:f>
        <x:v>46248</x:v>
      </x:c>
      <x:c r="B55" s="311" t="str">
        <x:v>1|5|9</x:v>
      </x:c>
      <x:c r="C55" s="311" t="n">
        <x:v>1</x:v>
      </x:c>
      <x:c r="D55" s="311" t="n">
        <x:v>5</x:v>
      </x:c>
      <x:c r="E55" s="311" t="str">
        <x:v>Accumulation</x:v>
      </x:c>
      <x:c r="F55" s="311" t="str">
        <x:v>Legs B + Athletic</x:v>
      </x:c>
      <x:c r="G55" s="311" t="str">
        <x:v>Acceleration + lower-body hypertrophy</x:v>
      </x:c>
      <x:c r="H55" s="311" t="n">
        <x:v>9</x:v>
      </x:c>
      <x:c r="I55" s="311" t="str">
        <x:v>Copenhagen Plank</x:v>
      </x:c>
      <x:c r="J55" s="311" t="str">
        <x:v>Mobility</x:v>
      </x:c>
      <x:c r="K55" s="311" t="str">
        <x:v>Core</x:v>
      </x:c>
      <x:c r="L55" s="311" t="str">
        <x:v>Isometric control</x:v>
      </x:c>
      <x:c r="M55" s="311"/>
      <x:c r="N55" s="311" t="n">
        <x:v>2</x:v>
      </x:c>
      <x:c r="O55" s="311" t="n">
        <x:v>20</x:v>
      </x:c>
      <x:c r="P55" s="311" t="n">
        <x:v>30</x:v>
      </x:c>
      <x:c r="Q55" s="311"/>
      <x:c r="R55" s="311" t="n">
        <x:v>30</x:v>
      </x:c>
      <x:c r="S55" s="311" t="str">
        <x:v>Hold</x:v>
      </x:c>
      <x:c r="T55" s="330" t="n">
        <x:v>1</x:v>
      </x:c>
      <x:c r="U55" s="330" t="n">
        <x:v>0</x:v>
      </x:c>
      <x:c r="V55" s="331" t="str">
        <x:v>seconds</x:v>
      </x:c>
      <x:c r="W55" s="332" t="str">
        <x:f>'Readiness'!K11</x:f>
      </x:c>
      <x:c r="X55" s="314" t="n">
        <x:f>'Readiness'!L11</x:f>
        <x:v>1</x:v>
      </x:c>
      <x:c r="Y55" s="315" t="n">
        <x:f>IF(J55="Mobility",N55,MAX(1,ROUND(N55*X55,0)))</x:f>
        <x:v>2</x:v>
      </x:c>
      <x:c r="Z55" s="333" t="n">
        <x:f>0</x:f>
        <x:v>0</x:v>
      </x:c>
      <x:c r="AA55" s="334"/>
      <x:c r="AB55" s="334"/>
      <x:c r="AC55" s="334"/>
      <x:c r="AD55" s="334"/>
      <x:c r="AE55" s="334"/>
      <x:c r="AF55" s="334"/>
      <x:c r="AG55" s="334"/>
      <x:c r="AH55" s="334"/>
      <x:c r="AI55" s="334"/>
      <x:c r="AJ55" s="312"/>
      <x:c r="AK55" s="312"/>
      <x:c r="AL55" s="312"/>
      <x:c r="AM55" s="312"/>
      <x:c r="AN55" s="312"/>
      <x:c r="AO55" s="315" t="n">
        <x:f>COUNT(AB55,AD55,AF55,AH55,AJ55)</x:f>
        <x:v>0</x:v>
      </x:c>
      <x:c r="AP55" s="315" t="n">
        <x:f>SUM(AB55,AD55,AF55,AH55,AJ55)</x:f>
        <x:v>0</x:v>
      </x:c>
      <x:c r="AQ55" s="333" t="n">
        <x:f>AA55*AB55+AC55*AD55+AE55*AF55+AG55*AH55+AI55*AJ55</x:f>
        <x:v>0</x:v>
      </x:c>
      <x:c r="AR55" s="333" t="n">
        <x:f>IF(OR(J55="Strength",J55="Hypertrophy"),MAX(IF(AB55&gt;0,AA55*(1+AB55/30),0),IF(AD55&gt;0,AC55*(1+AD55/30),0),IF(AF55&gt;0,AE55*(1+AF55/30),0),IF(AH55&gt;0,AG55*(1+AH55/30),0),IF(AJ55&gt;0,AI55*(1+AJ55/30),0)),0)</x:f>
        <x:v>0</x:v>
      </x:c>
      <x:c r="AS55" s="315" t="str">
        <x:f>IF(AN55&lt;&gt;"Yes","Not logged",IF(AL55&gt;='Setup'!$B$14,"STOP / MODIFY",IF(Z55=0,"Complete",IF(OR(AO55=0,AK55=""),"Add set data + RIR",IF(AND(MAX(AB55,AD55,AF55,AH55,AJ55)&gt;=P55,AK55&gt;=Q55+1),"Progress",IF(OR(MAX(AB55,AD55,AF55,AH55,AJ55)&lt;O55,AK55&lt;Q55-1),"Regress","Hold"))))))</x:f>
        <x:v>Not logged</x:v>
      </x:c>
      <x:c r="AT55" s="335" t="n">
        <x:f>IF(OR(Z55=0,AN55&lt;&gt;"Yes",AO55=0,AK55=""),0,IF(AL55&gt;='Setup'!$B$14,-2*'Setup'!$B$11,IF(AND(MAX(AB55,AD55,AF55,AH55,AJ55)&gt;=P55,AK55&gt;=Q55+1),'Setup'!$B$10,IF(OR(MAX(AB55,AD55,AF55,AH55,AJ55)&lt;O55,AK55&lt;Q55-1),-'Setup'!$B$11,0))))</x:f>
        <x:v>0</x:v>
      </x:c>
      <x:c r="AU55" s="333" t="n">
        <x:f>IF(Z55=0,0,IF(AN55&lt;&gt;"Yes",Z55,IF(COUNT(AA55,AC55,AE55,AG55,AI55)=0,Z55,ROUND((MAX(AA55,AC55,AE55,AG55,AI55)*(1+AT55))/'Setup'!$B$9,0)*'Setup'!$B$9)))</x:f>
        <x:v>0</x:v>
      </x:c>
      <x:c r="AV55" s="336"/>
    </x:row>
    <x:row r="56">
      <x:c r="A56" s="310" t="n">
        <x:f>'Setup'!$B$3+(C56-1)*7+(D56-1)</x:f>
        <x:v>46248</x:v>
      </x:c>
      <x:c r="B56" s="311" t="str">
        <x:v>1|5|10</x:v>
      </x:c>
      <x:c r="C56" s="311" t="n">
        <x:v>1</x:v>
      </x:c>
      <x:c r="D56" s="311" t="n">
        <x:v>5</x:v>
      </x:c>
      <x:c r="E56" s="311" t="str">
        <x:v>Accumulation</x:v>
      </x:c>
      <x:c r="F56" s="311" t="str">
        <x:v>Legs B + Athletic</x:v>
      </x:c>
      <x:c r="G56" s="311" t="str">
        <x:v>Acceleration + lower-body hypertrophy</x:v>
      </x:c>
      <x:c r="H56" s="311" t="n">
        <x:v>10</x:v>
      </x:c>
      <x:c r="I56" s="311" t="str">
        <x:v>Couch Stretch</x:v>
      </x:c>
      <x:c r="J56" s="311" t="str">
        <x:v>Mobility</x:v>
      </x:c>
      <x:c r="K56" s="311" t="str">
        <x:v>Hips</x:v>
      </x:c>
      <x:c r="L56" s="311" t="str">
        <x:v>Relaxed breathing</x:v>
      </x:c>
      <x:c r="M56" s="311"/>
      <x:c r="N56" s="311" t="n">
        <x:v>2</x:v>
      </x:c>
      <x:c r="O56" s="311" t="n">
        <x:v>30</x:v>
      </x:c>
      <x:c r="P56" s="311" t="n">
        <x:v>45</x:v>
      </x:c>
      <x:c r="Q56" s="311"/>
      <x:c r="R56" s="311" t="n">
        <x:v>20</x:v>
      </x:c>
      <x:c r="S56" s="311" t="str">
        <x:v>Hold</x:v>
      </x:c>
      <x:c r="T56" s="330" t="n">
        <x:v>1</x:v>
      </x:c>
      <x:c r="U56" s="330" t="n">
        <x:v>0</x:v>
      </x:c>
      <x:c r="V56" s="331" t="str">
        <x:v>seconds</x:v>
      </x:c>
      <x:c r="W56" s="332" t="str">
        <x:f>'Readiness'!K11</x:f>
      </x:c>
      <x:c r="X56" s="314" t="n">
        <x:f>'Readiness'!L11</x:f>
        <x:v>1</x:v>
      </x:c>
      <x:c r="Y56" s="315" t="n">
        <x:f>IF(J56="Mobility",N56,MAX(1,ROUND(N56*X56,0)))</x:f>
        <x:v>2</x:v>
      </x:c>
      <x:c r="Z56" s="333" t="n">
        <x:f>0</x:f>
        <x:v>0</x:v>
      </x:c>
      <x:c r="AA56" s="334"/>
      <x:c r="AB56" s="334"/>
      <x:c r="AC56" s="334"/>
      <x:c r="AD56" s="334"/>
      <x:c r="AE56" s="334"/>
      <x:c r="AF56" s="334"/>
      <x:c r="AG56" s="334"/>
      <x:c r="AH56" s="334"/>
      <x:c r="AI56" s="334"/>
      <x:c r="AJ56" s="312"/>
      <x:c r="AK56" s="312"/>
      <x:c r="AL56" s="312"/>
      <x:c r="AM56" s="312"/>
      <x:c r="AN56" s="312"/>
      <x:c r="AO56" s="315" t="n">
        <x:f>COUNT(AB56,AD56,AF56,AH56,AJ56)</x:f>
        <x:v>0</x:v>
      </x:c>
      <x:c r="AP56" s="315" t="n">
        <x:f>SUM(AB56,AD56,AF56,AH56,AJ56)</x:f>
        <x:v>0</x:v>
      </x:c>
      <x:c r="AQ56" s="333" t="n">
        <x:f>AA56*AB56+AC56*AD56+AE56*AF56+AG56*AH56+AI56*AJ56</x:f>
        <x:v>0</x:v>
      </x:c>
      <x:c r="AR56" s="333" t="n">
        <x:f>IF(OR(J56="Strength",J56="Hypertrophy"),MAX(IF(AB56&gt;0,AA56*(1+AB56/30),0),IF(AD56&gt;0,AC56*(1+AD56/30),0),IF(AF56&gt;0,AE56*(1+AF56/30),0),IF(AH56&gt;0,AG56*(1+AH56/30),0),IF(AJ56&gt;0,AI56*(1+AJ56/30),0)),0)</x:f>
        <x:v>0</x:v>
      </x:c>
      <x:c r="AS56" s="315" t="str">
        <x:f>IF(AN56&lt;&gt;"Yes","Not logged",IF(AL56&gt;='Setup'!$B$14,"STOP / MODIFY",IF(Z56=0,"Complete",IF(OR(AO56=0,AK56=""),"Add set data + RIR",IF(AND(MAX(AB56,AD56,AF56,AH56,AJ56)&gt;=P56,AK56&gt;=Q56+1),"Progress",IF(OR(MAX(AB56,AD56,AF56,AH56,AJ56)&lt;O56,AK56&lt;Q56-1),"Regress","Hold"))))))</x:f>
        <x:v>Not logged</x:v>
      </x:c>
      <x:c r="AT56" s="335" t="n">
        <x:f>IF(OR(Z56=0,AN56&lt;&gt;"Yes",AO56=0,AK56=""),0,IF(AL56&gt;='Setup'!$B$14,-2*'Setup'!$B$11,IF(AND(MAX(AB56,AD56,AF56,AH56,AJ56)&gt;=P56,AK56&gt;=Q56+1),'Setup'!$B$10,IF(OR(MAX(AB56,AD56,AF56,AH56,AJ56)&lt;O56,AK56&lt;Q56-1),-'Setup'!$B$11,0))))</x:f>
        <x:v>0</x:v>
      </x:c>
      <x:c r="AU56" s="333" t="n">
        <x:f>IF(Z56=0,0,IF(AN56&lt;&gt;"Yes",Z56,IF(COUNT(AA56,AC56,AE56,AG56,AI56)=0,Z56,ROUND((MAX(AA56,AC56,AE56,AG56,AI56)*(1+AT56))/'Setup'!$B$9,0)*'Setup'!$B$9)))</x:f>
        <x:v>0</x:v>
      </x:c>
      <x:c r="AV56" s="336"/>
    </x:row>
    <x:row r="57">
      <x:c r="A57" s="310" t="n">
        <x:f>'Setup'!$B$3+(C57-1)*7+(D57-1)</x:f>
        <x:v>46249</x:v>
      </x:c>
      <x:c r="B57" s="311" t="str">
        <x:v>1|6|1</x:v>
      </x:c>
      <x:c r="C57" s="311" t="n">
        <x:v>1</x:v>
      </x:c>
      <x:c r="D57" s="311" t="n">
        <x:v>6</x:v>
      </x:c>
      <x:c r="E57" s="311" t="str">
        <x:v>Accumulation</x:v>
      </x:c>
      <x:c r="F57" s="311" t="str">
        <x:v>Push B</x:v>
      </x:c>
      <x:c r="G57" s="311" t="str">
        <x:v>Upper-body speed + chest volume</x:v>
      </x:c>
      <x:c r="H57" s="311" t="n">
        <x:v>1</x:v>
      </x:c>
      <x:c r="I57" s="311" t="str">
        <x:v>Plyometric Push-Up</x:v>
      </x:c>
      <x:c r="J57" s="311" t="str">
        <x:v>Power</x:v>
      </x:c>
      <x:c r="K57" s="311" t="str">
        <x:v>Chest</x:v>
      </x:c>
      <x:c r="L57" s="311" t="str">
        <x:v>Full reset, crisp contacts</x:v>
      </x:c>
      <x:c r="M57" s="311"/>
      <x:c r="N57" s="311" t="n">
        <x:v>4</x:v>
      </x:c>
      <x:c r="O57" s="311" t="n">
        <x:v>3</x:v>
      </x:c>
      <x:c r="P57" s="311" t="n">
        <x:v>5</x:v>
      </x:c>
      <x:c r="Q57" s="311" t="n">
        <x:v>3</x:v>
      </x:c>
      <x:c r="R57" s="311" t="n">
        <x:v>60</x:v>
      </x:c>
      <x:c r="S57" s="311" t="str">
        <x:v>Explosive</x:v>
      </x:c>
      <x:c r="T57" s="330" t="n">
        <x:v>1</x:v>
      </x:c>
      <x:c r="U57" s="330" t="n">
        <x:v>0</x:v>
      </x:c>
      <x:c r="V57" s="331" t="str">
        <x:v>reps</x:v>
      </x:c>
      <x:c r="W57" s="332" t="str">
        <x:f>'Readiness'!K12</x:f>
      </x:c>
      <x:c r="X57" s="314" t="n">
        <x:f>'Readiness'!L12</x:f>
        <x:v>1</x:v>
      </x:c>
      <x:c r="Y57" s="315" t="n">
        <x:f>IF(J57="Mobility",N57,MAX(1,ROUND(N57*X57,0)))</x:f>
        <x:v>4</x:v>
      </x:c>
      <x:c r="Z57" s="333" t="n">
        <x:f>0</x:f>
        <x:v>0</x:v>
      </x:c>
      <x:c r="AA57" s="334"/>
      <x:c r="AB57" s="334"/>
      <x:c r="AC57" s="334"/>
      <x:c r="AD57" s="334"/>
      <x:c r="AE57" s="334"/>
      <x:c r="AF57" s="334"/>
      <x:c r="AG57" s="334"/>
      <x:c r="AH57" s="334"/>
      <x:c r="AI57" s="334"/>
      <x:c r="AJ57" s="312"/>
      <x:c r="AK57" s="312"/>
      <x:c r="AL57" s="312"/>
      <x:c r="AM57" s="312"/>
      <x:c r="AN57" s="312"/>
      <x:c r="AO57" s="315" t="n">
        <x:f>COUNT(AB57,AD57,AF57,AH57,AJ57)</x:f>
        <x:v>0</x:v>
      </x:c>
      <x:c r="AP57" s="315" t="n">
        <x:f>SUM(AB57,AD57,AF57,AH57,AJ57)</x:f>
        <x:v>0</x:v>
      </x:c>
      <x:c r="AQ57" s="333" t="n">
        <x:f>AA57*AB57+AC57*AD57+AE57*AF57+AG57*AH57+AI57*AJ57</x:f>
        <x:v>0</x:v>
      </x:c>
      <x:c r="AR57" s="333" t="n">
        <x:f>IF(OR(J57="Strength",J57="Hypertrophy"),MAX(IF(AB57&gt;0,AA57*(1+AB57/30),0),IF(AD57&gt;0,AC57*(1+AD57/30),0),IF(AF57&gt;0,AE57*(1+AF57/30),0),IF(AH57&gt;0,AG57*(1+AH57/30),0),IF(AJ57&gt;0,AI57*(1+AJ57/30),0)),0)</x:f>
        <x:v>0</x:v>
      </x:c>
      <x:c r="AS57" s="315" t="str">
        <x:f>IF(AN57&lt;&gt;"Yes","Not logged",IF(AL57&gt;='Setup'!$B$14,"STOP / MODIFY",IF(Z57=0,"Complete",IF(OR(AO57=0,AK57=""),"Add set data + RIR",IF(AND(MAX(AB57,AD57,AF57,AH57,AJ57)&gt;=P57,AK57&gt;=Q57+1),"Progress",IF(OR(MAX(AB57,AD57,AF57,AH57,AJ57)&lt;O57,AK57&lt;Q57-1),"Regress","Hold"))))))</x:f>
        <x:v>Not logged</x:v>
      </x:c>
      <x:c r="AT57" s="335" t="n">
        <x:f>IF(OR(Z57=0,AN57&lt;&gt;"Yes",AO57=0,AK57=""),0,IF(AL57&gt;='Setup'!$B$14,-2*'Setup'!$B$11,IF(AND(MAX(AB57,AD57,AF57,AH57,AJ57)&gt;=P57,AK57&gt;=Q57+1),'Setup'!$B$10,IF(OR(MAX(AB57,AD57,AF57,AH57,AJ57)&lt;O57,AK57&lt;Q57-1),-'Setup'!$B$11,0))))</x:f>
        <x:v>0</x:v>
      </x:c>
      <x:c r="AU57" s="333" t="n">
        <x:f>IF(Z57=0,0,IF(AN57&lt;&gt;"Yes",Z57,IF(COUNT(AA57,AC57,AE57,AG57,AI57)=0,Z57,ROUND((MAX(AA57,AC57,AE57,AG57,AI57)*(1+AT57))/'Setup'!$B$9,0)*'Setup'!$B$9)))</x:f>
        <x:v>0</x:v>
      </x:c>
      <x:c r="AV57" s="336"/>
    </x:row>
    <x:row r="58">
      <x:c r="A58" s="310" t="n">
        <x:f>'Setup'!$B$3+(C58-1)*7+(D58-1)</x:f>
        <x:v>46249</x:v>
      </x:c>
      <x:c r="B58" s="311" t="str">
        <x:v>1|6|2</x:v>
      </x:c>
      <x:c r="C58" s="311" t="n">
        <x:v>1</x:v>
      </x:c>
      <x:c r="D58" s="311" t="n">
        <x:v>6</x:v>
      </x:c>
      <x:c r="E58" s="311" t="str">
        <x:v>Accumulation</x:v>
      </x:c>
      <x:c r="F58" s="311" t="str">
        <x:v>Push B</x:v>
      </x:c>
      <x:c r="G58" s="311" t="str">
        <x:v>Upper-body speed + chest volume</x:v>
      </x:c>
      <x:c r="H58" s="311" t="n">
        <x:v>2</x:v>
      </x:c>
      <x:c r="I58" s="311" t="str">
        <x:v>Speed Bench Press</x:v>
      </x:c>
      <x:c r="J58" s="311" t="str">
        <x:v>Power</x:v>
      </x:c>
      <x:c r="K58" s="311" t="str">
        <x:v>Chest</x:v>
      </x:c>
      <x:c r="L58" s="311" t="str">
        <x:v>Speed sets, stop if bar slows</x:v>
      </x:c>
      <x:c r="M58" s="311"/>
      <x:c r="N58" s="311" t="n">
        <x:v>5</x:v>
      </x:c>
      <x:c r="O58" s="311" t="n">
        <x:v>3</x:v>
      </x:c>
      <x:c r="P58" s="311" t="n">
        <x:v>3</x:v>
      </x:c>
      <x:c r="Q58" s="311" t="n">
        <x:v>3</x:v>
      </x:c>
      <x:c r="R58" s="311" t="n">
        <x:v>60</x:v>
      </x:c>
      <x:c r="S58" s="311" t="str">
        <x:v>1-0-X</x:v>
      </x:c>
      <x:c r="T58" s="330" t="n">
        <x:v>1</x:v>
      </x:c>
      <x:c r="U58" s="330" t="n">
        <x:v>0.55</x:v>
      </x:c>
      <x:c r="V58" s="331" t="str">
        <x:v>load × reps</x:v>
      </x:c>
      <x:c r="W58" s="332" t="str">
        <x:f>'Readiness'!K12</x:f>
      </x:c>
      <x:c r="X58" s="314" t="n">
        <x:f>'Readiness'!L12</x:f>
        <x:v>1</x:v>
      </x:c>
      <x:c r="Y58" s="315" t="n">
        <x:f>IF(J58="Mobility",N58,MAX(1,ROUND(N58*X58,0)))</x:f>
        <x:v>5</x:v>
      </x:c>
      <x:c r="Z58" s="333" t="n">
        <x:f>IF('Setup'!$D$89&gt;0,'Setup'!$D$89,IF('Setup'!$B$5&gt;0,ROUND(('Setup'!$B$5*U58)/'Setup'!$B$9,0)*'Setup'!$B$9,0))</x:f>
        <x:v>0</x:v>
      </x:c>
      <x:c r="AA58" s="334"/>
      <x:c r="AB58" s="334"/>
      <x:c r="AC58" s="334"/>
      <x:c r="AD58" s="334"/>
      <x:c r="AE58" s="334"/>
      <x:c r="AF58" s="334"/>
      <x:c r="AG58" s="334"/>
      <x:c r="AH58" s="334"/>
      <x:c r="AI58" s="334"/>
      <x:c r="AJ58" s="312"/>
      <x:c r="AK58" s="312"/>
      <x:c r="AL58" s="312"/>
      <x:c r="AM58" s="312"/>
      <x:c r="AN58" s="312"/>
      <x:c r="AO58" s="315" t="n">
        <x:f>COUNT(AB58,AD58,AF58,AH58,AJ58)</x:f>
        <x:v>0</x:v>
      </x:c>
      <x:c r="AP58" s="315" t="n">
        <x:f>SUM(AB58,AD58,AF58,AH58,AJ58)</x:f>
        <x:v>0</x:v>
      </x:c>
      <x:c r="AQ58" s="333" t="n">
        <x:f>AA58*AB58+AC58*AD58+AE58*AF58+AG58*AH58+AI58*AJ58</x:f>
        <x:v>0</x:v>
      </x:c>
      <x:c r="AR58" s="333" t="n">
        <x:f>IF(OR(J58="Strength",J58="Hypertrophy"),MAX(IF(AB58&gt;0,AA58*(1+AB58/30),0),IF(AD58&gt;0,AC58*(1+AD58/30),0),IF(AF58&gt;0,AE58*(1+AF58/30),0),IF(AH58&gt;0,AG58*(1+AH58/30),0),IF(AJ58&gt;0,AI58*(1+AJ58/30),0)),0)</x:f>
        <x:v>0</x:v>
      </x:c>
      <x:c r="AS58" s="315" t="str">
        <x:f>IF(AN58&lt;&gt;"Yes","Not logged",IF(AL58&gt;='Setup'!$B$14,"STOP / MODIFY",IF(Z58=0,"Complete",IF(OR(AO58=0,AK58=""),"Add set data + RIR",IF(AND(MAX(AB58,AD58,AF58,AH58,AJ58)&gt;=P58,AK58&gt;=Q58+1),"Progress",IF(OR(MAX(AB58,AD58,AF58,AH58,AJ58)&lt;O58,AK58&lt;Q58-1),"Regress","Hold"))))))</x:f>
        <x:v>Not logged</x:v>
      </x:c>
      <x:c r="AT58" s="335" t="n">
        <x:f>IF(OR(Z58=0,AN58&lt;&gt;"Yes",AO58=0,AK58=""),0,IF(AL58&gt;='Setup'!$B$14,-2*'Setup'!$B$11,IF(AND(MAX(AB58,AD58,AF58,AH58,AJ58)&gt;=P58,AK58&gt;=Q58+1),'Setup'!$B$10,IF(OR(MAX(AB58,AD58,AF58,AH58,AJ58)&lt;O58,AK58&lt;Q58-1),-'Setup'!$B$11,0))))</x:f>
        <x:v>0</x:v>
      </x:c>
      <x:c r="AU58" s="333" t="n">
        <x:f>IF(Z58=0,0,IF(AN58&lt;&gt;"Yes",Z58,IF(COUNT(AA58,AC58,AE58,AG58,AI58)=0,Z58,ROUND((MAX(AA58,AC58,AE58,AG58,AI58)*(1+AT58))/'Setup'!$B$9,0)*'Setup'!$B$9)))</x:f>
        <x:v>0</x:v>
      </x:c>
      <x:c r="AV58" s="336"/>
    </x:row>
    <x:row r="59">
      <x:c r="A59" s="310" t="n">
        <x:f>'Setup'!$B$3+(C59-1)*7+(D59-1)</x:f>
        <x:v>46249</x:v>
      </x:c>
      <x:c r="B59" s="311" t="str">
        <x:v>1|6|3</x:v>
      </x:c>
      <x:c r="C59" s="311" t="n">
        <x:v>1</x:v>
      </x:c>
      <x:c r="D59" s="311" t="n">
        <x:v>6</x:v>
      </x:c>
      <x:c r="E59" s="311" t="str">
        <x:v>Accumulation</x:v>
      </x:c>
      <x:c r="F59" s="311" t="str">
        <x:v>Push B</x:v>
      </x:c>
      <x:c r="G59" s="311" t="str">
        <x:v>Upper-body speed + chest volume</x:v>
      </x:c>
      <x:c r="H59" s="311" t="n">
        <x:v>3</x:v>
      </x:c>
      <x:c r="I59" s="311" t="str">
        <x:v>Incline Barbell Bench Press</x:v>
      </x:c>
      <x:c r="J59" s="311" t="str">
        <x:v>Hypertrophy</x:v>
      </x:c>
      <x:c r="K59" s="311" t="str">
        <x:v>Chest</x:v>
      </x:c>
      <x:c r="L59" s="311" t="str">
        <x:v>Straight sets</x:v>
      </x:c>
      <x:c r="M59" s="311"/>
      <x:c r="N59" s="311" t="n">
        <x:v>4</x:v>
      </x:c>
      <x:c r="O59" s="311" t="n">
        <x:v>8</x:v>
      </x:c>
      <x:c r="P59" s="311" t="n">
        <x:v>10</x:v>
      </x:c>
      <x:c r="Q59" s="311" t="n">
        <x:v>3</x:v>
      </x:c>
      <x:c r="R59" s="311" t="n">
        <x:v>120</x:v>
      </x:c>
      <x:c r="S59" s="311" t="str">
        <x:v>3-0-1</x:v>
      </x:c>
      <x:c r="T59" s="330" t="n">
        <x:v>1</x:v>
      </x:c>
      <x:c r="U59" s="330" t="n">
        <x:v>0.58</x:v>
      </x:c>
      <x:c r="V59" s="331" t="str">
        <x:v>load × reps</x:v>
      </x:c>
      <x:c r="W59" s="332" t="str">
        <x:f>'Readiness'!K12</x:f>
      </x:c>
      <x:c r="X59" s="314" t="n">
        <x:f>'Readiness'!L12</x:f>
        <x:v>1</x:v>
      </x:c>
      <x:c r="Y59" s="315" t="n">
        <x:f>IF(J59="Mobility",N59,MAX(1,ROUND(N59*X59,0)))</x:f>
        <x:v>4</x:v>
      </x:c>
      <x:c r="Z59" s="333" t="n">
        <x:f>IF('Setup'!$D$49&gt;0,'Setup'!$D$49,IF('Setup'!$B$5&gt;0,ROUND(('Setup'!$B$5*U59)/'Setup'!$B$9,0)*'Setup'!$B$9,0))</x:f>
        <x:v>0</x:v>
      </x:c>
      <x:c r="AA59" s="334"/>
      <x:c r="AB59" s="334"/>
      <x:c r="AC59" s="334"/>
      <x:c r="AD59" s="334"/>
      <x:c r="AE59" s="334"/>
      <x:c r="AF59" s="334"/>
      <x:c r="AG59" s="334"/>
      <x:c r="AH59" s="334"/>
      <x:c r="AI59" s="334"/>
      <x:c r="AJ59" s="312"/>
      <x:c r="AK59" s="312"/>
      <x:c r="AL59" s="312"/>
      <x:c r="AM59" s="312"/>
      <x:c r="AN59" s="312"/>
      <x:c r="AO59" s="315" t="n">
        <x:f>COUNT(AB59,AD59,AF59,AH59,AJ59)</x:f>
        <x:v>0</x:v>
      </x:c>
      <x:c r="AP59" s="315" t="n">
        <x:f>SUM(AB59,AD59,AF59,AH59,AJ59)</x:f>
        <x:v>0</x:v>
      </x:c>
      <x:c r="AQ59" s="333" t="n">
        <x:f>AA59*AB59+AC59*AD59+AE59*AF59+AG59*AH59+AI59*AJ59</x:f>
        <x:v>0</x:v>
      </x:c>
      <x:c r="AR59" s="333" t="n">
        <x:f>IF(OR(J59="Strength",J59="Hypertrophy"),MAX(IF(AB59&gt;0,AA59*(1+AB59/30),0),IF(AD59&gt;0,AC59*(1+AD59/30),0),IF(AF59&gt;0,AE59*(1+AF59/30),0),IF(AH59&gt;0,AG59*(1+AH59/30),0),IF(AJ59&gt;0,AI59*(1+AJ59/30),0)),0)</x:f>
        <x:v>0</x:v>
      </x:c>
      <x:c r="AS59" s="315" t="str">
        <x:f>IF(AN59&lt;&gt;"Yes","Not logged",IF(AL59&gt;='Setup'!$B$14,"STOP / MODIFY",IF(Z59=0,"Complete",IF(OR(AO59=0,AK59=""),"Add set data + RIR",IF(AND(MAX(AB59,AD59,AF59,AH59,AJ59)&gt;=P59,AK59&gt;=Q59+1),"Progress",IF(OR(MAX(AB59,AD59,AF59,AH59,AJ59)&lt;O59,AK59&lt;Q59-1),"Regress","Hold"))))))</x:f>
        <x:v>Not logged</x:v>
      </x:c>
      <x:c r="AT59" s="335" t="n">
        <x:f>IF(OR(Z59=0,AN59&lt;&gt;"Yes",AO59=0,AK59=""),0,IF(AL59&gt;='Setup'!$B$14,-2*'Setup'!$B$11,IF(AND(MAX(AB59,AD59,AF59,AH59,AJ59)&gt;=P59,AK59&gt;=Q59+1),'Setup'!$B$10,IF(OR(MAX(AB59,AD59,AF59,AH59,AJ59)&lt;O59,AK59&lt;Q59-1),-'Setup'!$B$11,0))))</x:f>
        <x:v>0</x:v>
      </x:c>
      <x:c r="AU59" s="333" t="n">
        <x:f>IF(Z59=0,0,IF(AN59&lt;&gt;"Yes",Z59,IF(COUNT(AA59,AC59,AE59,AG59,AI59)=0,Z59,ROUND((MAX(AA59,AC59,AE59,AG59,AI59)*(1+AT59))/'Setup'!$B$9,0)*'Setup'!$B$9)))</x:f>
        <x:v>0</x:v>
      </x:c>
      <x:c r="AV59" s="336"/>
    </x:row>
    <x:row r="60">
      <x:c r="A60" s="310" t="n">
        <x:f>'Setup'!$B$3+(C60-1)*7+(D60-1)</x:f>
        <x:v>46249</x:v>
      </x:c>
      <x:c r="B60" s="311" t="str">
        <x:v>1|6|4</x:v>
      </x:c>
      <x:c r="C60" s="311" t="n">
        <x:v>1</x:v>
      </x:c>
      <x:c r="D60" s="311" t="n">
        <x:v>6</x:v>
      </x:c>
      <x:c r="E60" s="311" t="str">
        <x:v>Accumulation</x:v>
      </x:c>
      <x:c r="F60" s="311" t="str">
        <x:v>Push B</x:v>
      </x:c>
      <x:c r="G60" s="311" t="str">
        <x:v>Upper-body speed + chest volume</x:v>
      </x:c>
      <x:c r="H60" s="311" t="n">
        <x:v>4</x:v>
      </x:c>
      <x:c r="I60" s="311" t="str">
        <x:v>Machine Chest Press</x:v>
      </x:c>
      <x:c r="J60" s="311" t="str">
        <x:v>Hypertrophy</x:v>
      </x:c>
      <x:c r="K60" s="311" t="str">
        <x:v>Chest</x:v>
      </x:c>
      <x:c r="L60" s="311" t="str">
        <x:v>Straight sets</x:v>
      </x:c>
      <x:c r="M60" s="311"/>
      <x:c r="N60" s="311" t="n">
        <x:v>3</x:v>
      </x:c>
      <x:c r="O60" s="311" t="n">
        <x:v>10</x:v>
      </x:c>
      <x:c r="P60" s="311" t="n">
        <x:v>12</x:v>
      </x:c>
      <x:c r="Q60" s="311" t="n">
        <x:v>3</x:v>
      </x:c>
      <x:c r="R60" s="311" t="n">
        <x:v>75</x:v>
      </x:c>
      <x:c r="S60" s="311" t="str">
        <x:v>2-1-1</x:v>
      </x:c>
      <x:c r="T60" s="330" t="n">
        <x:v>1</x:v>
      </x:c>
      <x:c r="U60" s="330" t="n">
        <x:v>0</x:v>
      </x:c>
      <x:c r="V60" s="331" t="str">
        <x:v>load × reps</x:v>
      </x:c>
      <x:c r="W60" s="332" t="str">
        <x:f>'Readiness'!K12</x:f>
      </x:c>
      <x:c r="X60" s="314" t="n">
        <x:f>'Readiness'!L12</x:f>
        <x:v>1</x:v>
      </x:c>
      <x:c r="Y60" s="315" t="n">
        <x:f>IF(J60="Mobility",N60,MAX(1,ROUND(N60*X60,0)))</x:f>
        <x:v>3</x:v>
      </x:c>
      <x:c r="Z60" s="333" t="n">
        <x:f>IF('Setup'!$D$60&gt;0,'Setup'!$D$60,0)</x:f>
        <x:v>0</x:v>
      </x:c>
      <x:c r="AA60" s="334"/>
      <x:c r="AB60" s="334"/>
      <x:c r="AC60" s="334"/>
      <x:c r="AD60" s="334"/>
      <x:c r="AE60" s="334"/>
      <x:c r="AF60" s="334"/>
      <x:c r="AG60" s="334"/>
      <x:c r="AH60" s="334"/>
      <x:c r="AI60" s="334"/>
      <x:c r="AJ60" s="312"/>
      <x:c r="AK60" s="312"/>
      <x:c r="AL60" s="312"/>
      <x:c r="AM60" s="312"/>
      <x:c r="AN60" s="312"/>
      <x:c r="AO60" s="315" t="n">
        <x:f>COUNT(AB60,AD60,AF60,AH60,AJ60)</x:f>
        <x:v>0</x:v>
      </x:c>
      <x:c r="AP60" s="315" t="n">
        <x:f>SUM(AB60,AD60,AF60,AH60,AJ60)</x:f>
        <x:v>0</x:v>
      </x:c>
      <x:c r="AQ60" s="333" t="n">
        <x:f>AA60*AB60+AC60*AD60+AE60*AF60+AG60*AH60+AI60*AJ60</x:f>
        <x:v>0</x:v>
      </x:c>
      <x:c r="AR60" s="333" t="n">
        <x:f>IF(OR(J60="Strength",J60="Hypertrophy"),MAX(IF(AB60&gt;0,AA60*(1+AB60/30),0),IF(AD60&gt;0,AC60*(1+AD60/30),0),IF(AF60&gt;0,AE60*(1+AF60/30),0),IF(AH60&gt;0,AG60*(1+AH60/30),0),IF(AJ60&gt;0,AI60*(1+AJ60/30),0)),0)</x:f>
        <x:v>0</x:v>
      </x:c>
      <x:c r="AS60" s="315" t="str">
        <x:f>IF(AN60&lt;&gt;"Yes","Not logged",IF(AL60&gt;='Setup'!$B$14,"STOP / MODIFY",IF(Z60=0,"Complete",IF(OR(AO60=0,AK60=""),"Add set data + RIR",IF(AND(MAX(AB60,AD60,AF60,AH60,AJ60)&gt;=P60,AK60&gt;=Q60+1),"Progress",IF(OR(MAX(AB60,AD60,AF60,AH60,AJ60)&lt;O60,AK60&lt;Q60-1),"Regress","Hold"))))))</x:f>
        <x:v>Not logged</x:v>
      </x:c>
      <x:c r="AT60" s="335" t="n">
        <x:f>IF(OR(Z60=0,AN60&lt;&gt;"Yes",AO60=0,AK60=""),0,IF(AL60&gt;='Setup'!$B$14,-2*'Setup'!$B$11,IF(AND(MAX(AB60,AD60,AF60,AH60,AJ60)&gt;=P60,AK60&gt;=Q60+1),'Setup'!$B$10,IF(OR(MAX(AB60,AD60,AF60,AH60,AJ60)&lt;O60,AK60&lt;Q60-1),-'Setup'!$B$11,0))))</x:f>
        <x:v>0</x:v>
      </x:c>
      <x:c r="AU60" s="333" t="n">
        <x:f>IF(Z60=0,0,IF(AN60&lt;&gt;"Yes",Z60,IF(COUNT(AA60,AC60,AE60,AG60,AI60)=0,Z60,ROUND((MAX(AA60,AC60,AE60,AG60,AI60)*(1+AT60))/'Setup'!$B$9,0)*'Setup'!$B$9)))</x:f>
        <x:v>0</x:v>
      </x:c>
      <x:c r="AV60" s="336"/>
    </x:row>
    <x:row r="61">
      <x:c r="A61" s="310" t="n">
        <x:f>'Setup'!$B$3+(C61-1)*7+(D61-1)</x:f>
        <x:v>46249</x:v>
      </x:c>
      <x:c r="B61" s="311" t="str">
        <x:v>1|6|5</x:v>
      </x:c>
      <x:c r="C61" s="311" t="n">
        <x:v>1</x:v>
      </x:c>
      <x:c r="D61" s="311" t="n">
        <x:v>6</x:v>
      </x:c>
      <x:c r="E61" s="311" t="str">
        <x:v>Accumulation</x:v>
      </x:c>
      <x:c r="F61" s="311" t="str">
        <x:v>Push B</x:v>
      </x:c>
      <x:c r="G61" s="311" t="str">
        <x:v>Upper-body speed + chest volume</x:v>
      </x:c>
      <x:c r="H61" s="311" t="n">
        <x:v>5</x:v>
      </x:c>
      <x:c r="I61" s="311" t="str">
        <x:v>Half-Kneeling Landmine Press</x:v>
      </x:c>
      <x:c r="J61" s="311" t="str">
        <x:v>Hypertrophy</x:v>
      </x:c>
      <x:c r="K61" s="311" t="str">
        <x:v>Shoulders</x:v>
      </x:c>
      <x:c r="L61" s="311" t="str">
        <x:v>Straight sets</x:v>
      </x:c>
      <x:c r="M61" s="311"/>
      <x:c r="N61" s="311" t="n">
        <x:v>3</x:v>
      </x:c>
      <x:c r="O61" s="311" t="n">
        <x:v>8</x:v>
      </x:c>
      <x:c r="P61" s="311" t="n">
        <x:v>12</x:v>
      </x:c>
      <x:c r="Q61" s="311" t="n">
        <x:v>3</x:v>
      </x:c>
      <x:c r="R61" s="311" t="n">
        <x:v>75</x:v>
      </x:c>
      <x:c r="S61" s="311" t="str">
        <x:v>2-0-1</x:v>
      </x:c>
      <x:c r="T61" s="330" t="n">
        <x:v>1</x:v>
      </x:c>
      <x:c r="U61" s="330" t="n">
        <x:v>0</x:v>
      </x:c>
      <x:c r="V61" s="331" t="str">
        <x:v>load × reps</x:v>
      </x:c>
      <x:c r="W61" s="332" t="str">
        <x:f>'Readiness'!K12</x:f>
      </x:c>
      <x:c r="X61" s="314" t="n">
        <x:f>'Readiness'!L12</x:f>
        <x:v>1</x:v>
      </x:c>
      <x:c r="Y61" s="315" t="n">
        <x:f>IF(J61="Mobility",N61,MAX(1,ROUND(N61*X61,0)))</x:f>
        <x:v>3</x:v>
      </x:c>
      <x:c r="Z61" s="333" t="n">
        <x:f>IF('Setup'!$D$47&gt;0,'Setup'!$D$47,0)</x:f>
        <x:v>0</x:v>
      </x:c>
      <x:c r="AA61" s="334"/>
      <x:c r="AB61" s="334"/>
      <x:c r="AC61" s="334"/>
      <x:c r="AD61" s="334"/>
      <x:c r="AE61" s="334"/>
      <x:c r="AF61" s="334"/>
      <x:c r="AG61" s="334"/>
      <x:c r="AH61" s="334"/>
      <x:c r="AI61" s="334"/>
      <x:c r="AJ61" s="312"/>
      <x:c r="AK61" s="312"/>
      <x:c r="AL61" s="312"/>
      <x:c r="AM61" s="312"/>
      <x:c r="AN61" s="312"/>
      <x:c r="AO61" s="315" t="n">
        <x:f>COUNT(AB61,AD61,AF61,AH61,AJ61)</x:f>
        <x:v>0</x:v>
      </x:c>
      <x:c r="AP61" s="315" t="n">
        <x:f>SUM(AB61,AD61,AF61,AH61,AJ61)</x:f>
        <x:v>0</x:v>
      </x:c>
      <x:c r="AQ61" s="333" t="n">
        <x:f>AA61*AB61+AC61*AD61+AE61*AF61+AG61*AH61+AI61*AJ61</x:f>
        <x:v>0</x:v>
      </x:c>
      <x:c r="AR61" s="333" t="n">
        <x:f>IF(OR(J61="Strength",J61="Hypertrophy"),MAX(IF(AB61&gt;0,AA61*(1+AB61/30),0),IF(AD61&gt;0,AC61*(1+AD61/30),0),IF(AF61&gt;0,AE61*(1+AF61/30),0),IF(AH61&gt;0,AG61*(1+AH61/30),0),IF(AJ61&gt;0,AI61*(1+AJ61/30),0)),0)</x:f>
        <x:v>0</x:v>
      </x:c>
      <x:c r="AS61" s="315" t="str">
        <x:f>IF(AN61&lt;&gt;"Yes","Not logged",IF(AL61&gt;='Setup'!$B$14,"STOP / MODIFY",IF(Z61=0,"Complete",IF(OR(AO61=0,AK61=""),"Add set data + RIR",IF(AND(MAX(AB61,AD61,AF61,AH61,AJ61)&gt;=P61,AK61&gt;=Q61+1),"Progress",IF(OR(MAX(AB61,AD61,AF61,AH61,AJ61)&lt;O61,AK61&lt;Q61-1),"Regress","Hold"))))))</x:f>
        <x:v>Not logged</x:v>
      </x:c>
      <x:c r="AT61" s="335" t="n">
        <x:f>IF(OR(Z61=0,AN61&lt;&gt;"Yes",AO61=0,AK61=""),0,IF(AL61&gt;='Setup'!$B$14,-2*'Setup'!$B$11,IF(AND(MAX(AB61,AD61,AF61,AH61,AJ61)&gt;=P61,AK61&gt;=Q61+1),'Setup'!$B$10,IF(OR(MAX(AB61,AD61,AF61,AH61,AJ61)&lt;O61,AK61&lt;Q61-1),-'Setup'!$B$11,0))))</x:f>
        <x:v>0</x:v>
      </x:c>
      <x:c r="AU61" s="333" t="n">
        <x:f>IF(Z61=0,0,IF(AN61&lt;&gt;"Yes",Z61,IF(COUNT(AA61,AC61,AE61,AG61,AI61)=0,Z61,ROUND((MAX(AA61,AC61,AE61,AG61,AI61)*(1+AT61))/'Setup'!$B$9,0)*'Setup'!$B$9)))</x:f>
        <x:v>0</x:v>
      </x:c>
      <x:c r="AV61" s="336"/>
    </x:row>
    <x:row r="62">
      <x:c r="A62" s="310" t="n">
        <x:f>'Setup'!$B$3+(C62-1)*7+(D62-1)</x:f>
        <x:v>46249</x:v>
      </x:c>
      <x:c r="B62" s="311" t="str">
        <x:v>1|6|6</x:v>
      </x:c>
      <x:c r="C62" s="311" t="n">
        <x:v>1</x:v>
      </x:c>
      <x:c r="D62" s="311" t="n">
        <x:v>6</x:v>
      </x:c>
      <x:c r="E62" s="311" t="str">
        <x:v>Accumulation</x:v>
      </x:c>
      <x:c r="F62" s="311" t="str">
        <x:v>Push B</x:v>
      </x:c>
      <x:c r="G62" s="311" t="str">
        <x:v>Upper-body speed + chest volume</x:v>
      </x:c>
      <x:c r="H62" s="311" t="n">
        <x:v>6</x:v>
      </x:c>
      <x:c r="I62" s="311" t="str">
        <x:v>Dumbbell Lateral Raise</x:v>
      </x:c>
      <x:c r="J62" s="311" t="str">
        <x:v>Hypertrophy</x:v>
      </x:c>
      <x:c r="K62" s="311" t="str">
        <x:v>Shoulders</x:v>
      </x:c>
      <x:c r="L62" s="311" t="str">
        <x:v>Straight sets</x:v>
      </x:c>
      <x:c r="M62" s="311"/>
      <x:c r="N62" s="311" t="n">
        <x:v>3</x:v>
      </x:c>
      <x:c r="O62" s="311" t="n">
        <x:v>12</x:v>
      </x:c>
      <x:c r="P62" s="311" t="n">
        <x:v>20</x:v>
      </x:c>
      <x:c r="Q62" s="311" t="n">
        <x:v>3</x:v>
      </x:c>
      <x:c r="R62" s="311" t="n">
        <x:v>60</x:v>
      </x:c>
      <x:c r="S62" s="311" t="str">
        <x:v>2-1-2</x:v>
      </x:c>
      <x:c r="T62" s="330" t="n">
        <x:v>1</x:v>
      </x:c>
      <x:c r="U62" s="330" t="n">
        <x:v>0</x:v>
      </x:c>
      <x:c r="V62" s="331" t="str">
        <x:v>load × reps</x:v>
      </x:c>
      <x:c r="W62" s="332" t="str">
        <x:f>'Readiness'!K12</x:f>
      </x:c>
      <x:c r="X62" s="314" t="n">
        <x:f>'Readiness'!L12</x:f>
        <x:v>1</x:v>
      </x:c>
      <x:c r="Y62" s="315" t="n">
        <x:f>IF(J62="Mobility",N62,MAX(1,ROUND(N62*X62,0)))</x:f>
        <x:v>3</x:v>
      </x:c>
      <x:c r="Z62" s="333" t="n">
        <x:f>IF('Setup'!$D$39&gt;0,'Setup'!$D$39,0)</x:f>
        <x:v>0</x:v>
      </x:c>
      <x:c r="AA62" s="334"/>
      <x:c r="AB62" s="334"/>
      <x:c r="AC62" s="334"/>
      <x:c r="AD62" s="334"/>
      <x:c r="AE62" s="334"/>
      <x:c r="AF62" s="334"/>
      <x:c r="AG62" s="334"/>
      <x:c r="AH62" s="334"/>
      <x:c r="AI62" s="334"/>
      <x:c r="AJ62" s="312"/>
      <x:c r="AK62" s="312"/>
      <x:c r="AL62" s="312"/>
      <x:c r="AM62" s="312"/>
      <x:c r="AN62" s="312"/>
      <x:c r="AO62" s="315" t="n">
        <x:f>COUNT(AB62,AD62,AF62,AH62,AJ62)</x:f>
        <x:v>0</x:v>
      </x:c>
      <x:c r="AP62" s="315" t="n">
        <x:f>SUM(AB62,AD62,AF62,AH62,AJ62)</x:f>
        <x:v>0</x:v>
      </x:c>
      <x:c r="AQ62" s="333" t="n">
        <x:f>AA62*AB62+AC62*AD62+AE62*AF62+AG62*AH62+AI62*AJ62</x:f>
        <x:v>0</x:v>
      </x:c>
      <x:c r="AR62" s="333" t="n">
        <x:f>IF(OR(J62="Strength",J62="Hypertrophy"),MAX(IF(AB62&gt;0,AA62*(1+AB62/30),0),IF(AD62&gt;0,AC62*(1+AD62/30),0),IF(AF62&gt;0,AE62*(1+AF62/30),0),IF(AH62&gt;0,AG62*(1+AH62/30),0),IF(AJ62&gt;0,AI62*(1+AJ62/30),0)),0)</x:f>
        <x:v>0</x:v>
      </x:c>
      <x:c r="AS62" s="315" t="str">
        <x:f>IF(AN62&lt;&gt;"Yes","Not logged",IF(AL62&gt;='Setup'!$B$14,"STOP / MODIFY",IF(Z62=0,"Complete",IF(OR(AO62=0,AK62=""),"Add set data + RIR",IF(AND(MAX(AB62,AD62,AF62,AH62,AJ62)&gt;=P62,AK62&gt;=Q62+1),"Progress",IF(OR(MAX(AB62,AD62,AF62,AH62,AJ62)&lt;O62,AK62&lt;Q62-1),"Regress","Hold"))))))</x:f>
        <x:v>Not logged</x:v>
      </x:c>
      <x:c r="AT62" s="335" t="n">
        <x:f>IF(OR(Z62=0,AN62&lt;&gt;"Yes",AO62=0,AK62=""),0,IF(AL62&gt;='Setup'!$B$14,-2*'Setup'!$B$11,IF(AND(MAX(AB62,AD62,AF62,AH62,AJ62)&gt;=P62,AK62&gt;=Q62+1),'Setup'!$B$10,IF(OR(MAX(AB62,AD62,AF62,AH62,AJ62)&lt;O62,AK62&lt;Q62-1),-'Setup'!$B$11,0))))</x:f>
        <x:v>0</x:v>
      </x:c>
      <x:c r="AU62" s="333" t="n">
        <x:f>IF(Z62=0,0,IF(AN62&lt;&gt;"Yes",Z62,IF(COUNT(AA62,AC62,AE62,AG62,AI62)=0,Z62,ROUND((MAX(AA62,AC62,AE62,AG62,AI62)*(1+AT62))/'Setup'!$B$9,0)*'Setup'!$B$9)))</x:f>
        <x:v>0</x:v>
      </x:c>
      <x:c r="AV62" s="336"/>
    </x:row>
    <x:row r="63">
      <x:c r="A63" s="310" t="n">
        <x:f>'Setup'!$B$3+(C63-1)*7+(D63-1)</x:f>
        <x:v>46249</x:v>
      </x:c>
      <x:c r="B63" s="311" t="str">
        <x:v>1|6|7</x:v>
      </x:c>
      <x:c r="C63" s="311" t="n">
        <x:v>1</x:v>
      </x:c>
      <x:c r="D63" s="311" t="n">
        <x:v>6</x:v>
      </x:c>
      <x:c r="E63" s="311" t="str">
        <x:v>Accumulation</x:v>
      </x:c>
      <x:c r="F63" s="311" t="str">
        <x:v>Push B</x:v>
      </x:c>
      <x:c r="G63" s="311" t="str">
        <x:v>Upper-body speed + chest volume</x:v>
      </x:c>
      <x:c r="H63" s="311" t="n">
        <x:v>7</x:v>
      </x:c>
      <x:c r="I63" s="311" t="str">
        <x:v>Overhead Cable Triceps Extension</x:v>
      </x:c>
      <x:c r="J63" s="311" t="str">
        <x:v>Hypertrophy</x:v>
      </x:c>
      <x:c r="K63" s="311" t="str">
        <x:v>Triceps</x:v>
      </x:c>
      <x:c r="L63" s="311" t="str">
        <x:v>Straight sets</x:v>
      </x:c>
      <x:c r="M63" s="311"/>
      <x:c r="N63" s="311" t="n">
        <x:v>3</x:v>
      </x:c>
      <x:c r="O63" s="311" t="n">
        <x:v>10</x:v>
      </x:c>
      <x:c r="P63" s="311" t="n">
        <x:v>15</x:v>
      </x:c>
      <x:c r="Q63" s="311" t="n">
        <x:v>3</x:v>
      </x:c>
      <x:c r="R63" s="311" t="n">
        <x:v>60</x:v>
      </x:c>
      <x:c r="S63" s="311" t="str">
        <x:v>3-0-1</x:v>
      </x:c>
      <x:c r="T63" s="330" t="n">
        <x:v>1</x:v>
      </x:c>
      <x:c r="U63" s="330" t="n">
        <x:v>0</x:v>
      </x:c>
      <x:c r="V63" s="331" t="str">
        <x:v>load × reps</x:v>
      </x:c>
      <x:c r="W63" s="332" t="str">
        <x:f>'Readiness'!K12</x:f>
      </x:c>
      <x:c r="X63" s="314" t="n">
        <x:f>'Readiness'!L12</x:f>
        <x:v>1</x:v>
      </x:c>
      <x:c r="Y63" s="315" t="n">
        <x:f>IF(J63="Mobility",N63,MAX(1,ROUND(N63*X63,0)))</x:f>
        <x:v>3</x:v>
      </x:c>
      <x:c r="Z63" s="333" t="n">
        <x:f>IF('Setup'!$D$69&gt;0,'Setup'!$D$69,0)</x:f>
        <x:v>0</x:v>
      </x:c>
      <x:c r="AA63" s="334"/>
      <x:c r="AB63" s="334"/>
      <x:c r="AC63" s="334"/>
      <x:c r="AD63" s="334"/>
      <x:c r="AE63" s="334"/>
      <x:c r="AF63" s="334"/>
      <x:c r="AG63" s="334"/>
      <x:c r="AH63" s="334"/>
      <x:c r="AI63" s="334"/>
      <x:c r="AJ63" s="312"/>
      <x:c r="AK63" s="312"/>
      <x:c r="AL63" s="312"/>
      <x:c r="AM63" s="312"/>
      <x:c r="AN63" s="312"/>
      <x:c r="AO63" s="315" t="n">
        <x:f>COUNT(AB63,AD63,AF63,AH63,AJ63)</x:f>
        <x:v>0</x:v>
      </x:c>
      <x:c r="AP63" s="315" t="n">
        <x:f>SUM(AB63,AD63,AF63,AH63,AJ63)</x:f>
        <x:v>0</x:v>
      </x:c>
      <x:c r="AQ63" s="333" t="n">
        <x:f>AA63*AB63+AC63*AD63+AE63*AF63+AG63*AH63+AI63*AJ63</x:f>
        <x:v>0</x:v>
      </x:c>
      <x:c r="AR63" s="333" t="n">
        <x:f>IF(OR(J63="Strength",J63="Hypertrophy"),MAX(IF(AB63&gt;0,AA63*(1+AB63/30),0),IF(AD63&gt;0,AC63*(1+AD63/30),0),IF(AF63&gt;0,AE63*(1+AF63/30),0),IF(AH63&gt;0,AG63*(1+AH63/30),0),IF(AJ63&gt;0,AI63*(1+AJ63/30),0)),0)</x:f>
        <x:v>0</x:v>
      </x:c>
      <x:c r="AS63" s="315" t="str">
        <x:f>IF(AN63&lt;&gt;"Yes","Not logged",IF(AL63&gt;='Setup'!$B$14,"STOP / MODIFY",IF(Z63=0,"Complete",IF(OR(AO63=0,AK63=""),"Add set data + RIR",IF(AND(MAX(AB63,AD63,AF63,AH63,AJ63)&gt;=P63,AK63&gt;=Q63+1),"Progress",IF(OR(MAX(AB63,AD63,AF63,AH63,AJ63)&lt;O63,AK63&lt;Q63-1),"Regress","Hold"))))))</x:f>
        <x:v>Not logged</x:v>
      </x:c>
      <x:c r="AT63" s="335" t="n">
        <x:f>IF(OR(Z63=0,AN63&lt;&gt;"Yes",AO63=0,AK63=""),0,IF(AL63&gt;='Setup'!$B$14,-2*'Setup'!$B$11,IF(AND(MAX(AB63,AD63,AF63,AH63,AJ63)&gt;=P63,AK63&gt;=Q63+1),'Setup'!$B$10,IF(OR(MAX(AB63,AD63,AF63,AH63,AJ63)&lt;O63,AK63&lt;Q63-1),-'Setup'!$B$11,0))))</x:f>
        <x:v>0</x:v>
      </x:c>
      <x:c r="AU63" s="333" t="n">
        <x:f>IF(Z63=0,0,IF(AN63&lt;&gt;"Yes",Z63,IF(COUNT(AA63,AC63,AE63,AG63,AI63)=0,Z63,ROUND((MAX(AA63,AC63,AE63,AG63,AI63)*(1+AT63))/'Setup'!$B$9,0)*'Setup'!$B$9)))</x:f>
        <x:v>0</x:v>
      </x:c>
      <x:c r="AV63" s="336"/>
    </x:row>
    <x:row r="64">
      <x:c r="A64" s="310" t="n">
        <x:f>'Setup'!$B$3+(C64-1)*7+(D64-1)</x:f>
        <x:v>46249</x:v>
      </x:c>
      <x:c r="B64" s="311" t="str">
        <x:v>1|6|8</x:v>
      </x:c>
      <x:c r="C64" s="311" t="n">
        <x:v>1</x:v>
      </x:c>
      <x:c r="D64" s="311" t="n">
        <x:v>6</x:v>
      </x:c>
      <x:c r="E64" s="311" t="str">
        <x:v>Accumulation</x:v>
      </x:c>
      <x:c r="F64" s="311" t="str">
        <x:v>Push B</x:v>
      </x:c>
      <x:c r="G64" s="311" t="str">
        <x:v>Upper-body speed + chest volume</x:v>
      </x:c>
      <x:c r="H64" s="311" t="n">
        <x:v>8</x:v>
      </x:c>
      <x:c r="I64" s="311" t="str">
        <x:v>Kettlebell Suitcase Carry</x:v>
      </x:c>
      <x:c r="J64" s="311" t="str">
        <x:v>Athletic</x:v>
      </x:c>
      <x:c r="K64" s="311" t="str">
        <x:v>Core</x:v>
      </x:c>
      <x:c r="L64" s="311" t="str">
        <x:v>Tall posture, no side bend</x:v>
      </x:c>
      <x:c r="M64" s="311"/>
      <x:c r="N64" s="311" t="n">
        <x:v>3</x:v>
      </x:c>
      <x:c r="O64" s="311" t="n">
        <x:v>20</x:v>
      </x:c>
      <x:c r="P64" s="311" t="n">
        <x:v>30</x:v>
      </x:c>
      <x:c r="Q64" s="311" t="n">
        <x:v>3</x:v>
      </x:c>
      <x:c r="R64" s="311" t="n">
        <x:v>60</x:v>
      </x:c>
      <x:c r="S64" s="311" t="str">
        <x:v>Controlled</x:v>
      </x:c>
      <x:c r="T64" s="330" t="n">
        <x:v>1</x:v>
      </x:c>
      <x:c r="U64" s="330" t="n">
        <x:v>0</x:v>
      </x:c>
      <x:c r="V64" s="331" t="str">
        <x:v>load + meters</x:v>
      </x:c>
      <x:c r="W64" s="332" t="str">
        <x:f>'Readiness'!K12</x:f>
      </x:c>
      <x:c r="X64" s="314" t="n">
        <x:f>'Readiness'!L12</x:f>
        <x:v>1</x:v>
      </x:c>
      <x:c r="Y64" s="315" t="n">
        <x:f>IF(J64="Mobility",N64,MAX(1,ROUND(N64*X64,0)))</x:f>
        <x:v>3</x:v>
      </x:c>
      <x:c r="Z64" s="333" t="n">
        <x:f>0</x:f>
        <x:v>0</x:v>
      </x:c>
      <x:c r="AA64" s="334"/>
      <x:c r="AB64" s="334"/>
      <x:c r="AC64" s="334"/>
      <x:c r="AD64" s="334"/>
      <x:c r="AE64" s="334"/>
      <x:c r="AF64" s="334"/>
      <x:c r="AG64" s="334"/>
      <x:c r="AH64" s="334"/>
      <x:c r="AI64" s="334"/>
      <x:c r="AJ64" s="312"/>
      <x:c r="AK64" s="312"/>
      <x:c r="AL64" s="312"/>
      <x:c r="AM64" s="312"/>
      <x:c r="AN64" s="312"/>
      <x:c r="AO64" s="315" t="n">
        <x:f>COUNT(AB64,AD64,AF64,AH64,AJ64)</x:f>
        <x:v>0</x:v>
      </x:c>
      <x:c r="AP64" s="315" t="n">
        <x:f>SUM(AB64,AD64,AF64,AH64,AJ64)</x:f>
        <x:v>0</x:v>
      </x:c>
      <x:c r="AQ64" s="333" t="n">
        <x:f>AA64*AB64+AC64*AD64+AE64*AF64+AG64*AH64+AI64*AJ64</x:f>
        <x:v>0</x:v>
      </x:c>
      <x:c r="AR64" s="333" t="n">
        <x:f>IF(OR(J64="Strength",J64="Hypertrophy"),MAX(IF(AB64&gt;0,AA64*(1+AB64/30),0),IF(AD64&gt;0,AC64*(1+AD64/30),0),IF(AF64&gt;0,AE64*(1+AF64/30),0),IF(AH64&gt;0,AG64*(1+AH64/30),0),IF(AJ64&gt;0,AI64*(1+AJ64/30),0)),0)</x:f>
        <x:v>0</x:v>
      </x:c>
      <x:c r="AS64" s="315" t="str">
        <x:f>IF(AN64&lt;&gt;"Yes","Not logged",IF(AL64&gt;='Setup'!$B$14,"STOP / MODIFY",IF(Z64=0,"Complete",IF(OR(AO64=0,AK64=""),"Add set data + RIR",IF(AND(MAX(AB64,AD64,AF64,AH64,AJ64)&gt;=P64,AK64&gt;=Q64+1),"Progress",IF(OR(MAX(AB64,AD64,AF64,AH64,AJ64)&lt;O64,AK64&lt;Q64-1),"Regress","Hold"))))))</x:f>
        <x:v>Not logged</x:v>
      </x:c>
      <x:c r="AT64" s="335" t="n">
        <x:f>IF(OR(Z64=0,AN64&lt;&gt;"Yes",AO64=0,AK64=""),0,IF(AL64&gt;='Setup'!$B$14,-2*'Setup'!$B$11,IF(AND(MAX(AB64,AD64,AF64,AH64,AJ64)&gt;=P64,AK64&gt;=Q64+1),'Setup'!$B$10,IF(OR(MAX(AB64,AD64,AF64,AH64,AJ64)&lt;O64,AK64&lt;Q64-1),-'Setup'!$B$11,0))))</x:f>
        <x:v>0</x:v>
      </x:c>
      <x:c r="AU64" s="333" t="n">
        <x:f>IF(Z64=0,0,IF(AN64&lt;&gt;"Yes",Z64,IF(COUNT(AA64,AC64,AE64,AG64,AI64)=0,Z64,ROUND((MAX(AA64,AC64,AE64,AG64,AI64)*(1+AT64))/'Setup'!$B$9,0)*'Setup'!$B$9)))</x:f>
        <x:v>0</x:v>
      </x:c>
      <x:c r="AV64" s="336"/>
    </x:row>
    <x:row r="65">
      <x:c r="A65" s="310" t="n">
        <x:f>'Setup'!$B$3+(C65-1)*7+(D65-1)</x:f>
        <x:v>46249</x:v>
      </x:c>
      <x:c r="B65" s="311" t="str">
        <x:v>1|6|9</x:v>
      </x:c>
      <x:c r="C65" s="311" t="n">
        <x:v>1</x:v>
      </x:c>
      <x:c r="D65" s="311" t="n">
        <x:v>6</x:v>
      </x:c>
      <x:c r="E65" s="311" t="str">
        <x:v>Accumulation</x:v>
      </x:c>
      <x:c r="F65" s="311" t="str">
        <x:v>Push B</x:v>
      </x:c>
      <x:c r="G65" s="311" t="str">
        <x:v>Upper-body speed + chest volume</x:v>
      </x:c>
      <x:c r="H65" s="311" t="n">
        <x:v>9</x:v>
      </x:c>
      <x:c r="I65" s="311" t="str">
        <x:v>Open-Book Thoracic Rotation</x:v>
      </x:c>
      <x:c r="J65" s="311" t="str">
        <x:v>Mobility</x:v>
      </x:c>
      <x:c r="K65" s="311" t="str">
        <x:v>Thoracic</x:v>
      </x:c>
      <x:c r="L65" s="311" t="str">
        <x:v>Controlled mobility</x:v>
      </x:c>
      <x:c r="M65" s="311"/>
      <x:c r="N65" s="311" t="n">
        <x:v>2</x:v>
      </x:c>
      <x:c r="O65" s="311" t="n">
        <x:v>6</x:v>
      </x:c>
      <x:c r="P65" s="311" t="n">
        <x:v>10</x:v>
      </x:c>
      <x:c r="Q65" s="311"/>
      <x:c r="R65" s="311" t="n">
        <x:v>20</x:v>
      </x:c>
      <x:c r="S65" s="311" t="str">
        <x:v>Slow</x:v>
      </x:c>
      <x:c r="T65" s="330" t="n">
        <x:v>1</x:v>
      </x:c>
      <x:c r="U65" s="330" t="n">
        <x:v>0</x:v>
      </x:c>
      <x:c r="V65" s="331" t="str">
        <x:v>reps</x:v>
      </x:c>
      <x:c r="W65" s="332" t="str">
        <x:f>'Readiness'!K12</x:f>
      </x:c>
      <x:c r="X65" s="314" t="n">
        <x:f>'Readiness'!L12</x:f>
        <x:v>1</x:v>
      </x:c>
      <x:c r="Y65" s="315" t="n">
        <x:f>IF(J65="Mobility",N65,MAX(1,ROUND(N65*X65,0)))</x:f>
        <x:v>2</x:v>
      </x:c>
      <x:c r="Z65" s="333" t="n">
        <x:f>0</x:f>
        <x:v>0</x:v>
      </x:c>
      <x:c r="AA65" s="334"/>
      <x:c r="AB65" s="334"/>
      <x:c r="AC65" s="334"/>
      <x:c r="AD65" s="334"/>
      <x:c r="AE65" s="334"/>
      <x:c r="AF65" s="334"/>
      <x:c r="AG65" s="334"/>
      <x:c r="AH65" s="334"/>
      <x:c r="AI65" s="334"/>
      <x:c r="AJ65" s="312"/>
      <x:c r="AK65" s="312"/>
      <x:c r="AL65" s="312"/>
      <x:c r="AM65" s="312"/>
      <x:c r="AN65" s="312"/>
      <x:c r="AO65" s="315" t="n">
        <x:f>COUNT(AB65,AD65,AF65,AH65,AJ65)</x:f>
        <x:v>0</x:v>
      </x:c>
      <x:c r="AP65" s="315" t="n">
        <x:f>SUM(AB65,AD65,AF65,AH65,AJ65)</x:f>
        <x:v>0</x:v>
      </x:c>
      <x:c r="AQ65" s="333" t="n">
        <x:f>AA65*AB65+AC65*AD65+AE65*AF65+AG65*AH65+AI65*AJ65</x:f>
        <x:v>0</x:v>
      </x:c>
      <x:c r="AR65" s="333" t="n">
        <x:f>IF(OR(J65="Strength",J65="Hypertrophy"),MAX(IF(AB65&gt;0,AA65*(1+AB65/30),0),IF(AD65&gt;0,AC65*(1+AD65/30),0),IF(AF65&gt;0,AE65*(1+AF65/30),0),IF(AH65&gt;0,AG65*(1+AH65/30),0),IF(AJ65&gt;0,AI65*(1+AJ65/30),0)),0)</x:f>
        <x:v>0</x:v>
      </x:c>
      <x:c r="AS65" s="315" t="str">
        <x:f>IF(AN65&lt;&gt;"Yes","Not logged",IF(AL65&gt;='Setup'!$B$14,"STOP / MODIFY",IF(Z65=0,"Complete",IF(OR(AO65=0,AK65=""),"Add set data + RIR",IF(AND(MAX(AB65,AD65,AF65,AH65,AJ65)&gt;=P65,AK65&gt;=Q65+1),"Progress",IF(OR(MAX(AB65,AD65,AF65,AH65,AJ65)&lt;O65,AK65&lt;Q65-1),"Regress","Hold"))))))</x:f>
        <x:v>Not logged</x:v>
      </x:c>
      <x:c r="AT65" s="335" t="n">
        <x:f>IF(OR(Z65=0,AN65&lt;&gt;"Yes",AO65=0,AK65=""),0,IF(AL65&gt;='Setup'!$B$14,-2*'Setup'!$B$11,IF(AND(MAX(AB65,AD65,AF65,AH65,AJ65)&gt;=P65,AK65&gt;=Q65+1),'Setup'!$B$10,IF(OR(MAX(AB65,AD65,AF65,AH65,AJ65)&lt;O65,AK65&lt;Q65-1),-'Setup'!$B$11,0))))</x:f>
        <x:v>0</x:v>
      </x:c>
      <x:c r="AU65" s="333" t="n">
        <x:f>IF(Z65=0,0,IF(AN65&lt;&gt;"Yes",Z65,IF(COUNT(AA65,AC65,AE65,AG65,AI65)=0,Z65,ROUND((MAX(AA65,AC65,AE65,AG65,AI65)*(1+AT65))/'Setup'!$B$9,0)*'Setup'!$B$9)))</x:f>
        <x:v>0</x:v>
      </x:c>
      <x:c r="AV65" s="336"/>
    </x:row>
    <x:row r="66">
      <x:c r="A66" s="310" t="n">
        <x:f>'Setup'!$B$3+(C66-1)*7+(D66-1)</x:f>
        <x:v>46251</x:v>
      </x:c>
      <x:c r="B66" s="311" t="str">
        <x:v>2|1|1</x:v>
      </x:c>
      <x:c r="C66" s="311" t="n">
        <x:v>2</x:v>
      </x:c>
      <x:c r="D66" s="311" t="n">
        <x:v>1</x:v>
      </x:c>
      <x:c r="E66" s="311" t="str">
        <x:v>Accumulation</x:v>
      </x:c>
      <x:c r="F66" s="311" t="str">
        <x:v>Pull A</x:v>
      </x:c>
      <x:c r="G66" s="311" t="str">
        <x:v>Vertical pull strength + back density</x:v>
      </x:c>
      <x:c r="H66" s="311" t="n">
        <x:v>1</x:v>
      </x:c>
      <x:c r="I66" s="311" t="str">
        <x:v>Medicine Ball Rotational Throw</x:v>
      </x:c>
      <x:c r="J66" s="311" t="str">
        <x:v>Power</x:v>
      </x:c>
      <x:c r="K66" s="311" t="str">
        <x:v>Core</x:v>
      </x:c>
      <x:c r="L66" s="311" t="str">
        <x:v>Max intent, full reset</x:v>
      </x:c>
      <x:c r="M66" s="311"/>
      <x:c r="N66" s="311" t="n">
        <x:v>3</x:v>
      </x:c>
      <x:c r="O66" s="311" t="n">
        <x:v>4</x:v>
      </x:c>
      <x:c r="P66" s="311" t="n">
        <x:v>4</x:v>
      </x:c>
      <x:c r="Q66" s="311" t="n">
        <x:v>2</x:v>
      </x:c>
      <x:c r="R66" s="311" t="n">
        <x:v>60</x:v>
      </x:c>
      <x:c r="S66" s="311" t="str">
        <x:v>Explosive</x:v>
      </x:c>
      <x:c r="T66" s="330" t="n">
        <x:v>1</x:v>
      </x:c>
      <x:c r="U66" s="330" t="n">
        <x:v>0</x:v>
      </x:c>
      <x:c r="V66" s="331" t="str">
        <x:v>throw quality</x:v>
      </x:c>
      <x:c r="W66" s="332" t="str">
        <x:f>'Readiness'!K13</x:f>
      </x:c>
      <x:c r="X66" s="314" t="n">
        <x:f>'Readiness'!L13</x:f>
        <x:v>1</x:v>
      </x:c>
      <x:c r="Y66" s="315" t="n">
        <x:f>IF(J66="Mobility",N66,MAX(1,ROUND(N66*X66,0)))</x:f>
        <x:v>3</x:v>
      </x:c>
      <x:c r="Z66" s="333" t="n">
        <x:f>0</x:f>
        <x:v>0</x:v>
      </x:c>
      <x:c r="AA66" s="334"/>
      <x:c r="AB66" s="334"/>
      <x:c r="AC66" s="334"/>
      <x:c r="AD66" s="334"/>
      <x:c r="AE66" s="334"/>
      <x:c r="AF66" s="334"/>
      <x:c r="AG66" s="334"/>
      <x:c r="AH66" s="334"/>
      <x:c r="AI66" s="334"/>
      <x:c r="AJ66" s="312"/>
      <x:c r="AK66" s="312"/>
      <x:c r="AL66" s="312"/>
      <x:c r="AM66" s="312"/>
      <x:c r="AN66" s="312"/>
      <x:c r="AO66" s="315" t="n">
        <x:f>COUNT(AB66,AD66,AF66,AH66,AJ66)</x:f>
        <x:v>0</x:v>
      </x:c>
      <x:c r="AP66" s="315" t="n">
        <x:f>SUM(AB66,AD66,AF66,AH66,AJ66)</x:f>
        <x:v>0</x:v>
      </x:c>
      <x:c r="AQ66" s="333" t="n">
        <x:f>AA66*AB66+AC66*AD66+AE66*AF66+AG66*AH66+AI66*AJ66</x:f>
        <x:v>0</x:v>
      </x:c>
      <x:c r="AR66" s="333" t="n">
        <x:f>IF(OR(J66="Strength",J66="Hypertrophy"),MAX(IF(AB66&gt;0,AA66*(1+AB66/30),0),IF(AD66&gt;0,AC66*(1+AD66/30),0),IF(AF66&gt;0,AE66*(1+AF66/30),0),IF(AH66&gt;0,AG66*(1+AH66/30),0),IF(AJ66&gt;0,AI66*(1+AJ66/30),0)),0)</x:f>
        <x:v>0</x:v>
      </x:c>
      <x:c r="AS66" s="315" t="str">
        <x:f>IF(AN66&lt;&gt;"Yes","Not logged",IF(AL66&gt;='Setup'!$B$14,"STOP / MODIFY",IF(Z66=0,"Complete",IF(OR(AO66=0,AK66=""),"Add set data + RIR",IF(AND(MAX(AB66,AD66,AF66,AH66,AJ66)&gt;=P66,AK66&gt;=Q66+1),"Progress",IF(OR(MAX(AB66,AD66,AF66,AH66,AJ66)&lt;O66,AK66&lt;Q66-1),"Regress","Hold"))))))</x:f>
        <x:v>Not logged</x:v>
      </x:c>
      <x:c r="AT66" s="335" t="n">
        <x:f>IF(OR(Z66=0,AN66&lt;&gt;"Yes",AO66=0,AK66=""),0,IF(AL66&gt;='Setup'!$B$14,-2*'Setup'!$B$11,IF(AND(MAX(AB66,AD66,AF66,AH66,AJ66)&gt;=P66,AK66&gt;=Q66+1),'Setup'!$B$10,IF(OR(MAX(AB66,AD66,AF66,AH66,AJ66)&lt;O66,AK66&lt;Q66-1),-'Setup'!$B$11,0))))</x:f>
        <x:v>0</x:v>
      </x:c>
      <x:c r="AU66" s="333" t="n">
        <x:f>IF(Z66=0,0,IF(AN66&lt;&gt;"Yes",Z66,IF(COUNT(AA66,AC66,AE66,AG66,AI66)=0,Z66,ROUND((MAX(AA66,AC66,AE66,AG66,AI66)*(1+AT66))/'Setup'!$B$9,0)*'Setup'!$B$9)))</x:f>
        <x:v>0</x:v>
      </x:c>
      <x:c r="AV66" s="336"/>
    </x:row>
    <x:row r="67">
      <x:c r="A67" s="310" t="n">
        <x:f>'Setup'!$B$3+(C67-1)*7+(D67-1)</x:f>
        <x:v>46251</x:v>
      </x:c>
      <x:c r="B67" s="311" t="str">
        <x:v>2|1|2</x:v>
      </x:c>
      <x:c r="C67" s="311" t="n">
        <x:v>2</x:v>
      </x:c>
      <x:c r="D67" s="311" t="n">
        <x:v>1</x:v>
      </x:c>
      <x:c r="E67" s="311" t="str">
        <x:v>Accumulation</x:v>
      </x:c>
      <x:c r="F67" s="311" t="str">
        <x:v>Pull A</x:v>
      </x:c>
      <x:c r="G67" s="311" t="str">
        <x:v>Vertical pull strength + back density</x:v>
      </x:c>
      <x:c r="H67" s="311" t="n">
        <x:v>2</x:v>
      </x:c>
      <x:c r="I67" s="311" t="str">
        <x:v>Weighted Pull-Up</x:v>
      </x:c>
      <x:c r="J67" s="311" t="str">
        <x:v>Strength</x:v>
      </x:c>
      <x:c r="K67" s="311" t="str">
        <x:v>Back</x:v>
      </x:c>
      <x:c r="L67" s="311" t="str">
        <x:v>Top set + back-offs</x:v>
      </x:c>
      <x:c r="M67" s="311"/>
      <x:c r="N67" s="311" t="n">
        <x:v>4</x:v>
      </x:c>
      <x:c r="O67" s="311" t="n">
        <x:v>5</x:v>
      </x:c>
      <x:c r="P67" s="311" t="n">
        <x:v>7</x:v>
      </x:c>
      <x:c r="Q67" s="311" t="n">
        <x:v>2</x:v>
      </x:c>
      <x:c r="R67" s="311" t="n">
        <x:v>150</x:v>
      </x:c>
      <x:c r="S67" s="311" t="str">
        <x:v>2-1-X</x:v>
      </x:c>
      <x:c r="T67" s="330" t="n">
        <x:v>1</x:v>
      </x:c>
      <x:c r="U67" s="330" t="n">
        <x:v>0</x:v>
      </x:c>
      <x:c r="V67" s="331" t="str">
        <x:v>load × reps</x:v>
      </x:c>
      <x:c r="W67" s="332" t="str">
        <x:f>'Readiness'!K13</x:f>
      </x:c>
      <x:c r="X67" s="314" t="n">
        <x:f>'Readiness'!L13</x:f>
        <x:v>1</x:v>
      </x:c>
      <x:c r="Y67" s="315" t="n">
        <x:f>IF(J67="Mobility",N67,MAX(1,ROUND(N67*X67,0)))</x:f>
        <x:v>4</x:v>
      </x:c>
      <x:c r="Z67" s="333" t="n">
        <x:f>ROUND((IF(AU11&gt;0,AU11,IF(Z11&gt;0,Z11,'Setup'!$D$94))*T67)/'Setup'!$B$9,0)*'Setup'!$B$9</x:f>
        <x:v>0</x:v>
      </x:c>
      <x:c r="AA67" s="334"/>
      <x:c r="AB67" s="334"/>
      <x:c r="AC67" s="334"/>
      <x:c r="AD67" s="334"/>
      <x:c r="AE67" s="334"/>
      <x:c r="AF67" s="334"/>
      <x:c r="AG67" s="334"/>
      <x:c r="AH67" s="334"/>
      <x:c r="AI67" s="334"/>
      <x:c r="AJ67" s="312"/>
      <x:c r="AK67" s="312"/>
      <x:c r="AL67" s="312"/>
      <x:c r="AM67" s="312"/>
      <x:c r="AN67" s="312"/>
      <x:c r="AO67" s="315" t="n">
        <x:f>COUNT(AB67,AD67,AF67,AH67,AJ67)</x:f>
        <x:v>0</x:v>
      </x:c>
      <x:c r="AP67" s="315" t="n">
        <x:f>SUM(AB67,AD67,AF67,AH67,AJ67)</x:f>
        <x:v>0</x:v>
      </x:c>
      <x:c r="AQ67" s="333" t="n">
        <x:f>AA67*AB67+AC67*AD67+AE67*AF67+AG67*AH67+AI67*AJ67</x:f>
        <x:v>0</x:v>
      </x:c>
      <x:c r="AR67" s="333" t="n">
        <x:f>IF(OR(J67="Strength",J67="Hypertrophy"),MAX(IF(AB67&gt;0,AA67*(1+AB67/30),0),IF(AD67&gt;0,AC67*(1+AD67/30),0),IF(AF67&gt;0,AE67*(1+AF67/30),0),IF(AH67&gt;0,AG67*(1+AH67/30),0),IF(AJ67&gt;0,AI67*(1+AJ67/30),0)),0)</x:f>
        <x:v>0</x:v>
      </x:c>
      <x:c r="AS67" s="315" t="str">
        <x:f>IF(AN67&lt;&gt;"Yes","Not logged",IF(AL67&gt;='Setup'!$B$14,"STOP / MODIFY",IF(Z67=0,"Complete",IF(OR(AO67=0,AK67=""),"Add set data + RIR",IF(AND(MAX(AB67,AD67,AF67,AH67,AJ67)&gt;=P67,AK67&gt;=Q67+1),"Progress",IF(OR(MAX(AB67,AD67,AF67,AH67,AJ67)&lt;O67,AK67&lt;Q67-1),"Regress","Hold"))))))</x:f>
        <x:v>Not logged</x:v>
      </x:c>
      <x:c r="AT67" s="335" t="n">
        <x:f>IF(OR(Z67=0,AN67&lt;&gt;"Yes",AO67=0,AK67=""),0,IF(AL67&gt;='Setup'!$B$14,-2*'Setup'!$B$11,IF(AND(MAX(AB67,AD67,AF67,AH67,AJ67)&gt;=P67,AK67&gt;=Q67+1),'Setup'!$B$10,IF(OR(MAX(AB67,AD67,AF67,AH67,AJ67)&lt;O67,AK67&lt;Q67-1),-'Setup'!$B$11,0))))</x:f>
        <x:v>0</x:v>
      </x:c>
      <x:c r="AU67" s="333" t="n">
        <x:f>IF(Z67=0,0,IF(AN67&lt;&gt;"Yes",Z67,IF(COUNT(AA67,AC67,AE67,AG67,AI67)=0,Z67,ROUND((MAX(AA67,AC67,AE67,AG67,AI67)*(1+AT67))/'Setup'!$B$9,0)*'Setup'!$B$9)))</x:f>
        <x:v>0</x:v>
      </x:c>
      <x:c r="AV67" s="336"/>
    </x:row>
    <x:row r="68">
      <x:c r="A68" s="310" t="n">
        <x:f>'Setup'!$B$3+(C68-1)*7+(D68-1)</x:f>
        <x:v>46251</x:v>
      </x:c>
      <x:c r="B68" s="311" t="str">
        <x:v>2|1|3</x:v>
      </x:c>
      <x:c r="C68" s="311" t="n">
        <x:v>2</x:v>
      </x:c>
      <x:c r="D68" s="311" t="n">
        <x:v>1</x:v>
      </x:c>
      <x:c r="E68" s="311" t="str">
        <x:v>Accumulation</x:v>
      </x:c>
      <x:c r="F68" s="311" t="str">
        <x:v>Pull A</x:v>
      </x:c>
      <x:c r="G68" s="311" t="str">
        <x:v>Vertical pull strength + back density</x:v>
      </x:c>
      <x:c r="H68" s="311" t="n">
        <x:v>3</x:v>
      </x:c>
      <x:c r="I68" s="311" t="str">
        <x:v>Barbell Row</x:v>
      </x:c>
      <x:c r="J68" s="311" t="str">
        <x:v>Strength</x:v>
      </x:c>
      <x:c r="K68" s="311" t="str">
        <x:v>Back</x:v>
      </x:c>
      <x:c r="L68" s="311" t="str">
        <x:v>Straight sets</x:v>
      </x:c>
      <x:c r="M68" s="311"/>
      <x:c r="N68" s="311" t="n">
        <x:v>3</x:v>
      </x:c>
      <x:c r="O68" s="311" t="n">
        <x:v>6</x:v>
      </x:c>
      <x:c r="P68" s="311" t="n">
        <x:v>8</x:v>
      </x:c>
      <x:c r="Q68" s="311" t="n">
        <x:v>2</x:v>
      </x:c>
      <x:c r="R68" s="311" t="n">
        <x:v>120</x:v>
      </x:c>
      <x:c r="S68" s="311" t="str">
        <x:v>2-1-1</x:v>
      </x:c>
      <x:c r="T68" s="330" t="n">
        <x:v>1</x:v>
      </x:c>
      <x:c r="U68" s="330" t="n">
        <x:v>0</x:v>
      </x:c>
      <x:c r="V68" s="331" t="str">
        <x:v>load × reps</x:v>
      </x:c>
      <x:c r="W68" s="332" t="str">
        <x:f>'Readiness'!K13</x:f>
      </x:c>
      <x:c r="X68" s="314" t="n">
        <x:f>'Readiness'!L13</x:f>
        <x:v>1</x:v>
      </x:c>
      <x:c r="Y68" s="315" t="n">
        <x:f>IF(J68="Mobility",N68,MAX(1,ROUND(N68*X68,0)))</x:f>
        <x:v>3</x:v>
      </x:c>
      <x:c r="Z68" s="333" t="n">
        <x:f>ROUND((IF(AU12&gt;0,AU12,IF(Z12&gt;0,Z12,'Setup'!$D$26))*T68)/'Setup'!$B$9,0)*'Setup'!$B$9</x:f>
        <x:v>0</x:v>
      </x:c>
      <x:c r="AA68" s="334"/>
      <x:c r="AB68" s="334"/>
      <x:c r="AC68" s="334"/>
      <x:c r="AD68" s="334"/>
      <x:c r="AE68" s="334"/>
      <x:c r="AF68" s="334"/>
      <x:c r="AG68" s="334"/>
      <x:c r="AH68" s="334"/>
      <x:c r="AI68" s="334"/>
      <x:c r="AJ68" s="312"/>
      <x:c r="AK68" s="312"/>
      <x:c r="AL68" s="312"/>
      <x:c r="AM68" s="312"/>
      <x:c r="AN68" s="312"/>
      <x:c r="AO68" s="315" t="n">
        <x:f>COUNT(AB68,AD68,AF68,AH68,AJ68)</x:f>
        <x:v>0</x:v>
      </x:c>
      <x:c r="AP68" s="315" t="n">
        <x:f>SUM(AB68,AD68,AF68,AH68,AJ68)</x:f>
        <x:v>0</x:v>
      </x:c>
      <x:c r="AQ68" s="333" t="n">
        <x:f>AA68*AB68+AC68*AD68+AE68*AF68+AG68*AH68+AI68*AJ68</x:f>
        <x:v>0</x:v>
      </x:c>
      <x:c r="AR68" s="333" t="n">
        <x:f>IF(OR(J68="Strength",J68="Hypertrophy"),MAX(IF(AB68&gt;0,AA68*(1+AB68/30),0),IF(AD68&gt;0,AC68*(1+AD68/30),0),IF(AF68&gt;0,AE68*(1+AF68/30),0),IF(AH68&gt;0,AG68*(1+AH68/30),0),IF(AJ68&gt;0,AI68*(1+AJ68/30),0)),0)</x:f>
        <x:v>0</x:v>
      </x:c>
      <x:c r="AS68" s="315" t="str">
        <x:f>IF(AN68&lt;&gt;"Yes","Not logged",IF(AL68&gt;='Setup'!$B$14,"STOP / MODIFY",IF(Z68=0,"Complete",IF(OR(AO68=0,AK68=""),"Add set data + RIR",IF(AND(MAX(AB68,AD68,AF68,AH68,AJ68)&gt;=P68,AK68&gt;=Q68+1),"Progress",IF(OR(MAX(AB68,AD68,AF68,AH68,AJ68)&lt;O68,AK68&lt;Q68-1),"Regress","Hold"))))))</x:f>
        <x:v>Not logged</x:v>
      </x:c>
      <x:c r="AT68" s="335" t="n">
        <x:f>IF(OR(Z68=0,AN68&lt;&gt;"Yes",AO68=0,AK68=""),0,IF(AL68&gt;='Setup'!$B$14,-2*'Setup'!$B$11,IF(AND(MAX(AB68,AD68,AF68,AH68,AJ68)&gt;=P68,AK68&gt;=Q68+1),'Setup'!$B$10,IF(OR(MAX(AB68,AD68,AF68,AH68,AJ68)&lt;O68,AK68&lt;Q68-1),-'Setup'!$B$11,0))))</x:f>
        <x:v>0</x:v>
      </x:c>
      <x:c r="AU68" s="333" t="n">
        <x:f>IF(Z68=0,0,IF(AN68&lt;&gt;"Yes",Z68,IF(COUNT(AA68,AC68,AE68,AG68,AI68)=0,Z68,ROUND((MAX(AA68,AC68,AE68,AG68,AI68)*(1+AT68))/'Setup'!$B$9,0)*'Setup'!$B$9)))</x:f>
        <x:v>0</x:v>
      </x:c>
      <x:c r="AV68" s="336"/>
    </x:row>
    <x:row r="69">
      <x:c r="A69" s="310" t="n">
        <x:f>'Setup'!$B$3+(C69-1)*7+(D69-1)</x:f>
        <x:v>46251</x:v>
      </x:c>
      <x:c r="B69" s="311" t="str">
        <x:v>2|1|4</x:v>
      </x:c>
      <x:c r="C69" s="311" t="n">
        <x:v>2</x:v>
      </x:c>
      <x:c r="D69" s="311" t="n">
        <x:v>1</x:v>
      </x:c>
      <x:c r="E69" s="311" t="str">
        <x:v>Accumulation</x:v>
      </x:c>
      <x:c r="F69" s="311" t="str">
        <x:v>Pull A</x:v>
      </x:c>
      <x:c r="G69" s="311" t="str">
        <x:v>Vertical pull strength + back density</x:v>
      </x:c>
      <x:c r="H69" s="311" t="n">
        <x:v>4</x:v>
      </x:c>
      <x:c r="I69" s="311" t="str">
        <x:v>Chest-Supported Dumbbell Row</x:v>
      </x:c>
      <x:c r="J69" s="311" t="str">
        <x:v>Hypertrophy</x:v>
      </x:c>
      <x:c r="K69" s="311" t="str">
        <x:v>Back</x:v>
      </x:c>
      <x:c r="L69" s="311" t="str">
        <x:v>Straight sets</x:v>
      </x:c>
      <x:c r="M69" s="311"/>
      <x:c r="N69" s="311" t="n">
        <x:v>4</x:v>
      </x:c>
      <x:c r="O69" s="311" t="n">
        <x:v>8</x:v>
      </x:c>
      <x:c r="P69" s="311" t="n">
        <x:v>12</x:v>
      </x:c>
      <x:c r="Q69" s="311" t="n">
        <x:v>2</x:v>
      </x:c>
      <x:c r="R69" s="311" t="n">
        <x:v>90</x:v>
      </x:c>
      <x:c r="S69" s="311" t="str">
        <x:v>2-1-1</x:v>
      </x:c>
      <x:c r="T69" s="330" t="n">
        <x:v>1</x:v>
      </x:c>
      <x:c r="U69" s="330" t="n">
        <x:v>0</x:v>
      </x:c>
      <x:c r="V69" s="331" t="str">
        <x:v>load × reps</x:v>
      </x:c>
      <x:c r="W69" s="332" t="str">
        <x:f>'Readiness'!K13</x:f>
      </x:c>
      <x:c r="X69" s="314" t="n">
        <x:f>'Readiness'!L13</x:f>
        <x:v>1</x:v>
      </x:c>
      <x:c r="Y69" s="315" t="n">
        <x:f>IF(J69="Mobility",N69,MAX(1,ROUND(N69*X69,0)))</x:f>
        <x:v>4</x:v>
      </x:c>
      <x:c r="Z69" s="333" t="n">
        <x:f>ROUND((IF(AU13&gt;0,AU13,IF(Z13&gt;0,Z13,'Setup'!$D$34))*T69)/'Setup'!$B$9,0)*'Setup'!$B$9</x:f>
        <x:v>0</x:v>
      </x:c>
      <x:c r="AA69" s="334"/>
      <x:c r="AB69" s="334"/>
      <x:c r="AC69" s="334"/>
      <x:c r="AD69" s="334"/>
      <x:c r="AE69" s="334"/>
      <x:c r="AF69" s="334"/>
      <x:c r="AG69" s="334"/>
      <x:c r="AH69" s="334"/>
      <x:c r="AI69" s="334"/>
      <x:c r="AJ69" s="312"/>
      <x:c r="AK69" s="312"/>
      <x:c r="AL69" s="312"/>
      <x:c r="AM69" s="312"/>
      <x:c r="AN69" s="312"/>
      <x:c r="AO69" s="315" t="n">
        <x:f>COUNT(AB69,AD69,AF69,AH69,AJ69)</x:f>
        <x:v>0</x:v>
      </x:c>
      <x:c r="AP69" s="315" t="n">
        <x:f>SUM(AB69,AD69,AF69,AH69,AJ69)</x:f>
        <x:v>0</x:v>
      </x:c>
      <x:c r="AQ69" s="333" t="n">
        <x:f>AA69*AB69+AC69*AD69+AE69*AF69+AG69*AH69+AI69*AJ69</x:f>
        <x:v>0</x:v>
      </x:c>
      <x:c r="AR69" s="333" t="n">
        <x:f>IF(OR(J69="Strength",J69="Hypertrophy"),MAX(IF(AB69&gt;0,AA69*(1+AB69/30),0),IF(AD69&gt;0,AC69*(1+AD69/30),0),IF(AF69&gt;0,AE69*(1+AF69/30),0),IF(AH69&gt;0,AG69*(1+AH69/30),0),IF(AJ69&gt;0,AI69*(1+AJ69/30),0)),0)</x:f>
        <x:v>0</x:v>
      </x:c>
      <x:c r="AS69" s="315" t="str">
        <x:f>IF(AN69&lt;&gt;"Yes","Not logged",IF(AL69&gt;='Setup'!$B$14,"STOP / MODIFY",IF(Z69=0,"Complete",IF(OR(AO69=0,AK69=""),"Add set data + RIR",IF(AND(MAX(AB69,AD69,AF69,AH69,AJ69)&gt;=P69,AK69&gt;=Q69+1),"Progress",IF(OR(MAX(AB69,AD69,AF69,AH69,AJ69)&lt;O69,AK69&lt;Q69-1),"Regress","Hold"))))))</x:f>
        <x:v>Not logged</x:v>
      </x:c>
      <x:c r="AT69" s="335" t="n">
        <x:f>IF(OR(Z69=0,AN69&lt;&gt;"Yes",AO69=0,AK69=""),0,IF(AL69&gt;='Setup'!$B$14,-2*'Setup'!$B$11,IF(AND(MAX(AB69,AD69,AF69,AH69,AJ69)&gt;=P69,AK69&gt;=Q69+1),'Setup'!$B$10,IF(OR(MAX(AB69,AD69,AF69,AH69,AJ69)&lt;O69,AK69&lt;Q69-1),-'Setup'!$B$11,0))))</x:f>
        <x:v>0</x:v>
      </x:c>
      <x:c r="AU69" s="333" t="n">
        <x:f>IF(Z69=0,0,IF(AN69&lt;&gt;"Yes",Z69,IF(COUNT(AA69,AC69,AE69,AG69,AI69)=0,Z69,ROUND((MAX(AA69,AC69,AE69,AG69,AI69)*(1+AT69))/'Setup'!$B$9,0)*'Setup'!$B$9)))</x:f>
        <x:v>0</x:v>
      </x:c>
      <x:c r="AV69" s="336"/>
    </x:row>
    <x:row r="70">
      <x:c r="A70" s="310" t="n">
        <x:f>'Setup'!$B$3+(C70-1)*7+(D70-1)</x:f>
        <x:v>46251</x:v>
      </x:c>
      <x:c r="B70" s="311" t="str">
        <x:v>2|1|5</x:v>
      </x:c>
      <x:c r="C70" s="311" t="n">
        <x:v>2</x:v>
      </x:c>
      <x:c r="D70" s="311" t="n">
        <x:v>1</x:v>
      </x:c>
      <x:c r="E70" s="311" t="str">
        <x:v>Accumulation</x:v>
      </x:c>
      <x:c r="F70" s="311" t="str">
        <x:v>Pull A</x:v>
      </x:c>
      <x:c r="G70" s="311" t="str">
        <x:v>Vertical pull strength + back density</x:v>
      </x:c>
      <x:c r="H70" s="311" t="n">
        <x:v>5</x:v>
      </x:c>
      <x:c r="I70" s="311" t="str">
        <x:v>Lat Pulldown</x:v>
      </x:c>
      <x:c r="J70" s="311" t="str">
        <x:v>Hypertrophy</x:v>
      </x:c>
      <x:c r="K70" s="311" t="str">
        <x:v>Back</x:v>
      </x:c>
      <x:c r="L70" s="311" t="str">
        <x:v>Straight sets</x:v>
      </x:c>
      <x:c r="M70" s="311"/>
      <x:c r="N70" s="311" t="n">
        <x:v>4</x:v>
      </x:c>
      <x:c r="O70" s="311" t="n">
        <x:v>10</x:v>
      </x:c>
      <x:c r="P70" s="311" t="n">
        <x:v>12</x:v>
      </x:c>
      <x:c r="Q70" s="311" t="n">
        <x:v>2</x:v>
      </x:c>
      <x:c r="R70" s="311" t="n">
        <x:v>75</x:v>
      </x:c>
      <x:c r="S70" s="311" t="str">
        <x:v>2-1-1</x:v>
      </x:c>
      <x:c r="T70" s="330" t="n">
        <x:v>1</x:v>
      </x:c>
      <x:c r="U70" s="330" t="n">
        <x:v>0</x:v>
      </x:c>
      <x:c r="V70" s="331" t="str">
        <x:v>load × reps</x:v>
      </x:c>
      <x:c r="W70" s="332" t="str">
        <x:f>'Readiness'!K13</x:f>
      </x:c>
      <x:c r="X70" s="314" t="n">
        <x:f>'Readiness'!L13</x:f>
        <x:v>1</x:v>
      </x:c>
      <x:c r="Y70" s="315" t="n">
        <x:f>IF(J70="Mobility",N70,MAX(1,ROUND(N70*X70,0)))</x:f>
        <x:v>4</x:v>
      </x:c>
      <x:c r="Z70" s="333" t="n">
        <x:f>ROUND((IF(AU14&gt;0,AU14,IF(Z14&gt;0,Z14,'Setup'!$D$55))*T70)/'Setup'!$B$9,0)*'Setup'!$B$9</x:f>
        <x:v>0</x:v>
      </x:c>
      <x:c r="AA70" s="334"/>
      <x:c r="AB70" s="334"/>
      <x:c r="AC70" s="334"/>
      <x:c r="AD70" s="334"/>
      <x:c r="AE70" s="334"/>
      <x:c r="AF70" s="334"/>
      <x:c r="AG70" s="334"/>
      <x:c r="AH70" s="334"/>
      <x:c r="AI70" s="334"/>
      <x:c r="AJ70" s="312"/>
      <x:c r="AK70" s="312"/>
      <x:c r="AL70" s="312"/>
      <x:c r="AM70" s="312"/>
      <x:c r="AN70" s="312"/>
      <x:c r="AO70" s="315" t="n">
        <x:f>COUNT(AB70,AD70,AF70,AH70,AJ70)</x:f>
        <x:v>0</x:v>
      </x:c>
      <x:c r="AP70" s="315" t="n">
        <x:f>SUM(AB70,AD70,AF70,AH70,AJ70)</x:f>
        <x:v>0</x:v>
      </x:c>
      <x:c r="AQ70" s="333" t="n">
        <x:f>AA70*AB70+AC70*AD70+AE70*AF70+AG70*AH70+AI70*AJ70</x:f>
        <x:v>0</x:v>
      </x:c>
      <x:c r="AR70" s="333" t="n">
        <x:f>IF(OR(J70="Strength",J70="Hypertrophy"),MAX(IF(AB70&gt;0,AA70*(1+AB70/30),0),IF(AD70&gt;0,AC70*(1+AD70/30),0),IF(AF70&gt;0,AE70*(1+AF70/30),0),IF(AH70&gt;0,AG70*(1+AH70/30),0),IF(AJ70&gt;0,AI70*(1+AJ70/30),0)),0)</x:f>
        <x:v>0</x:v>
      </x:c>
      <x:c r="AS70" s="315" t="str">
        <x:f>IF(AN70&lt;&gt;"Yes","Not logged",IF(AL70&gt;='Setup'!$B$14,"STOP / MODIFY",IF(Z70=0,"Complete",IF(OR(AO70=0,AK70=""),"Add set data + RIR",IF(AND(MAX(AB70,AD70,AF70,AH70,AJ70)&gt;=P70,AK70&gt;=Q70+1),"Progress",IF(OR(MAX(AB70,AD70,AF70,AH70,AJ70)&lt;O70,AK70&lt;Q70-1),"Regress","Hold"))))))</x:f>
        <x:v>Not logged</x:v>
      </x:c>
      <x:c r="AT70" s="335" t="n">
        <x:f>IF(OR(Z70=0,AN70&lt;&gt;"Yes",AO70=0,AK70=""),0,IF(AL70&gt;='Setup'!$B$14,-2*'Setup'!$B$11,IF(AND(MAX(AB70,AD70,AF70,AH70,AJ70)&gt;=P70,AK70&gt;=Q70+1),'Setup'!$B$10,IF(OR(MAX(AB70,AD70,AF70,AH70,AJ70)&lt;O70,AK70&lt;Q70-1),-'Setup'!$B$11,0))))</x:f>
        <x:v>0</x:v>
      </x:c>
      <x:c r="AU70" s="333" t="n">
        <x:f>IF(Z70=0,0,IF(AN70&lt;&gt;"Yes",Z70,IF(COUNT(AA70,AC70,AE70,AG70,AI70)=0,Z70,ROUND((MAX(AA70,AC70,AE70,AG70,AI70)*(1+AT70))/'Setup'!$B$9,0)*'Setup'!$B$9)))</x:f>
        <x:v>0</x:v>
      </x:c>
      <x:c r="AV70" s="336"/>
    </x:row>
    <x:row r="71">
      <x:c r="A71" s="310" t="n">
        <x:f>'Setup'!$B$3+(C71-1)*7+(D71-1)</x:f>
        <x:v>46251</x:v>
      </x:c>
      <x:c r="B71" s="311" t="str">
        <x:v>2|1|6</x:v>
      </x:c>
      <x:c r="C71" s="311" t="n">
        <x:v>2</x:v>
      </x:c>
      <x:c r="D71" s="311" t="n">
        <x:v>1</x:v>
      </x:c>
      <x:c r="E71" s="311" t="str">
        <x:v>Accumulation</x:v>
      </x:c>
      <x:c r="F71" s="311" t="str">
        <x:v>Pull A</x:v>
      </x:c>
      <x:c r="G71" s="311" t="str">
        <x:v>Vertical pull strength + back density</x:v>
      </x:c>
      <x:c r="H71" s="311" t="n">
        <x:v>6</x:v>
      </x:c>
      <x:c r="I71" s="311" t="str">
        <x:v>Rear Delt Cable Fly</x:v>
      </x:c>
      <x:c r="J71" s="311" t="str">
        <x:v>Hypertrophy</x:v>
      </x:c>
      <x:c r="K71" s="311" t="str">
        <x:v>Rear Delts</x:v>
      </x:c>
      <x:c r="L71" s="311" t="str">
        <x:v>Superset</x:v>
      </x:c>
      <x:c r="M71" s="311" t="str">
        <x:v>A1</x:v>
      </x:c>
      <x:c r="N71" s="311" t="n">
        <x:v>4</x:v>
      </x:c>
      <x:c r="O71" s="311" t="n">
        <x:v>12</x:v>
      </x:c>
      <x:c r="P71" s="311" t="n">
        <x:v>20</x:v>
      </x:c>
      <x:c r="Q71" s="311" t="n">
        <x:v>2</x:v>
      </x:c>
      <x:c r="R71" s="311" t="n">
        <x:v>30</x:v>
      </x:c>
      <x:c r="S71" s="311" t="str">
        <x:v>2-1-2</x:v>
      </x:c>
      <x:c r="T71" s="330" t="n">
        <x:v>1</x:v>
      </x:c>
      <x:c r="U71" s="330" t="n">
        <x:v>0</x:v>
      </x:c>
      <x:c r="V71" s="331" t="str">
        <x:v>load × reps</x:v>
      </x:c>
      <x:c r="W71" s="332" t="str">
        <x:f>'Readiness'!K13</x:f>
      </x:c>
      <x:c r="X71" s="314" t="n">
        <x:f>'Readiness'!L13</x:f>
        <x:v>1</x:v>
      </x:c>
      <x:c r="Y71" s="315" t="n">
        <x:f>IF(J71="Mobility",N71,MAX(1,ROUND(N71*X71,0)))</x:f>
        <x:v>4</x:v>
      </x:c>
      <x:c r="Z71" s="333" t="n">
        <x:f>ROUND((IF(AU15&gt;0,AU15,IF(Z15&gt;0,Z15,'Setup'!$D$78))*T71)/'Setup'!$B$9,0)*'Setup'!$B$9</x:f>
        <x:v>0</x:v>
      </x:c>
      <x:c r="AA71" s="334"/>
      <x:c r="AB71" s="334"/>
      <x:c r="AC71" s="334"/>
      <x:c r="AD71" s="334"/>
      <x:c r="AE71" s="334"/>
      <x:c r="AF71" s="334"/>
      <x:c r="AG71" s="334"/>
      <x:c r="AH71" s="334"/>
      <x:c r="AI71" s="334"/>
      <x:c r="AJ71" s="312"/>
      <x:c r="AK71" s="312"/>
      <x:c r="AL71" s="312"/>
      <x:c r="AM71" s="312"/>
      <x:c r="AN71" s="312"/>
      <x:c r="AO71" s="315" t="n">
        <x:f>COUNT(AB71,AD71,AF71,AH71,AJ71)</x:f>
        <x:v>0</x:v>
      </x:c>
      <x:c r="AP71" s="315" t="n">
        <x:f>SUM(AB71,AD71,AF71,AH71,AJ71)</x:f>
        <x:v>0</x:v>
      </x:c>
      <x:c r="AQ71" s="333" t="n">
        <x:f>AA71*AB71+AC71*AD71+AE71*AF71+AG71*AH71+AI71*AJ71</x:f>
        <x:v>0</x:v>
      </x:c>
      <x:c r="AR71" s="333" t="n">
        <x:f>IF(OR(J71="Strength",J71="Hypertrophy"),MAX(IF(AB71&gt;0,AA71*(1+AB71/30),0),IF(AD71&gt;0,AC71*(1+AD71/30),0),IF(AF71&gt;0,AE71*(1+AF71/30),0),IF(AH71&gt;0,AG71*(1+AH71/30),0),IF(AJ71&gt;0,AI71*(1+AJ71/30),0)),0)</x:f>
        <x:v>0</x:v>
      </x:c>
      <x:c r="AS71" s="315" t="str">
        <x:f>IF(AN71&lt;&gt;"Yes","Not logged",IF(AL71&gt;='Setup'!$B$14,"STOP / MODIFY",IF(Z71=0,"Complete",IF(OR(AO71=0,AK71=""),"Add set data + RIR",IF(AND(MAX(AB71,AD71,AF71,AH71,AJ71)&gt;=P71,AK71&gt;=Q71+1),"Progress",IF(OR(MAX(AB71,AD71,AF71,AH71,AJ71)&lt;O71,AK71&lt;Q71-1),"Regress","Hold"))))))</x:f>
        <x:v>Not logged</x:v>
      </x:c>
      <x:c r="AT71" s="335" t="n">
        <x:f>IF(OR(Z71=0,AN71&lt;&gt;"Yes",AO71=0,AK71=""),0,IF(AL71&gt;='Setup'!$B$14,-2*'Setup'!$B$11,IF(AND(MAX(AB71,AD71,AF71,AH71,AJ71)&gt;=P71,AK71&gt;=Q71+1),'Setup'!$B$10,IF(OR(MAX(AB71,AD71,AF71,AH71,AJ71)&lt;O71,AK71&lt;Q71-1),-'Setup'!$B$11,0))))</x:f>
        <x:v>0</x:v>
      </x:c>
      <x:c r="AU71" s="333" t="n">
        <x:f>IF(Z71=0,0,IF(AN71&lt;&gt;"Yes",Z71,IF(COUNT(AA71,AC71,AE71,AG71,AI71)=0,Z71,ROUND((MAX(AA71,AC71,AE71,AG71,AI71)*(1+AT71))/'Setup'!$B$9,0)*'Setup'!$B$9)))</x:f>
        <x:v>0</x:v>
      </x:c>
      <x:c r="AV71" s="336"/>
    </x:row>
    <x:row r="72">
      <x:c r="A72" s="310" t="n">
        <x:f>'Setup'!$B$3+(C72-1)*7+(D72-1)</x:f>
        <x:v>46251</x:v>
      </x:c>
      <x:c r="B72" s="311" t="str">
        <x:v>2|1|7</x:v>
      </x:c>
      <x:c r="C72" s="311" t="n">
        <x:v>2</x:v>
      </x:c>
      <x:c r="D72" s="311" t="n">
        <x:v>1</x:v>
      </x:c>
      <x:c r="E72" s="311" t="str">
        <x:v>Accumulation</x:v>
      </x:c>
      <x:c r="F72" s="311" t="str">
        <x:v>Pull A</x:v>
      </x:c>
      <x:c r="G72" s="311" t="str">
        <x:v>Vertical pull strength + back density</x:v>
      </x:c>
      <x:c r="H72" s="311" t="n">
        <x:v>7</x:v>
      </x:c>
      <x:c r="I72" s="311" t="str">
        <x:v>EZ-Bar Curl</x:v>
      </x:c>
      <x:c r="J72" s="311" t="str">
        <x:v>Hypertrophy</x:v>
      </x:c>
      <x:c r="K72" s="311" t="str">
        <x:v>Biceps</x:v>
      </x:c>
      <x:c r="L72" s="311" t="str">
        <x:v>Superset</x:v>
      </x:c>
      <x:c r="M72" s="311" t="str">
        <x:v>A2</x:v>
      </x:c>
      <x:c r="N72" s="311" t="n">
        <x:v>4</x:v>
      </x:c>
      <x:c r="O72" s="311" t="n">
        <x:v>8</x:v>
      </x:c>
      <x:c r="P72" s="311" t="n">
        <x:v>12</x:v>
      </x:c>
      <x:c r="Q72" s="311" t="n">
        <x:v>2</x:v>
      </x:c>
      <x:c r="R72" s="311" t="n">
        <x:v>45</x:v>
      </x:c>
      <x:c r="S72" s="311" t="str">
        <x:v>3-0-1</x:v>
      </x:c>
      <x:c r="T72" s="330" t="n">
        <x:v>1</x:v>
      </x:c>
      <x:c r="U72" s="330" t="n">
        <x:v>0</x:v>
      </x:c>
      <x:c r="V72" s="331" t="str">
        <x:v>load × reps</x:v>
      </x:c>
      <x:c r="W72" s="332" t="str">
        <x:f>'Readiness'!K13</x:f>
      </x:c>
      <x:c r="X72" s="314" t="n">
        <x:f>'Readiness'!L13</x:f>
        <x:v>1</x:v>
      </x:c>
      <x:c r="Y72" s="315" t="n">
        <x:f>IF(J72="Mobility",N72,MAX(1,ROUND(N72*X72,0)))</x:f>
        <x:v>4</x:v>
      </x:c>
      <x:c r="Z72" s="333" t="n">
        <x:f>ROUND((IF(AU16&gt;0,AU16,IF(Z16&gt;0,Z16,'Setup'!$D$40))*T72)/'Setup'!$B$9,0)*'Setup'!$B$9</x:f>
        <x:v>0</x:v>
      </x:c>
      <x:c r="AA72" s="334"/>
      <x:c r="AB72" s="334"/>
      <x:c r="AC72" s="334"/>
      <x:c r="AD72" s="334"/>
      <x:c r="AE72" s="334"/>
      <x:c r="AF72" s="334"/>
      <x:c r="AG72" s="334"/>
      <x:c r="AH72" s="334"/>
      <x:c r="AI72" s="334"/>
      <x:c r="AJ72" s="312"/>
      <x:c r="AK72" s="312"/>
      <x:c r="AL72" s="312"/>
      <x:c r="AM72" s="312"/>
      <x:c r="AN72" s="312"/>
      <x:c r="AO72" s="315" t="n">
        <x:f>COUNT(AB72,AD72,AF72,AH72,AJ72)</x:f>
        <x:v>0</x:v>
      </x:c>
      <x:c r="AP72" s="315" t="n">
        <x:f>SUM(AB72,AD72,AF72,AH72,AJ72)</x:f>
        <x:v>0</x:v>
      </x:c>
      <x:c r="AQ72" s="333" t="n">
        <x:f>AA72*AB72+AC72*AD72+AE72*AF72+AG72*AH72+AI72*AJ72</x:f>
        <x:v>0</x:v>
      </x:c>
      <x:c r="AR72" s="333" t="n">
        <x:f>IF(OR(J72="Strength",J72="Hypertrophy"),MAX(IF(AB72&gt;0,AA72*(1+AB72/30),0),IF(AD72&gt;0,AC72*(1+AD72/30),0),IF(AF72&gt;0,AE72*(1+AF72/30),0),IF(AH72&gt;0,AG72*(1+AH72/30),0),IF(AJ72&gt;0,AI72*(1+AJ72/30),0)),0)</x:f>
        <x:v>0</x:v>
      </x:c>
      <x:c r="AS72" s="315" t="str">
        <x:f>IF(AN72&lt;&gt;"Yes","Not logged",IF(AL72&gt;='Setup'!$B$14,"STOP / MODIFY",IF(Z72=0,"Complete",IF(OR(AO72=0,AK72=""),"Add set data + RIR",IF(AND(MAX(AB72,AD72,AF72,AH72,AJ72)&gt;=P72,AK72&gt;=Q72+1),"Progress",IF(OR(MAX(AB72,AD72,AF72,AH72,AJ72)&lt;O72,AK72&lt;Q72-1),"Regress","Hold"))))))</x:f>
        <x:v>Not logged</x:v>
      </x:c>
      <x:c r="AT72" s="335" t="n">
        <x:f>IF(OR(Z72=0,AN72&lt;&gt;"Yes",AO72=0,AK72=""),0,IF(AL72&gt;='Setup'!$B$14,-2*'Setup'!$B$11,IF(AND(MAX(AB72,AD72,AF72,AH72,AJ72)&gt;=P72,AK72&gt;=Q72+1),'Setup'!$B$10,IF(OR(MAX(AB72,AD72,AF72,AH72,AJ72)&lt;O72,AK72&lt;Q72-1),-'Setup'!$B$11,0))))</x:f>
        <x:v>0</x:v>
      </x:c>
      <x:c r="AU72" s="333" t="n">
        <x:f>IF(Z72=0,0,IF(AN72&lt;&gt;"Yes",Z72,IF(COUNT(AA72,AC72,AE72,AG72,AI72)=0,Z72,ROUND((MAX(AA72,AC72,AE72,AG72,AI72)*(1+AT72))/'Setup'!$B$9,0)*'Setup'!$B$9)))</x:f>
        <x:v>0</x:v>
      </x:c>
      <x:c r="AV72" s="336"/>
    </x:row>
    <x:row r="73">
      <x:c r="A73" s="310" t="n">
        <x:f>'Setup'!$B$3+(C73-1)*7+(D73-1)</x:f>
        <x:v>46251</x:v>
      </x:c>
      <x:c r="B73" s="311" t="str">
        <x:v>2|1|8</x:v>
      </x:c>
      <x:c r="C73" s="311" t="n">
        <x:v>2</x:v>
      </x:c>
      <x:c r="D73" s="311" t="n">
        <x:v>1</x:v>
      </x:c>
      <x:c r="E73" s="311" t="str">
        <x:v>Accumulation</x:v>
      </x:c>
      <x:c r="F73" s="311" t="str">
        <x:v>Pull A</x:v>
      </x:c>
      <x:c r="G73" s="311" t="str">
        <x:v>Vertical pull strength + back density</x:v>
      </x:c>
      <x:c r="H73" s="311" t="n">
        <x:v>8</x:v>
      </x:c>
      <x:c r="I73" s="311" t="str">
        <x:v>SkiErg Power Intervals</x:v>
      </x:c>
      <x:c r="J73" s="311" t="str">
        <x:v>Athletic</x:v>
      </x:c>
      <x:c r="K73" s="311" t="str">
        <x:v>Full Body</x:v>
      </x:c>
      <x:c r="L73" s="311" t="str">
        <x:v>15 s hard / 45 s easy</x:v>
      </x:c>
      <x:c r="M73" s="311"/>
      <x:c r="N73" s="311" t="n">
        <x:v>6</x:v>
      </x:c>
      <x:c r="O73" s="311" t="n">
        <x:v>15</x:v>
      </x:c>
      <x:c r="P73" s="311" t="n">
        <x:v>15</x:v>
      </x:c>
      <x:c r="Q73" s="311" t="n">
        <x:v>2</x:v>
      </x:c>
      <x:c r="R73" s="311" t="n">
        <x:v>45</x:v>
      </x:c>
      <x:c r="S73" s="311" t="str">
        <x:v>Powerful</x:v>
      </x:c>
      <x:c r="T73" s="330" t="n">
        <x:v>1</x:v>
      </x:c>
      <x:c r="U73" s="330" t="n">
        <x:v>0</x:v>
      </x:c>
      <x:c r="V73" s="331" t="str">
        <x:v>watts / meters</x:v>
      </x:c>
      <x:c r="W73" s="332" t="str">
        <x:f>'Readiness'!K13</x:f>
      </x:c>
      <x:c r="X73" s="314" t="n">
        <x:f>'Readiness'!L13</x:f>
        <x:v>1</x:v>
      </x:c>
      <x:c r="Y73" s="315" t="n">
        <x:f>IF(J73="Mobility",N73,MAX(1,ROUND(N73*X73,0)))</x:f>
        <x:v>6</x:v>
      </x:c>
      <x:c r="Z73" s="333" t="n">
        <x:f>0</x:f>
        <x:v>0</x:v>
      </x:c>
      <x:c r="AA73" s="334"/>
      <x:c r="AB73" s="334"/>
      <x:c r="AC73" s="334"/>
      <x:c r="AD73" s="334"/>
      <x:c r="AE73" s="334"/>
      <x:c r="AF73" s="334"/>
      <x:c r="AG73" s="334"/>
      <x:c r="AH73" s="334"/>
      <x:c r="AI73" s="334"/>
      <x:c r="AJ73" s="312"/>
      <x:c r="AK73" s="312"/>
      <x:c r="AL73" s="312"/>
      <x:c r="AM73" s="312"/>
      <x:c r="AN73" s="312"/>
      <x:c r="AO73" s="315" t="n">
        <x:f>COUNT(AB73,AD73,AF73,AH73,AJ73)</x:f>
        <x:v>0</x:v>
      </x:c>
      <x:c r="AP73" s="315" t="n">
        <x:f>SUM(AB73,AD73,AF73,AH73,AJ73)</x:f>
        <x:v>0</x:v>
      </x:c>
      <x:c r="AQ73" s="333" t="n">
        <x:f>AA73*AB73+AC73*AD73+AE73*AF73+AG73*AH73+AI73*AJ73</x:f>
        <x:v>0</x:v>
      </x:c>
      <x:c r="AR73" s="333" t="n">
        <x:f>IF(OR(J73="Strength",J73="Hypertrophy"),MAX(IF(AB73&gt;0,AA73*(1+AB73/30),0),IF(AD73&gt;0,AC73*(1+AD73/30),0),IF(AF73&gt;0,AE73*(1+AF73/30),0),IF(AH73&gt;0,AG73*(1+AH73/30),0),IF(AJ73&gt;0,AI73*(1+AJ73/30),0)),0)</x:f>
        <x:v>0</x:v>
      </x:c>
      <x:c r="AS73" s="315" t="str">
        <x:f>IF(AN73&lt;&gt;"Yes","Not logged",IF(AL73&gt;='Setup'!$B$14,"STOP / MODIFY",IF(Z73=0,"Complete",IF(OR(AO73=0,AK73=""),"Add set data + RIR",IF(AND(MAX(AB73,AD73,AF73,AH73,AJ73)&gt;=P73,AK73&gt;=Q73+1),"Progress",IF(OR(MAX(AB73,AD73,AF73,AH73,AJ73)&lt;O73,AK73&lt;Q73-1),"Regress","Hold"))))))</x:f>
        <x:v>Not logged</x:v>
      </x:c>
      <x:c r="AT73" s="335" t="n">
        <x:f>IF(OR(Z73=0,AN73&lt;&gt;"Yes",AO73=0,AK73=""),0,IF(AL73&gt;='Setup'!$B$14,-2*'Setup'!$B$11,IF(AND(MAX(AB73,AD73,AF73,AH73,AJ73)&gt;=P73,AK73&gt;=Q73+1),'Setup'!$B$10,IF(OR(MAX(AB73,AD73,AF73,AH73,AJ73)&lt;O73,AK73&lt;Q73-1),-'Setup'!$B$11,0))))</x:f>
        <x:v>0</x:v>
      </x:c>
      <x:c r="AU73" s="333" t="n">
        <x:f>IF(Z73=0,0,IF(AN73&lt;&gt;"Yes",Z73,IF(COUNT(AA73,AC73,AE73,AG73,AI73)=0,Z73,ROUND((MAX(AA73,AC73,AE73,AG73,AI73)*(1+AT73))/'Setup'!$B$9,0)*'Setup'!$B$9)))</x:f>
        <x:v>0</x:v>
      </x:c>
      <x:c r="AV73" s="336"/>
    </x:row>
    <x:row r="74">
      <x:c r="A74" s="310" t="n">
        <x:f>'Setup'!$B$3+(C74-1)*7+(D74-1)</x:f>
        <x:v>46251</x:v>
      </x:c>
      <x:c r="B74" s="311" t="str">
        <x:v>2|1|9</x:v>
      </x:c>
      <x:c r="C74" s="311" t="n">
        <x:v>2</x:v>
      </x:c>
      <x:c r="D74" s="311" t="n">
        <x:v>1</x:v>
      </x:c>
      <x:c r="E74" s="311" t="str">
        <x:v>Accumulation</x:v>
      </x:c>
      <x:c r="F74" s="311" t="str">
        <x:v>Pull A</x:v>
      </x:c>
      <x:c r="G74" s="311" t="str">
        <x:v>Vertical pull strength + back density</x:v>
      </x:c>
      <x:c r="H74" s="311" t="n">
        <x:v>9</x:v>
      </x:c>
      <x:c r="I74" s="311" t="str">
        <x:v>Passive Hang</x:v>
      </x:c>
      <x:c r="J74" s="311" t="str">
        <x:v>Mobility</x:v>
      </x:c>
      <x:c r="K74" s="311" t="str">
        <x:v>Shoulders</x:v>
      </x:c>
      <x:c r="L74" s="311" t="str">
        <x:v>Relaxed breathing</x:v>
      </x:c>
      <x:c r="M74" s="311"/>
      <x:c r="N74" s="311" t="n">
        <x:v>2</x:v>
      </x:c>
      <x:c r="O74" s="311" t="n">
        <x:v>20</x:v>
      </x:c>
      <x:c r="P74" s="311" t="n">
        <x:v>40</x:v>
      </x:c>
      <x:c r="Q74" s="311"/>
      <x:c r="R74" s="311" t="n">
        <x:v>30</x:v>
      </x:c>
      <x:c r="S74" s="311" t="str">
        <x:v>Hold</x:v>
      </x:c>
      <x:c r="T74" s="330" t="n">
        <x:v>1</x:v>
      </x:c>
      <x:c r="U74" s="330" t="n">
        <x:v>0</x:v>
      </x:c>
      <x:c r="V74" s="331" t="str">
        <x:v>seconds</x:v>
      </x:c>
      <x:c r="W74" s="332" t="str">
        <x:f>'Readiness'!K13</x:f>
      </x:c>
      <x:c r="X74" s="314" t="n">
        <x:f>'Readiness'!L13</x:f>
        <x:v>1</x:v>
      </x:c>
      <x:c r="Y74" s="315" t="n">
        <x:f>IF(J74="Mobility",N74,MAX(1,ROUND(N74*X74,0)))</x:f>
        <x:v>2</x:v>
      </x:c>
      <x:c r="Z74" s="333" t="n">
        <x:f>0</x:f>
        <x:v>0</x:v>
      </x:c>
      <x:c r="AA74" s="334"/>
      <x:c r="AB74" s="334"/>
      <x:c r="AC74" s="334"/>
      <x:c r="AD74" s="334"/>
      <x:c r="AE74" s="334"/>
      <x:c r="AF74" s="334"/>
      <x:c r="AG74" s="334"/>
      <x:c r="AH74" s="334"/>
      <x:c r="AI74" s="334"/>
      <x:c r="AJ74" s="312"/>
      <x:c r="AK74" s="312"/>
      <x:c r="AL74" s="312"/>
      <x:c r="AM74" s="312"/>
      <x:c r="AN74" s="312"/>
      <x:c r="AO74" s="315" t="n">
        <x:f>COUNT(AB74,AD74,AF74,AH74,AJ74)</x:f>
        <x:v>0</x:v>
      </x:c>
      <x:c r="AP74" s="315" t="n">
        <x:f>SUM(AB74,AD74,AF74,AH74,AJ74)</x:f>
        <x:v>0</x:v>
      </x:c>
      <x:c r="AQ74" s="333" t="n">
        <x:f>AA74*AB74+AC74*AD74+AE74*AF74+AG74*AH74+AI74*AJ74</x:f>
        <x:v>0</x:v>
      </x:c>
      <x:c r="AR74" s="333" t="n">
        <x:f>IF(OR(J74="Strength",J74="Hypertrophy"),MAX(IF(AB74&gt;0,AA74*(1+AB74/30),0),IF(AD74&gt;0,AC74*(1+AD74/30),0),IF(AF74&gt;0,AE74*(1+AF74/30),0),IF(AH74&gt;0,AG74*(1+AH74/30),0),IF(AJ74&gt;0,AI74*(1+AJ74/30),0)),0)</x:f>
        <x:v>0</x:v>
      </x:c>
      <x:c r="AS74" s="315" t="str">
        <x:f>IF(AN74&lt;&gt;"Yes","Not logged",IF(AL74&gt;='Setup'!$B$14,"STOP / MODIFY",IF(Z74=0,"Complete",IF(OR(AO74=0,AK74=""),"Add set data + RIR",IF(AND(MAX(AB74,AD74,AF74,AH74,AJ74)&gt;=P74,AK74&gt;=Q74+1),"Progress",IF(OR(MAX(AB74,AD74,AF74,AH74,AJ74)&lt;O74,AK74&lt;Q74-1),"Regress","Hold"))))))</x:f>
        <x:v>Not logged</x:v>
      </x:c>
      <x:c r="AT74" s="335" t="n">
        <x:f>IF(OR(Z74=0,AN74&lt;&gt;"Yes",AO74=0,AK74=""),0,IF(AL74&gt;='Setup'!$B$14,-2*'Setup'!$B$11,IF(AND(MAX(AB74,AD74,AF74,AH74,AJ74)&gt;=P74,AK74&gt;=Q74+1),'Setup'!$B$10,IF(OR(MAX(AB74,AD74,AF74,AH74,AJ74)&lt;O74,AK74&lt;Q74-1),-'Setup'!$B$11,0))))</x:f>
        <x:v>0</x:v>
      </x:c>
      <x:c r="AU74" s="333" t="n">
        <x:f>IF(Z74=0,0,IF(AN74&lt;&gt;"Yes",Z74,IF(COUNT(AA74,AC74,AE74,AG74,AI74)=0,Z74,ROUND((MAX(AA74,AC74,AE74,AG74,AI74)*(1+AT74))/'Setup'!$B$9,0)*'Setup'!$B$9)))</x:f>
        <x:v>0</x:v>
      </x:c>
      <x:c r="AV74" s="336"/>
    </x:row>
    <x:row r="75">
      <x:c r="A75" s="310" t="n">
        <x:f>'Setup'!$B$3+(C75-1)*7+(D75-1)</x:f>
        <x:v>46252</x:v>
      </x:c>
      <x:c r="B75" s="311" t="str">
        <x:v>2|2|1</x:v>
      </x:c>
      <x:c r="C75" s="311" t="n">
        <x:v>2</x:v>
      </x:c>
      <x:c r="D75" s="311" t="n">
        <x:v>2</x:v>
      </x:c>
      <x:c r="E75" s="311" t="str">
        <x:v>Accumulation</x:v>
      </x:c>
      <x:c r="F75" s="311" t="str">
        <x:v>Legs A</x:v>
      </x:c>
      <x:c r="G75" s="311" t="str">
        <x:v>Squat strength + lower-body power</x:v>
      </x:c>
      <x:c r="H75" s="311" t="n">
        <x:v>1</x:v>
      </x:c>
      <x:c r="I75" s="311" t="str">
        <x:v>Pogo Jump</x:v>
      </x:c>
      <x:c r="J75" s="311" t="str">
        <x:v>Power</x:v>
      </x:c>
      <x:c r="K75" s="311" t="str">
        <x:v>Calves</x:v>
      </x:c>
      <x:c r="L75" s="311" t="str">
        <x:v>Stiff, quick contacts</x:v>
      </x:c>
      <x:c r="M75" s="311"/>
      <x:c r="N75" s="311" t="n">
        <x:v>3</x:v>
      </x:c>
      <x:c r="O75" s="311" t="n">
        <x:v>15</x:v>
      </x:c>
      <x:c r="P75" s="311" t="n">
        <x:v>20</x:v>
      </x:c>
      <x:c r="Q75" s="311" t="n">
        <x:v>2</x:v>
      </x:c>
      <x:c r="R75" s="311" t="n">
        <x:v>45</x:v>
      </x:c>
      <x:c r="S75" s="311" t="str">
        <x:v>Explosive</x:v>
      </x:c>
      <x:c r="T75" s="330" t="n">
        <x:v>1</x:v>
      </x:c>
      <x:c r="U75" s="330" t="n">
        <x:v>0</x:v>
      </x:c>
      <x:c r="V75" s="331" t="str">
        <x:v>contacts</x:v>
      </x:c>
      <x:c r="W75" s="332" t="str">
        <x:f>'Readiness'!K14</x:f>
      </x:c>
      <x:c r="X75" s="314" t="n">
        <x:f>'Readiness'!L14</x:f>
        <x:v>1</x:v>
      </x:c>
      <x:c r="Y75" s="315" t="n">
        <x:f>IF(J75="Mobility",N75,MAX(1,ROUND(N75*X75,0)))</x:f>
        <x:v>3</x:v>
      </x:c>
      <x:c r="Z75" s="333" t="n">
        <x:f>0</x:f>
        <x:v>0</x:v>
      </x:c>
      <x:c r="AA75" s="334"/>
      <x:c r="AB75" s="334"/>
      <x:c r="AC75" s="334"/>
      <x:c r="AD75" s="334"/>
      <x:c r="AE75" s="334"/>
      <x:c r="AF75" s="334"/>
      <x:c r="AG75" s="334"/>
      <x:c r="AH75" s="334"/>
      <x:c r="AI75" s="334"/>
      <x:c r="AJ75" s="312"/>
      <x:c r="AK75" s="312"/>
      <x:c r="AL75" s="312"/>
      <x:c r="AM75" s="312"/>
      <x:c r="AN75" s="312"/>
      <x:c r="AO75" s="315" t="n">
        <x:f>COUNT(AB75,AD75,AF75,AH75,AJ75)</x:f>
        <x:v>0</x:v>
      </x:c>
      <x:c r="AP75" s="315" t="n">
        <x:f>SUM(AB75,AD75,AF75,AH75,AJ75)</x:f>
        <x:v>0</x:v>
      </x:c>
      <x:c r="AQ75" s="333" t="n">
        <x:f>AA75*AB75+AC75*AD75+AE75*AF75+AG75*AH75+AI75*AJ75</x:f>
        <x:v>0</x:v>
      </x:c>
      <x:c r="AR75" s="333" t="n">
        <x:f>IF(OR(J75="Strength",J75="Hypertrophy"),MAX(IF(AB75&gt;0,AA75*(1+AB75/30),0),IF(AD75&gt;0,AC75*(1+AD75/30),0),IF(AF75&gt;0,AE75*(1+AF75/30),0),IF(AH75&gt;0,AG75*(1+AH75/30),0),IF(AJ75&gt;0,AI75*(1+AJ75/30),0)),0)</x:f>
        <x:v>0</x:v>
      </x:c>
      <x:c r="AS75" s="315" t="str">
        <x:f>IF(AN75&lt;&gt;"Yes","Not logged",IF(AL75&gt;='Setup'!$B$14,"STOP / MODIFY",IF(Z75=0,"Complete",IF(OR(AO75=0,AK75=""),"Add set data + RIR",IF(AND(MAX(AB75,AD75,AF75,AH75,AJ75)&gt;=P75,AK75&gt;=Q75+1),"Progress",IF(OR(MAX(AB75,AD75,AF75,AH75,AJ75)&lt;O75,AK75&lt;Q75-1),"Regress","Hold"))))))</x:f>
        <x:v>Not logged</x:v>
      </x:c>
      <x:c r="AT75" s="335" t="n">
        <x:f>IF(OR(Z75=0,AN75&lt;&gt;"Yes",AO75=0,AK75=""),0,IF(AL75&gt;='Setup'!$B$14,-2*'Setup'!$B$11,IF(AND(MAX(AB75,AD75,AF75,AH75,AJ75)&gt;=P75,AK75&gt;=Q75+1),'Setup'!$B$10,IF(OR(MAX(AB75,AD75,AF75,AH75,AJ75)&lt;O75,AK75&lt;Q75-1),-'Setup'!$B$11,0))))</x:f>
        <x:v>0</x:v>
      </x:c>
      <x:c r="AU75" s="333" t="n">
        <x:f>IF(Z75=0,0,IF(AN75&lt;&gt;"Yes",Z75,IF(COUNT(AA75,AC75,AE75,AG75,AI75)=0,Z75,ROUND((MAX(AA75,AC75,AE75,AG75,AI75)*(1+AT75))/'Setup'!$B$9,0)*'Setup'!$B$9)))</x:f>
        <x:v>0</x:v>
      </x:c>
      <x:c r="AV75" s="336"/>
    </x:row>
    <x:row r="76">
      <x:c r="A76" s="310" t="n">
        <x:f>'Setup'!$B$3+(C76-1)*7+(D76-1)</x:f>
        <x:v>46252</x:v>
      </x:c>
      <x:c r="B76" s="311" t="str">
        <x:v>2|2|2</x:v>
      </x:c>
      <x:c r="C76" s="311" t="n">
        <x:v>2</x:v>
      </x:c>
      <x:c r="D76" s="311" t="n">
        <x:v>2</x:v>
      </x:c>
      <x:c r="E76" s="311" t="str">
        <x:v>Accumulation</x:v>
      </x:c>
      <x:c r="F76" s="311" t="str">
        <x:v>Legs A</x:v>
      </x:c>
      <x:c r="G76" s="311" t="str">
        <x:v>Squat strength + lower-body power</x:v>
      </x:c>
      <x:c r="H76" s="311" t="n">
        <x:v>2</x:v>
      </x:c>
      <x:c r="I76" s="311" t="str">
        <x:v>Box Jump</x:v>
      </x:c>
      <x:c r="J76" s="311" t="str">
        <x:v>Power</x:v>
      </x:c>
      <x:c r="K76" s="311" t="str">
        <x:v>Quads</x:v>
      </x:c>
      <x:c r="L76" s="311" t="str">
        <x:v>Full reset, stop if height drops</x:v>
      </x:c>
      <x:c r="M76" s="311"/>
      <x:c r="N76" s="311" t="n">
        <x:v>4</x:v>
      </x:c>
      <x:c r="O76" s="311" t="n">
        <x:v>3</x:v>
      </x:c>
      <x:c r="P76" s="311" t="n">
        <x:v>3</x:v>
      </x:c>
      <x:c r="Q76" s="311" t="n">
        <x:v>2</x:v>
      </x:c>
      <x:c r="R76" s="311" t="n">
        <x:v>75</x:v>
      </x:c>
      <x:c r="S76" s="311" t="str">
        <x:v>Explosive</x:v>
      </x:c>
      <x:c r="T76" s="330" t="n">
        <x:v>1</x:v>
      </x:c>
      <x:c r="U76" s="330" t="n">
        <x:v>0</x:v>
      </x:c>
      <x:c r="V76" s="331" t="str">
        <x:v>height</x:v>
      </x:c>
      <x:c r="W76" s="332" t="str">
        <x:f>'Readiness'!K14</x:f>
      </x:c>
      <x:c r="X76" s="314" t="n">
        <x:f>'Readiness'!L14</x:f>
        <x:v>1</x:v>
      </x:c>
      <x:c r="Y76" s="315" t="n">
        <x:f>IF(J76="Mobility",N76,MAX(1,ROUND(N76*X76,0)))</x:f>
        <x:v>4</x:v>
      </x:c>
      <x:c r="Z76" s="333" t="n">
        <x:f>0</x:f>
        <x:v>0</x:v>
      </x:c>
      <x:c r="AA76" s="334"/>
      <x:c r="AB76" s="334"/>
      <x:c r="AC76" s="334"/>
      <x:c r="AD76" s="334"/>
      <x:c r="AE76" s="334"/>
      <x:c r="AF76" s="334"/>
      <x:c r="AG76" s="334"/>
      <x:c r="AH76" s="334"/>
      <x:c r="AI76" s="334"/>
      <x:c r="AJ76" s="312"/>
      <x:c r="AK76" s="312"/>
      <x:c r="AL76" s="312"/>
      <x:c r="AM76" s="312"/>
      <x:c r="AN76" s="312"/>
      <x:c r="AO76" s="315" t="n">
        <x:f>COUNT(AB76,AD76,AF76,AH76,AJ76)</x:f>
        <x:v>0</x:v>
      </x:c>
      <x:c r="AP76" s="315" t="n">
        <x:f>SUM(AB76,AD76,AF76,AH76,AJ76)</x:f>
        <x:v>0</x:v>
      </x:c>
      <x:c r="AQ76" s="333" t="n">
        <x:f>AA76*AB76+AC76*AD76+AE76*AF76+AG76*AH76+AI76*AJ76</x:f>
        <x:v>0</x:v>
      </x:c>
      <x:c r="AR76" s="333" t="n">
        <x:f>IF(OR(J76="Strength",J76="Hypertrophy"),MAX(IF(AB76&gt;0,AA76*(1+AB76/30),0),IF(AD76&gt;0,AC76*(1+AD76/30),0),IF(AF76&gt;0,AE76*(1+AF76/30),0),IF(AH76&gt;0,AG76*(1+AH76/30),0),IF(AJ76&gt;0,AI76*(1+AJ76/30),0)),0)</x:f>
        <x:v>0</x:v>
      </x:c>
      <x:c r="AS76" s="315" t="str">
        <x:f>IF(AN76&lt;&gt;"Yes","Not logged",IF(AL76&gt;='Setup'!$B$14,"STOP / MODIFY",IF(Z76=0,"Complete",IF(OR(AO76=0,AK76=""),"Add set data + RIR",IF(AND(MAX(AB76,AD76,AF76,AH76,AJ76)&gt;=P76,AK76&gt;=Q76+1),"Progress",IF(OR(MAX(AB76,AD76,AF76,AH76,AJ76)&lt;O76,AK76&lt;Q76-1),"Regress","Hold"))))))</x:f>
        <x:v>Not logged</x:v>
      </x:c>
      <x:c r="AT76" s="335" t="n">
        <x:f>IF(OR(Z76=0,AN76&lt;&gt;"Yes",AO76=0,AK76=""),0,IF(AL76&gt;='Setup'!$B$14,-2*'Setup'!$B$11,IF(AND(MAX(AB76,AD76,AF76,AH76,AJ76)&gt;=P76,AK76&gt;=Q76+1),'Setup'!$B$10,IF(OR(MAX(AB76,AD76,AF76,AH76,AJ76)&lt;O76,AK76&lt;Q76-1),-'Setup'!$B$11,0))))</x:f>
        <x:v>0</x:v>
      </x:c>
      <x:c r="AU76" s="333" t="n">
        <x:f>IF(Z76=0,0,IF(AN76&lt;&gt;"Yes",Z76,IF(COUNT(AA76,AC76,AE76,AG76,AI76)=0,Z76,ROUND((MAX(AA76,AC76,AE76,AG76,AI76)*(1+AT76))/'Setup'!$B$9,0)*'Setup'!$B$9)))</x:f>
        <x:v>0</x:v>
      </x:c>
      <x:c r="AV76" s="336"/>
    </x:row>
    <x:row r="77">
      <x:c r="A77" s="310" t="n">
        <x:f>'Setup'!$B$3+(C77-1)*7+(D77-1)</x:f>
        <x:v>46252</x:v>
      </x:c>
      <x:c r="B77" s="311" t="str">
        <x:v>2|2|3</x:v>
      </x:c>
      <x:c r="C77" s="311" t="n">
        <x:v>2</x:v>
      </x:c>
      <x:c r="D77" s="311" t="n">
        <x:v>2</x:v>
      </x:c>
      <x:c r="E77" s="311" t="str">
        <x:v>Accumulation</x:v>
      </x:c>
      <x:c r="F77" s="311" t="str">
        <x:v>Legs A</x:v>
      </x:c>
      <x:c r="G77" s="311" t="str">
        <x:v>Squat strength + lower-body power</x:v>
      </x:c>
      <x:c r="H77" s="311" t="n">
        <x:v>3</x:v>
      </x:c>
      <x:c r="I77" s="311" t="str">
        <x:v>Back Squat</x:v>
      </x:c>
      <x:c r="J77" s="311" t="str">
        <x:v>Strength</x:v>
      </x:c>
      <x:c r="K77" s="311" t="str">
        <x:v>Quads</x:v>
      </x:c>
      <x:c r="L77" s="311" t="str">
        <x:v>Top set + back-offs</x:v>
      </x:c>
      <x:c r="M77" s="311"/>
      <x:c r="N77" s="311" t="n">
        <x:v>4</x:v>
      </x:c>
      <x:c r="O77" s="311" t="n">
        <x:v>5</x:v>
      </x:c>
      <x:c r="P77" s="311" t="n">
        <x:v>7</x:v>
      </x:c>
      <x:c r="Q77" s="311" t="n">
        <x:v>2</x:v>
      </x:c>
      <x:c r="R77" s="311" t="n">
        <x:v>180</x:v>
      </x:c>
      <x:c r="S77" s="311" t="str">
        <x:v>3-1-X</x:v>
      </x:c>
      <x:c r="T77" s="330" t="n">
        <x:v>1</x:v>
      </x:c>
      <x:c r="U77" s="330" t="n">
        <x:v>0.7</x:v>
      </x:c>
      <x:c r="V77" s="331" t="str">
        <x:v>load × reps</x:v>
      </x:c>
      <x:c r="W77" s="332" t="str">
        <x:f>'Readiness'!K14</x:f>
      </x:c>
      <x:c r="X77" s="314" t="n">
        <x:f>'Readiness'!L14</x:f>
        <x:v>1</x:v>
      </x:c>
      <x:c r="Y77" s="315" t="n">
        <x:f>IF(J77="Mobility",N77,MAX(1,ROUND(N77*X77,0)))</x:f>
        <x:v>4</x:v>
      </x:c>
      <x:c r="Z77" s="333" t="n">
        <x:f>ROUND((IF(AU21&gt;0,AU21,IF(Z21&gt;0,Z21,'Setup'!$D$23))*T77)/'Setup'!$B$9,0)*'Setup'!$B$9</x:f>
        <x:v>0</x:v>
      </x:c>
      <x:c r="AA77" s="334"/>
      <x:c r="AB77" s="334"/>
      <x:c r="AC77" s="334"/>
      <x:c r="AD77" s="334"/>
      <x:c r="AE77" s="334"/>
      <x:c r="AF77" s="334"/>
      <x:c r="AG77" s="334"/>
      <x:c r="AH77" s="334"/>
      <x:c r="AI77" s="334"/>
      <x:c r="AJ77" s="312"/>
      <x:c r="AK77" s="312"/>
      <x:c r="AL77" s="312"/>
      <x:c r="AM77" s="312"/>
      <x:c r="AN77" s="312"/>
      <x:c r="AO77" s="315" t="n">
        <x:f>COUNT(AB77,AD77,AF77,AH77,AJ77)</x:f>
        <x:v>0</x:v>
      </x:c>
      <x:c r="AP77" s="315" t="n">
        <x:f>SUM(AB77,AD77,AF77,AH77,AJ77)</x:f>
        <x:v>0</x:v>
      </x:c>
      <x:c r="AQ77" s="333" t="n">
        <x:f>AA77*AB77+AC77*AD77+AE77*AF77+AG77*AH77+AI77*AJ77</x:f>
        <x:v>0</x:v>
      </x:c>
      <x:c r="AR77" s="333" t="n">
        <x:f>IF(OR(J77="Strength",J77="Hypertrophy"),MAX(IF(AB77&gt;0,AA77*(1+AB77/30),0),IF(AD77&gt;0,AC77*(1+AD77/30),0),IF(AF77&gt;0,AE77*(1+AF77/30),0),IF(AH77&gt;0,AG77*(1+AH77/30),0),IF(AJ77&gt;0,AI77*(1+AJ77/30),0)),0)</x:f>
        <x:v>0</x:v>
      </x:c>
      <x:c r="AS77" s="315" t="str">
        <x:f>IF(AN77&lt;&gt;"Yes","Not logged",IF(AL77&gt;='Setup'!$B$14,"STOP / MODIFY",IF(Z77=0,"Complete",IF(OR(AO77=0,AK77=""),"Add set data + RIR",IF(AND(MAX(AB77,AD77,AF77,AH77,AJ77)&gt;=P77,AK77&gt;=Q77+1),"Progress",IF(OR(MAX(AB77,AD77,AF77,AH77,AJ77)&lt;O77,AK77&lt;Q77-1),"Regress","Hold"))))))</x:f>
        <x:v>Not logged</x:v>
      </x:c>
      <x:c r="AT77" s="335" t="n">
        <x:f>IF(OR(Z77=0,AN77&lt;&gt;"Yes",AO77=0,AK77=""),0,IF(AL77&gt;='Setup'!$B$14,-2*'Setup'!$B$11,IF(AND(MAX(AB77,AD77,AF77,AH77,AJ77)&gt;=P77,AK77&gt;=Q77+1),'Setup'!$B$10,IF(OR(MAX(AB77,AD77,AF77,AH77,AJ77)&lt;O77,AK77&lt;Q77-1),-'Setup'!$B$11,0))))</x:f>
        <x:v>0</x:v>
      </x:c>
      <x:c r="AU77" s="333" t="n">
        <x:f>IF(Z77=0,0,IF(AN77&lt;&gt;"Yes",Z77,IF(COUNT(AA77,AC77,AE77,AG77,AI77)=0,Z77,ROUND((MAX(AA77,AC77,AE77,AG77,AI77)*(1+AT77))/'Setup'!$B$9,0)*'Setup'!$B$9)))</x:f>
        <x:v>0</x:v>
      </x:c>
      <x:c r="AV77" s="336"/>
    </x:row>
    <x:row r="78">
      <x:c r="A78" s="310" t="n">
        <x:f>'Setup'!$B$3+(C78-1)*7+(D78-1)</x:f>
        <x:v>46252</x:v>
      </x:c>
      <x:c r="B78" s="311" t="str">
        <x:v>2|2|4</x:v>
      </x:c>
      <x:c r="C78" s="311" t="n">
        <x:v>2</x:v>
      </x:c>
      <x:c r="D78" s="311" t="n">
        <x:v>2</x:v>
      </x:c>
      <x:c r="E78" s="311" t="str">
        <x:v>Accumulation</x:v>
      </x:c>
      <x:c r="F78" s="311" t="str">
        <x:v>Legs A</x:v>
      </x:c>
      <x:c r="G78" s="311" t="str">
        <x:v>Squat strength + lower-body power</x:v>
      </x:c>
      <x:c r="H78" s="311" t="n">
        <x:v>4</x:v>
      </x:c>
      <x:c r="I78" s="311" t="str">
        <x:v>Romanian Deadlift</x:v>
      </x:c>
      <x:c r="J78" s="311" t="str">
        <x:v>Strength</x:v>
      </x:c>
      <x:c r="K78" s="311" t="str">
        <x:v>Hamstrings</x:v>
      </x:c>
      <x:c r="L78" s="311" t="str">
        <x:v>Straight sets</x:v>
      </x:c>
      <x:c r="M78" s="311"/>
      <x:c r="N78" s="311" t="n">
        <x:v>3</x:v>
      </x:c>
      <x:c r="O78" s="311" t="n">
        <x:v>6</x:v>
      </x:c>
      <x:c r="P78" s="311" t="n">
        <x:v>8</x:v>
      </x:c>
      <x:c r="Q78" s="311" t="n">
        <x:v>2</x:v>
      </x:c>
      <x:c r="R78" s="311" t="n">
        <x:v>150</x:v>
      </x:c>
      <x:c r="S78" s="311" t="str">
        <x:v>3-1-1</x:v>
      </x:c>
      <x:c r="T78" s="330" t="n">
        <x:v>1</x:v>
      </x:c>
      <x:c r="U78" s="330" t="n">
        <x:v>0.55</x:v>
      </x:c>
      <x:c r="V78" s="331" t="str">
        <x:v>load × reps</x:v>
      </x:c>
      <x:c r="W78" s="332" t="str">
        <x:f>'Readiness'!K14</x:f>
      </x:c>
      <x:c r="X78" s="314" t="n">
        <x:f>'Readiness'!L14</x:f>
        <x:v>1</x:v>
      </x:c>
      <x:c r="Y78" s="315" t="n">
        <x:f>IF(J78="Mobility",N78,MAX(1,ROUND(N78*X78,0)))</x:f>
        <x:v>3</x:v>
      </x:c>
      <x:c r="Z78" s="333" t="n">
        <x:f>ROUND((IF(AU22&gt;0,AU22,IF(Z22&gt;0,Z22,'Setup'!$D$79))*T78)/'Setup'!$B$9,0)*'Setup'!$B$9</x:f>
        <x:v>0</x:v>
      </x:c>
      <x:c r="AA78" s="334"/>
      <x:c r="AB78" s="334"/>
      <x:c r="AC78" s="334"/>
      <x:c r="AD78" s="334"/>
      <x:c r="AE78" s="334"/>
      <x:c r="AF78" s="334"/>
      <x:c r="AG78" s="334"/>
      <x:c r="AH78" s="334"/>
      <x:c r="AI78" s="334"/>
      <x:c r="AJ78" s="312"/>
      <x:c r="AK78" s="312"/>
      <x:c r="AL78" s="312"/>
      <x:c r="AM78" s="312"/>
      <x:c r="AN78" s="312"/>
      <x:c r="AO78" s="315" t="n">
        <x:f>COUNT(AB78,AD78,AF78,AH78,AJ78)</x:f>
        <x:v>0</x:v>
      </x:c>
      <x:c r="AP78" s="315" t="n">
        <x:f>SUM(AB78,AD78,AF78,AH78,AJ78)</x:f>
        <x:v>0</x:v>
      </x:c>
      <x:c r="AQ78" s="333" t="n">
        <x:f>AA78*AB78+AC78*AD78+AE78*AF78+AG78*AH78+AI78*AJ78</x:f>
        <x:v>0</x:v>
      </x:c>
      <x:c r="AR78" s="333" t="n">
        <x:f>IF(OR(J78="Strength",J78="Hypertrophy"),MAX(IF(AB78&gt;0,AA78*(1+AB78/30),0),IF(AD78&gt;0,AC78*(1+AD78/30),0),IF(AF78&gt;0,AE78*(1+AF78/30),0),IF(AH78&gt;0,AG78*(1+AH78/30),0),IF(AJ78&gt;0,AI78*(1+AJ78/30),0)),0)</x:f>
        <x:v>0</x:v>
      </x:c>
      <x:c r="AS78" s="315" t="str">
        <x:f>IF(AN78&lt;&gt;"Yes","Not logged",IF(AL78&gt;='Setup'!$B$14,"STOP / MODIFY",IF(Z78=0,"Complete",IF(OR(AO78=0,AK78=""),"Add set data + RIR",IF(AND(MAX(AB78,AD78,AF78,AH78,AJ78)&gt;=P78,AK78&gt;=Q78+1),"Progress",IF(OR(MAX(AB78,AD78,AF78,AH78,AJ78)&lt;O78,AK78&lt;Q78-1),"Regress","Hold"))))))</x:f>
        <x:v>Not logged</x:v>
      </x:c>
      <x:c r="AT78" s="335" t="n">
        <x:f>IF(OR(Z78=0,AN78&lt;&gt;"Yes",AO78=0,AK78=""),0,IF(AL78&gt;='Setup'!$B$14,-2*'Setup'!$B$11,IF(AND(MAX(AB78,AD78,AF78,AH78,AJ78)&gt;=P78,AK78&gt;=Q78+1),'Setup'!$B$10,IF(OR(MAX(AB78,AD78,AF78,AH78,AJ78)&lt;O78,AK78&lt;Q78-1),-'Setup'!$B$11,0))))</x:f>
        <x:v>0</x:v>
      </x:c>
      <x:c r="AU78" s="333" t="n">
        <x:f>IF(Z78=0,0,IF(AN78&lt;&gt;"Yes",Z78,IF(COUNT(AA78,AC78,AE78,AG78,AI78)=0,Z78,ROUND((MAX(AA78,AC78,AE78,AG78,AI78)*(1+AT78))/'Setup'!$B$9,0)*'Setup'!$B$9)))</x:f>
        <x:v>0</x:v>
      </x:c>
      <x:c r="AV78" s="336"/>
    </x:row>
    <x:row r="79">
      <x:c r="A79" s="310" t="n">
        <x:f>'Setup'!$B$3+(C79-1)*7+(D79-1)</x:f>
        <x:v>46252</x:v>
      </x:c>
      <x:c r="B79" s="311" t="str">
        <x:v>2|2|5</x:v>
      </x:c>
      <x:c r="C79" s="311" t="n">
        <x:v>2</x:v>
      </x:c>
      <x:c r="D79" s="311" t="n">
        <x:v>2</x:v>
      </x:c>
      <x:c r="E79" s="311" t="str">
        <x:v>Accumulation</x:v>
      </x:c>
      <x:c r="F79" s="311" t="str">
        <x:v>Legs A</x:v>
      </x:c>
      <x:c r="G79" s="311" t="str">
        <x:v>Squat strength + lower-body power</x:v>
      </x:c>
      <x:c r="H79" s="311" t="n">
        <x:v>5</x:v>
      </x:c>
      <x:c r="I79" s="311" t="str">
        <x:v>Bulgarian Split Squat</x:v>
      </x:c>
      <x:c r="J79" s="311" t="str">
        <x:v>Hypertrophy</x:v>
      </x:c>
      <x:c r="K79" s="311" t="str">
        <x:v>Quads</x:v>
      </x:c>
      <x:c r="L79" s="311" t="str">
        <x:v>Straight sets</x:v>
      </x:c>
      <x:c r="M79" s="311"/>
      <x:c r="N79" s="311" t="n">
        <x:v>4</x:v>
      </x:c>
      <x:c r="O79" s="311" t="n">
        <x:v>8</x:v>
      </x:c>
      <x:c r="P79" s="311" t="n">
        <x:v>10</x:v>
      </x:c>
      <x:c r="Q79" s="311" t="n">
        <x:v>2</x:v>
      </x:c>
      <x:c r="R79" s="311" t="n">
        <x:v>90</x:v>
      </x:c>
      <x:c r="S79" s="311" t="str">
        <x:v>3-0-1</x:v>
      </x:c>
      <x:c r="T79" s="330" t="n">
        <x:v>1</x:v>
      </x:c>
      <x:c r="U79" s="330" t="n">
        <x:v>0</x:v>
      </x:c>
      <x:c r="V79" s="331" t="str">
        <x:v>load × reps</x:v>
      </x:c>
      <x:c r="W79" s="332" t="str">
        <x:f>'Readiness'!K14</x:f>
      </x:c>
      <x:c r="X79" s="314" t="n">
        <x:f>'Readiness'!L14</x:f>
        <x:v>1</x:v>
      </x:c>
      <x:c r="Y79" s="315" t="n">
        <x:f>IF(J79="Mobility",N79,MAX(1,ROUND(N79*X79,0)))</x:f>
        <x:v>4</x:v>
      </x:c>
      <x:c r="Z79" s="333" t="n">
        <x:f>ROUND((IF(AU23&gt;0,AU23,IF(Z23&gt;0,Z23,'Setup'!$D$30))*T79)/'Setup'!$B$9,0)*'Setup'!$B$9</x:f>
        <x:v>0</x:v>
      </x:c>
      <x:c r="AA79" s="334"/>
      <x:c r="AB79" s="334"/>
      <x:c r="AC79" s="334"/>
      <x:c r="AD79" s="334"/>
      <x:c r="AE79" s="334"/>
      <x:c r="AF79" s="334"/>
      <x:c r="AG79" s="334"/>
      <x:c r="AH79" s="334"/>
      <x:c r="AI79" s="334"/>
      <x:c r="AJ79" s="312"/>
      <x:c r="AK79" s="312"/>
      <x:c r="AL79" s="312"/>
      <x:c r="AM79" s="312"/>
      <x:c r="AN79" s="312"/>
      <x:c r="AO79" s="315" t="n">
        <x:f>COUNT(AB79,AD79,AF79,AH79,AJ79)</x:f>
        <x:v>0</x:v>
      </x:c>
      <x:c r="AP79" s="315" t="n">
        <x:f>SUM(AB79,AD79,AF79,AH79,AJ79)</x:f>
        <x:v>0</x:v>
      </x:c>
      <x:c r="AQ79" s="333" t="n">
        <x:f>AA79*AB79+AC79*AD79+AE79*AF79+AG79*AH79+AI79*AJ79</x:f>
        <x:v>0</x:v>
      </x:c>
      <x:c r="AR79" s="333" t="n">
        <x:f>IF(OR(J79="Strength",J79="Hypertrophy"),MAX(IF(AB79&gt;0,AA79*(1+AB79/30),0),IF(AD79&gt;0,AC79*(1+AD79/30),0),IF(AF79&gt;0,AE79*(1+AF79/30),0),IF(AH79&gt;0,AG79*(1+AH79/30),0),IF(AJ79&gt;0,AI79*(1+AJ79/30),0)),0)</x:f>
        <x:v>0</x:v>
      </x:c>
      <x:c r="AS79" s="315" t="str">
        <x:f>IF(AN79&lt;&gt;"Yes","Not logged",IF(AL79&gt;='Setup'!$B$14,"STOP / MODIFY",IF(Z79=0,"Complete",IF(OR(AO79=0,AK79=""),"Add set data + RIR",IF(AND(MAX(AB79,AD79,AF79,AH79,AJ79)&gt;=P79,AK79&gt;=Q79+1),"Progress",IF(OR(MAX(AB79,AD79,AF79,AH79,AJ79)&lt;O79,AK79&lt;Q79-1),"Regress","Hold"))))))</x:f>
        <x:v>Not logged</x:v>
      </x:c>
      <x:c r="AT79" s="335" t="n">
        <x:f>IF(OR(Z79=0,AN79&lt;&gt;"Yes",AO79=0,AK79=""),0,IF(AL79&gt;='Setup'!$B$14,-2*'Setup'!$B$11,IF(AND(MAX(AB79,AD79,AF79,AH79,AJ79)&gt;=P79,AK79&gt;=Q79+1),'Setup'!$B$10,IF(OR(MAX(AB79,AD79,AF79,AH79,AJ79)&lt;O79,AK79&lt;Q79-1),-'Setup'!$B$11,0))))</x:f>
        <x:v>0</x:v>
      </x:c>
      <x:c r="AU79" s="333" t="n">
        <x:f>IF(Z79=0,0,IF(AN79&lt;&gt;"Yes",Z79,IF(COUNT(AA79,AC79,AE79,AG79,AI79)=0,Z79,ROUND((MAX(AA79,AC79,AE79,AG79,AI79)*(1+AT79))/'Setup'!$B$9,0)*'Setup'!$B$9)))</x:f>
        <x:v>0</x:v>
      </x:c>
      <x:c r="AV79" s="336"/>
    </x:row>
    <x:row r="80">
      <x:c r="A80" s="310" t="n">
        <x:f>'Setup'!$B$3+(C80-1)*7+(D80-1)</x:f>
        <x:v>46252</x:v>
      </x:c>
      <x:c r="B80" s="311" t="str">
        <x:v>2|2|6</x:v>
      </x:c>
      <x:c r="C80" s="311" t="n">
        <x:v>2</x:v>
      </x:c>
      <x:c r="D80" s="311" t="n">
        <x:v>2</x:v>
      </x:c>
      <x:c r="E80" s="311" t="str">
        <x:v>Accumulation</x:v>
      </x:c>
      <x:c r="F80" s="311" t="str">
        <x:v>Legs A</x:v>
      </x:c>
      <x:c r="G80" s="311" t="str">
        <x:v>Squat strength + lower-body power</x:v>
      </x:c>
      <x:c r="H80" s="311" t="n">
        <x:v>6</x:v>
      </x:c>
      <x:c r="I80" s="311" t="str">
        <x:v>Lying Leg Curl</x:v>
      </x:c>
      <x:c r="J80" s="311" t="str">
        <x:v>Hypertrophy</x:v>
      </x:c>
      <x:c r="K80" s="311" t="str">
        <x:v>Hamstrings</x:v>
      </x:c>
      <x:c r="L80" s="311" t="str">
        <x:v>Straight sets</x:v>
      </x:c>
      <x:c r="M80" s="311"/>
      <x:c r="N80" s="311" t="n">
        <x:v>4</x:v>
      </x:c>
      <x:c r="O80" s="311" t="n">
        <x:v>10</x:v>
      </x:c>
      <x:c r="P80" s="311" t="n">
        <x:v>15</x:v>
      </x:c>
      <x:c r="Q80" s="311" t="n">
        <x:v>2</x:v>
      </x:c>
      <x:c r="R80" s="311" t="n">
        <x:v>60</x:v>
      </x:c>
      <x:c r="S80" s="311" t="str">
        <x:v>2-1-2</x:v>
      </x:c>
      <x:c r="T80" s="330" t="n">
        <x:v>1</x:v>
      </x:c>
      <x:c r="U80" s="330" t="n">
        <x:v>0</x:v>
      </x:c>
      <x:c r="V80" s="331" t="str">
        <x:v>load × reps</x:v>
      </x:c>
      <x:c r="W80" s="332" t="str">
        <x:f>'Readiness'!K14</x:f>
      </x:c>
      <x:c r="X80" s="314" t="n">
        <x:f>'Readiness'!L14</x:f>
        <x:v>1</x:v>
      </x:c>
      <x:c r="Y80" s="315" t="n">
        <x:f>IF(J80="Mobility",N80,MAX(1,ROUND(N80*X80,0)))</x:f>
        <x:v>4</x:v>
      </x:c>
      <x:c r="Z80" s="333" t="n">
        <x:f>ROUND((IF(AU24&gt;0,AU24,IF(Z24&gt;0,Z24,'Setup'!$D$59))*T80)/'Setup'!$B$9,0)*'Setup'!$B$9</x:f>
        <x:v>0</x:v>
      </x:c>
      <x:c r="AA80" s="334"/>
      <x:c r="AB80" s="334"/>
      <x:c r="AC80" s="334"/>
      <x:c r="AD80" s="334"/>
      <x:c r="AE80" s="334"/>
      <x:c r="AF80" s="334"/>
      <x:c r="AG80" s="334"/>
      <x:c r="AH80" s="334"/>
      <x:c r="AI80" s="334"/>
      <x:c r="AJ80" s="312"/>
      <x:c r="AK80" s="312"/>
      <x:c r="AL80" s="312"/>
      <x:c r="AM80" s="312"/>
      <x:c r="AN80" s="312"/>
      <x:c r="AO80" s="315" t="n">
        <x:f>COUNT(AB80,AD80,AF80,AH80,AJ80)</x:f>
        <x:v>0</x:v>
      </x:c>
      <x:c r="AP80" s="315" t="n">
        <x:f>SUM(AB80,AD80,AF80,AH80,AJ80)</x:f>
        <x:v>0</x:v>
      </x:c>
      <x:c r="AQ80" s="333" t="n">
        <x:f>AA80*AB80+AC80*AD80+AE80*AF80+AG80*AH80+AI80*AJ80</x:f>
        <x:v>0</x:v>
      </x:c>
      <x:c r="AR80" s="333" t="n">
        <x:f>IF(OR(J80="Strength",J80="Hypertrophy"),MAX(IF(AB80&gt;0,AA80*(1+AB80/30),0),IF(AD80&gt;0,AC80*(1+AD80/30),0),IF(AF80&gt;0,AE80*(1+AF80/30),0),IF(AH80&gt;0,AG80*(1+AH80/30),0),IF(AJ80&gt;0,AI80*(1+AJ80/30),0)),0)</x:f>
        <x:v>0</x:v>
      </x:c>
      <x:c r="AS80" s="315" t="str">
        <x:f>IF(AN80&lt;&gt;"Yes","Not logged",IF(AL80&gt;='Setup'!$B$14,"STOP / MODIFY",IF(Z80=0,"Complete",IF(OR(AO80=0,AK80=""),"Add set data + RIR",IF(AND(MAX(AB80,AD80,AF80,AH80,AJ80)&gt;=P80,AK80&gt;=Q80+1),"Progress",IF(OR(MAX(AB80,AD80,AF80,AH80,AJ80)&lt;O80,AK80&lt;Q80-1),"Regress","Hold"))))))</x:f>
        <x:v>Not logged</x:v>
      </x:c>
      <x:c r="AT80" s="335" t="n">
        <x:f>IF(OR(Z80=0,AN80&lt;&gt;"Yes",AO80=0,AK80=""),0,IF(AL80&gt;='Setup'!$B$14,-2*'Setup'!$B$11,IF(AND(MAX(AB80,AD80,AF80,AH80,AJ80)&gt;=P80,AK80&gt;=Q80+1),'Setup'!$B$10,IF(OR(MAX(AB80,AD80,AF80,AH80,AJ80)&lt;O80,AK80&lt;Q80-1),-'Setup'!$B$11,0))))</x:f>
        <x:v>0</x:v>
      </x:c>
      <x:c r="AU80" s="333" t="n">
        <x:f>IF(Z80=0,0,IF(AN80&lt;&gt;"Yes",Z80,IF(COUNT(AA80,AC80,AE80,AG80,AI80)=0,Z80,ROUND((MAX(AA80,AC80,AE80,AG80,AI80)*(1+AT80))/'Setup'!$B$9,0)*'Setup'!$B$9)))</x:f>
        <x:v>0</x:v>
      </x:c>
      <x:c r="AV80" s="336"/>
    </x:row>
    <x:row r="81">
      <x:c r="A81" s="310" t="n">
        <x:f>'Setup'!$B$3+(C81-1)*7+(D81-1)</x:f>
        <x:v>46252</x:v>
      </x:c>
      <x:c r="B81" s="311" t="str">
        <x:v>2|2|7</x:v>
      </x:c>
      <x:c r="C81" s="311" t="n">
        <x:v>2</x:v>
      </x:c>
      <x:c r="D81" s="311" t="n">
        <x:v>2</x:v>
      </x:c>
      <x:c r="E81" s="311" t="str">
        <x:v>Accumulation</x:v>
      </x:c>
      <x:c r="F81" s="311" t="str">
        <x:v>Legs A</x:v>
      </x:c>
      <x:c r="G81" s="311" t="str">
        <x:v>Squat strength + lower-body power</x:v>
      </x:c>
      <x:c r="H81" s="311" t="n">
        <x:v>7</x:v>
      </x:c>
      <x:c r="I81" s="311" t="str">
        <x:v>Standing Calf Raise</x:v>
      </x:c>
      <x:c r="J81" s="311" t="str">
        <x:v>Hypertrophy</x:v>
      </x:c>
      <x:c r="K81" s="311" t="str">
        <x:v>Calves</x:v>
      </x:c>
      <x:c r="L81" s="311" t="str">
        <x:v>Optional final-set drop if readiness is green</x:v>
      </x:c>
      <x:c r="M81" s="311"/>
      <x:c r="N81" s="311" t="n">
        <x:v>4</x:v>
      </x:c>
      <x:c r="O81" s="311" t="n">
        <x:v>10</x:v>
      </x:c>
      <x:c r="P81" s="311" t="n">
        <x:v>15</x:v>
      </x:c>
      <x:c r="Q81" s="311" t="n">
        <x:v>2</x:v>
      </x:c>
      <x:c r="R81" s="311" t="n">
        <x:v>60</x:v>
      </x:c>
      <x:c r="S81" s="311" t="str">
        <x:v>2-2-1</x:v>
      </x:c>
      <x:c r="T81" s="330" t="n">
        <x:v>1</x:v>
      </x:c>
      <x:c r="U81" s="330" t="n">
        <x:v>0</x:v>
      </x:c>
      <x:c r="V81" s="331" t="str">
        <x:v>load × reps</x:v>
      </x:c>
      <x:c r="W81" s="332" t="str">
        <x:f>'Readiness'!K14</x:f>
      </x:c>
      <x:c r="X81" s="314" t="n">
        <x:f>'Readiness'!L14</x:f>
        <x:v>1</x:v>
      </x:c>
      <x:c r="Y81" s="315" t="n">
        <x:f>IF(J81="Mobility",N81,MAX(1,ROUND(N81*X81,0)))</x:f>
        <x:v>4</x:v>
      </x:c>
      <x:c r="Z81" s="333" t="n">
        <x:f>ROUND((IF(AU25&gt;0,AU25,IF(Z25&gt;0,Z25,'Setup'!$D$90))*T81)/'Setup'!$B$9,0)*'Setup'!$B$9</x:f>
        <x:v>0</x:v>
      </x:c>
      <x:c r="AA81" s="334"/>
      <x:c r="AB81" s="334"/>
      <x:c r="AC81" s="334"/>
      <x:c r="AD81" s="334"/>
      <x:c r="AE81" s="334"/>
      <x:c r="AF81" s="334"/>
      <x:c r="AG81" s="334"/>
      <x:c r="AH81" s="334"/>
      <x:c r="AI81" s="334"/>
      <x:c r="AJ81" s="312"/>
      <x:c r="AK81" s="312"/>
      <x:c r="AL81" s="312"/>
      <x:c r="AM81" s="312"/>
      <x:c r="AN81" s="312"/>
      <x:c r="AO81" s="315" t="n">
        <x:f>COUNT(AB81,AD81,AF81,AH81,AJ81)</x:f>
        <x:v>0</x:v>
      </x:c>
      <x:c r="AP81" s="315" t="n">
        <x:f>SUM(AB81,AD81,AF81,AH81,AJ81)</x:f>
        <x:v>0</x:v>
      </x:c>
      <x:c r="AQ81" s="333" t="n">
        <x:f>AA81*AB81+AC81*AD81+AE81*AF81+AG81*AH81+AI81*AJ81</x:f>
        <x:v>0</x:v>
      </x:c>
      <x:c r="AR81" s="333" t="n">
        <x:f>IF(OR(J81="Strength",J81="Hypertrophy"),MAX(IF(AB81&gt;0,AA81*(1+AB81/30),0),IF(AD81&gt;0,AC81*(1+AD81/30),0),IF(AF81&gt;0,AE81*(1+AF81/30),0),IF(AH81&gt;0,AG81*(1+AH81/30),0),IF(AJ81&gt;0,AI81*(1+AJ81/30),0)),0)</x:f>
        <x:v>0</x:v>
      </x:c>
      <x:c r="AS81" s="315" t="str">
        <x:f>IF(AN81&lt;&gt;"Yes","Not logged",IF(AL81&gt;='Setup'!$B$14,"STOP / MODIFY",IF(Z81=0,"Complete",IF(OR(AO81=0,AK81=""),"Add set data + RIR",IF(AND(MAX(AB81,AD81,AF81,AH81,AJ81)&gt;=P81,AK81&gt;=Q81+1),"Progress",IF(OR(MAX(AB81,AD81,AF81,AH81,AJ81)&lt;O81,AK81&lt;Q81-1),"Regress","Hold"))))))</x:f>
        <x:v>Not logged</x:v>
      </x:c>
      <x:c r="AT81" s="335" t="n">
        <x:f>IF(OR(Z81=0,AN81&lt;&gt;"Yes",AO81=0,AK81=""),0,IF(AL81&gt;='Setup'!$B$14,-2*'Setup'!$B$11,IF(AND(MAX(AB81,AD81,AF81,AH81,AJ81)&gt;=P81,AK81&gt;=Q81+1),'Setup'!$B$10,IF(OR(MAX(AB81,AD81,AF81,AH81,AJ81)&lt;O81,AK81&lt;Q81-1),-'Setup'!$B$11,0))))</x:f>
        <x:v>0</x:v>
      </x:c>
      <x:c r="AU81" s="333" t="n">
        <x:f>IF(Z81=0,0,IF(AN81&lt;&gt;"Yes",Z81,IF(COUNT(AA81,AC81,AE81,AG81,AI81)=0,Z81,ROUND((MAX(AA81,AC81,AE81,AG81,AI81)*(1+AT81))/'Setup'!$B$9,0)*'Setup'!$B$9)))</x:f>
        <x:v>0</x:v>
      </x:c>
      <x:c r="AV81" s="336"/>
    </x:row>
    <x:row r="82">
      <x:c r="A82" s="310" t="n">
        <x:f>'Setup'!$B$3+(C82-1)*7+(D82-1)</x:f>
        <x:v>46252</x:v>
      </x:c>
      <x:c r="B82" s="311" t="str">
        <x:v>2|2|8</x:v>
      </x:c>
      <x:c r="C82" s="311" t="n">
        <x:v>2</x:v>
      </x:c>
      <x:c r="D82" s="311" t="n">
        <x:v>2</x:v>
      </x:c>
      <x:c r="E82" s="311" t="str">
        <x:v>Accumulation</x:v>
      </x:c>
      <x:c r="F82" s="311" t="str">
        <x:v>Legs A</x:v>
      </x:c>
      <x:c r="G82" s="311" t="str">
        <x:v>Squat strength + lower-body power</x:v>
      </x:c>
      <x:c r="H82" s="311" t="n">
        <x:v>8</x:v>
      </x:c>
      <x:c r="I82" s="311" t="str">
        <x:v>Backward Sled Drag</x:v>
      </x:c>
      <x:c r="J82" s="311" t="str">
        <x:v>Athletic</x:v>
      </x:c>
      <x:c r="K82" s="311" t="str">
        <x:v>Quads</x:v>
      </x:c>
      <x:c r="L82" s="311" t="str">
        <x:v>Continuous strong steps</x:v>
      </x:c>
      <x:c r="M82" s="311"/>
      <x:c r="N82" s="311" t="n">
        <x:v>5</x:v>
      </x:c>
      <x:c r="O82" s="311" t="n">
        <x:v>20</x:v>
      </x:c>
      <x:c r="P82" s="311" t="n">
        <x:v>25</x:v>
      </x:c>
      <x:c r="Q82" s="311" t="n">
        <x:v>2</x:v>
      </x:c>
      <x:c r="R82" s="311" t="n">
        <x:v>60</x:v>
      </x:c>
      <x:c r="S82" s="311" t="str">
        <x:v>Controlled</x:v>
      </x:c>
      <x:c r="T82" s="330" t="n">
        <x:v>1</x:v>
      </x:c>
      <x:c r="U82" s="330" t="n">
        <x:v>0</x:v>
      </x:c>
      <x:c r="V82" s="331" t="str">
        <x:v>load + meters</x:v>
      </x:c>
      <x:c r="W82" s="332" t="str">
        <x:f>'Readiness'!K14</x:f>
      </x:c>
      <x:c r="X82" s="314" t="n">
        <x:f>'Readiness'!L14</x:f>
        <x:v>1</x:v>
      </x:c>
      <x:c r="Y82" s="315" t="n">
        <x:f>IF(J82="Mobility",N82,MAX(1,ROUND(N82*X82,0)))</x:f>
        <x:v>5</x:v>
      </x:c>
      <x:c r="Z82" s="333" t="n">
        <x:f>0</x:f>
        <x:v>0</x:v>
      </x:c>
      <x:c r="AA82" s="334"/>
      <x:c r="AB82" s="334"/>
      <x:c r="AC82" s="334"/>
      <x:c r="AD82" s="334"/>
      <x:c r="AE82" s="334"/>
      <x:c r="AF82" s="334"/>
      <x:c r="AG82" s="334"/>
      <x:c r="AH82" s="334"/>
      <x:c r="AI82" s="334"/>
      <x:c r="AJ82" s="312"/>
      <x:c r="AK82" s="312"/>
      <x:c r="AL82" s="312"/>
      <x:c r="AM82" s="312"/>
      <x:c r="AN82" s="312"/>
      <x:c r="AO82" s="315" t="n">
        <x:f>COUNT(AB82,AD82,AF82,AH82,AJ82)</x:f>
        <x:v>0</x:v>
      </x:c>
      <x:c r="AP82" s="315" t="n">
        <x:f>SUM(AB82,AD82,AF82,AH82,AJ82)</x:f>
        <x:v>0</x:v>
      </x:c>
      <x:c r="AQ82" s="333" t="n">
        <x:f>AA82*AB82+AC82*AD82+AE82*AF82+AG82*AH82+AI82*AJ82</x:f>
        <x:v>0</x:v>
      </x:c>
      <x:c r="AR82" s="333" t="n">
        <x:f>IF(OR(J82="Strength",J82="Hypertrophy"),MAX(IF(AB82&gt;0,AA82*(1+AB82/30),0),IF(AD82&gt;0,AC82*(1+AD82/30),0),IF(AF82&gt;0,AE82*(1+AF82/30),0),IF(AH82&gt;0,AG82*(1+AH82/30),0),IF(AJ82&gt;0,AI82*(1+AJ82/30),0)),0)</x:f>
        <x:v>0</x:v>
      </x:c>
      <x:c r="AS82" s="315" t="str">
        <x:f>IF(AN82&lt;&gt;"Yes","Not logged",IF(AL82&gt;='Setup'!$B$14,"STOP / MODIFY",IF(Z82=0,"Complete",IF(OR(AO82=0,AK82=""),"Add set data + RIR",IF(AND(MAX(AB82,AD82,AF82,AH82,AJ82)&gt;=P82,AK82&gt;=Q82+1),"Progress",IF(OR(MAX(AB82,AD82,AF82,AH82,AJ82)&lt;O82,AK82&lt;Q82-1),"Regress","Hold"))))))</x:f>
        <x:v>Not logged</x:v>
      </x:c>
      <x:c r="AT82" s="335" t="n">
        <x:f>IF(OR(Z82=0,AN82&lt;&gt;"Yes",AO82=0,AK82=""),0,IF(AL82&gt;='Setup'!$B$14,-2*'Setup'!$B$11,IF(AND(MAX(AB82,AD82,AF82,AH82,AJ82)&gt;=P82,AK82&gt;=Q82+1),'Setup'!$B$10,IF(OR(MAX(AB82,AD82,AF82,AH82,AJ82)&lt;O82,AK82&lt;Q82-1),-'Setup'!$B$11,0))))</x:f>
        <x:v>0</x:v>
      </x:c>
      <x:c r="AU82" s="333" t="n">
        <x:f>IF(Z82=0,0,IF(AN82&lt;&gt;"Yes",Z82,IF(COUNT(AA82,AC82,AE82,AG82,AI82)=0,Z82,ROUND((MAX(AA82,AC82,AE82,AG82,AI82)*(1+AT82))/'Setup'!$B$9,0)*'Setup'!$B$9)))</x:f>
        <x:v>0</x:v>
      </x:c>
      <x:c r="AV82" s="336"/>
    </x:row>
    <x:row r="83">
      <x:c r="A83" s="310" t="n">
        <x:f>'Setup'!$B$3+(C83-1)*7+(D83-1)</x:f>
        <x:v>46252</x:v>
      </x:c>
      <x:c r="B83" s="311" t="str">
        <x:v>2|2|9</x:v>
      </x:c>
      <x:c r="C83" s="311" t="n">
        <x:v>2</x:v>
      </x:c>
      <x:c r="D83" s="311" t="n">
        <x:v>2</x:v>
      </x:c>
      <x:c r="E83" s="311" t="str">
        <x:v>Accumulation</x:v>
      </x:c>
      <x:c r="F83" s="311" t="str">
        <x:v>Legs A</x:v>
      </x:c>
      <x:c r="G83" s="311" t="str">
        <x:v>Squat strength + lower-body power</x:v>
      </x:c>
      <x:c r="H83" s="311" t="n">
        <x:v>9</x:v>
      </x:c>
      <x:c r="I83" s="311" t="str">
        <x:v>Ankle Dorsiflexion Mobilization</x:v>
      </x:c>
      <x:c r="J83" s="311" t="str">
        <x:v>Mobility</x:v>
      </x:c>
      <x:c r="K83" s="311" t="str">
        <x:v>Ankles</x:v>
      </x:c>
      <x:c r="L83" s="311" t="str">
        <x:v>Controlled mobility</x:v>
      </x:c>
      <x:c r="M83" s="311"/>
      <x:c r="N83" s="311" t="n">
        <x:v>2</x:v>
      </x:c>
      <x:c r="O83" s="311" t="n">
        <x:v>8</x:v>
      </x:c>
      <x:c r="P83" s="311" t="n">
        <x:v>12</x:v>
      </x:c>
      <x:c r="Q83" s="311"/>
      <x:c r="R83" s="311" t="n">
        <x:v>20</x:v>
      </x:c>
      <x:c r="S83" s="311" t="str">
        <x:v>Slow</x:v>
      </x:c>
      <x:c r="T83" s="330" t="n">
        <x:v>1</x:v>
      </x:c>
      <x:c r="U83" s="330" t="n">
        <x:v>0</x:v>
      </x:c>
      <x:c r="V83" s="331" t="str">
        <x:v>reps</x:v>
      </x:c>
      <x:c r="W83" s="332" t="str">
        <x:f>'Readiness'!K14</x:f>
      </x:c>
      <x:c r="X83" s="314" t="n">
        <x:f>'Readiness'!L14</x:f>
        <x:v>1</x:v>
      </x:c>
      <x:c r="Y83" s="315" t="n">
        <x:f>IF(J83="Mobility",N83,MAX(1,ROUND(N83*X83,0)))</x:f>
        <x:v>2</x:v>
      </x:c>
      <x:c r="Z83" s="333" t="n">
        <x:f>0</x:f>
        <x:v>0</x:v>
      </x:c>
      <x:c r="AA83" s="334"/>
      <x:c r="AB83" s="334"/>
      <x:c r="AC83" s="334"/>
      <x:c r="AD83" s="334"/>
      <x:c r="AE83" s="334"/>
      <x:c r="AF83" s="334"/>
      <x:c r="AG83" s="334"/>
      <x:c r="AH83" s="334"/>
      <x:c r="AI83" s="334"/>
      <x:c r="AJ83" s="312"/>
      <x:c r="AK83" s="312"/>
      <x:c r="AL83" s="312"/>
      <x:c r="AM83" s="312"/>
      <x:c r="AN83" s="312"/>
      <x:c r="AO83" s="315" t="n">
        <x:f>COUNT(AB83,AD83,AF83,AH83,AJ83)</x:f>
        <x:v>0</x:v>
      </x:c>
      <x:c r="AP83" s="315" t="n">
        <x:f>SUM(AB83,AD83,AF83,AH83,AJ83)</x:f>
        <x:v>0</x:v>
      </x:c>
      <x:c r="AQ83" s="333" t="n">
        <x:f>AA83*AB83+AC83*AD83+AE83*AF83+AG83*AH83+AI83*AJ83</x:f>
        <x:v>0</x:v>
      </x:c>
      <x:c r="AR83" s="333" t="n">
        <x:f>IF(OR(J83="Strength",J83="Hypertrophy"),MAX(IF(AB83&gt;0,AA83*(1+AB83/30),0),IF(AD83&gt;0,AC83*(1+AD83/30),0),IF(AF83&gt;0,AE83*(1+AF83/30),0),IF(AH83&gt;0,AG83*(1+AH83/30),0),IF(AJ83&gt;0,AI83*(1+AJ83/30),0)),0)</x:f>
        <x:v>0</x:v>
      </x:c>
      <x:c r="AS83" s="315" t="str">
        <x:f>IF(AN83&lt;&gt;"Yes","Not logged",IF(AL83&gt;='Setup'!$B$14,"STOP / MODIFY",IF(Z83=0,"Complete",IF(OR(AO83=0,AK83=""),"Add set data + RIR",IF(AND(MAX(AB83,AD83,AF83,AH83,AJ83)&gt;=P83,AK83&gt;=Q83+1),"Progress",IF(OR(MAX(AB83,AD83,AF83,AH83,AJ83)&lt;O83,AK83&lt;Q83-1),"Regress","Hold"))))))</x:f>
        <x:v>Not logged</x:v>
      </x:c>
      <x:c r="AT83" s="335" t="n">
        <x:f>IF(OR(Z83=0,AN83&lt;&gt;"Yes",AO83=0,AK83=""),0,IF(AL83&gt;='Setup'!$B$14,-2*'Setup'!$B$11,IF(AND(MAX(AB83,AD83,AF83,AH83,AJ83)&gt;=P83,AK83&gt;=Q83+1),'Setup'!$B$10,IF(OR(MAX(AB83,AD83,AF83,AH83,AJ83)&lt;O83,AK83&lt;Q83-1),-'Setup'!$B$11,0))))</x:f>
        <x:v>0</x:v>
      </x:c>
      <x:c r="AU83" s="333" t="n">
        <x:f>IF(Z83=0,0,IF(AN83&lt;&gt;"Yes",Z83,IF(COUNT(AA83,AC83,AE83,AG83,AI83)=0,Z83,ROUND((MAX(AA83,AC83,AE83,AG83,AI83)*(1+AT83))/'Setup'!$B$9,0)*'Setup'!$B$9)))</x:f>
        <x:v>0</x:v>
      </x:c>
      <x:c r="AV83" s="336"/>
    </x:row>
    <x:row r="84">
      <x:c r="A84" s="310" t="n">
        <x:f>'Setup'!$B$3+(C84-1)*7+(D84-1)</x:f>
        <x:v>46252</x:v>
      </x:c>
      <x:c r="B84" s="311" t="str">
        <x:v>2|2|10</x:v>
      </x:c>
      <x:c r="C84" s="311" t="n">
        <x:v>2</x:v>
      </x:c>
      <x:c r="D84" s="311" t="n">
        <x:v>2</x:v>
      </x:c>
      <x:c r="E84" s="311" t="str">
        <x:v>Accumulation</x:v>
      </x:c>
      <x:c r="F84" s="311" t="str">
        <x:v>Legs A</x:v>
      </x:c>
      <x:c r="G84" s="311" t="str">
        <x:v>Squat strength + lower-body power</x:v>
      </x:c>
      <x:c r="H84" s="311" t="n">
        <x:v>10</x:v>
      </x:c>
      <x:c r="I84" s="311" t="str">
        <x:v>90/90 Hip Switch</x:v>
      </x:c>
      <x:c r="J84" s="311" t="str">
        <x:v>Mobility</x:v>
      </x:c>
      <x:c r="K84" s="311" t="str">
        <x:v>Hips</x:v>
      </x:c>
      <x:c r="L84" s="311" t="str">
        <x:v>Controlled mobility</x:v>
      </x:c>
      <x:c r="M84" s="311"/>
      <x:c r="N84" s="311" t="n">
        <x:v>2</x:v>
      </x:c>
      <x:c r="O84" s="311" t="n">
        <x:v>6</x:v>
      </x:c>
      <x:c r="P84" s="311" t="n">
        <x:v>10</x:v>
      </x:c>
      <x:c r="Q84" s="311"/>
      <x:c r="R84" s="311" t="n">
        <x:v>20</x:v>
      </x:c>
      <x:c r="S84" s="311" t="str">
        <x:v>Slow</x:v>
      </x:c>
      <x:c r="T84" s="330" t="n">
        <x:v>1</x:v>
      </x:c>
      <x:c r="U84" s="330" t="n">
        <x:v>0</x:v>
      </x:c>
      <x:c r="V84" s="331" t="str">
        <x:v>reps</x:v>
      </x:c>
      <x:c r="W84" s="332" t="str">
        <x:f>'Readiness'!K14</x:f>
      </x:c>
      <x:c r="X84" s="314" t="n">
        <x:f>'Readiness'!L14</x:f>
        <x:v>1</x:v>
      </x:c>
      <x:c r="Y84" s="315" t="n">
        <x:f>IF(J84="Mobility",N84,MAX(1,ROUND(N84*X84,0)))</x:f>
        <x:v>2</x:v>
      </x:c>
      <x:c r="Z84" s="333" t="n">
        <x:f>0</x:f>
        <x:v>0</x:v>
      </x:c>
      <x:c r="AA84" s="334"/>
      <x:c r="AB84" s="334"/>
      <x:c r="AC84" s="334"/>
      <x:c r="AD84" s="334"/>
      <x:c r="AE84" s="334"/>
      <x:c r="AF84" s="334"/>
      <x:c r="AG84" s="334"/>
      <x:c r="AH84" s="334"/>
      <x:c r="AI84" s="334"/>
      <x:c r="AJ84" s="312"/>
      <x:c r="AK84" s="312"/>
      <x:c r="AL84" s="312"/>
      <x:c r="AM84" s="312"/>
      <x:c r="AN84" s="312"/>
      <x:c r="AO84" s="315" t="n">
        <x:f>COUNT(AB84,AD84,AF84,AH84,AJ84)</x:f>
        <x:v>0</x:v>
      </x:c>
      <x:c r="AP84" s="315" t="n">
        <x:f>SUM(AB84,AD84,AF84,AH84,AJ84)</x:f>
        <x:v>0</x:v>
      </x:c>
      <x:c r="AQ84" s="333" t="n">
        <x:f>AA84*AB84+AC84*AD84+AE84*AF84+AG84*AH84+AI84*AJ84</x:f>
        <x:v>0</x:v>
      </x:c>
      <x:c r="AR84" s="333" t="n">
        <x:f>IF(OR(J84="Strength",J84="Hypertrophy"),MAX(IF(AB84&gt;0,AA84*(1+AB84/30),0),IF(AD84&gt;0,AC84*(1+AD84/30),0),IF(AF84&gt;0,AE84*(1+AF84/30),0),IF(AH84&gt;0,AG84*(1+AH84/30),0),IF(AJ84&gt;0,AI84*(1+AJ84/30),0)),0)</x:f>
        <x:v>0</x:v>
      </x:c>
      <x:c r="AS84" s="315" t="str">
        <x:f>IF(AN84&lt;&gt;"Yes","Not logged",IF(AL84&gt;='Setup'!$B$14,"STOP / MODIFY",IF(Z84=0,"Complete",IF(OR(AO84=0,AK84=""),"Add set data + RIR",IF(AND(MAX(AB84,AD84,AF84,AH84,AJ84)&gt;=P84,AK84&gt;=Q84+1),"Progress",IF(OR(MAX(AB84,AD84,AF84,AH84,AJ84)&lt;O84,AK84&lt;Q84-1),"Regress","Hold"))))))</x:f>
        <x:v>Not logged</x:v>
      </x:c>
      <x:c r="AT84" s="335" t="n">
        <x:f>IF(OR(Z84=0,AN84&lt;&gt;"Yes",AO84=0,AK84=""),0,IF(AL84&gt;='Setup'!$B$14,-2*'Setup'!$B$11,IF(AND(MAX(AB84,AD84,AF84,AH84,AJ84)&gt;=P84,AK84&gt;=Q84+1),'Setup'!$B$10,IF(OR(MAX(AB84,AD84,AF84,AH84,AJ84)&lt;O84,AK84&lt;Q84-1),-'Setup'!$B$11,0))))</x:f>
        <x:v>0</x:v>
      </x:c>
      <x:c r="AU84" s="333" t="n">
        <x:f>IF(Z84=0,0,IF(AN84&lt;&gt;"Yes",Z84,IF(COUNT(AA84,AC84,AE84,AG84,AI84)=0,Z84,ROUND((MAX(AA84,AC84,AE84,AG84,AI84)*(1+AT84))/'Setup'!$B$9,0)*'Setup'!$B$9)))</x:f>
        <x:v>0</x:v>
      </x:c>
      <x:c r="AV84" s="336"/>
    </x:row>
    <x:row r="85">
      <x:c r="A85" s="310" t="n">
        <x:f>'Setup'!$B$3+(C85-1)*7+(D85-1)</x:f>
        <x:v>46253</x:v>
      </x:c>
      <x:c r="B85" s="311" t="str">
        <x:v>2|3|1</x:v>
      </x:c>
      <x:c r="C85" s="311" t="n">
        <x:v>2</x:v>
      </x:c>
      <x:c r="D85" s="311" t="n">
        <x:v>3</x:v>
      </x:c>
      <x:c r="E85" s="311" t="str">
        <x:v>Accumulation</x:v>
      </x:c>
      <x:c r="F85" s="311" t="str">
        <x:v>Push A</x:v>
      </x:c>
      <x:c r="G85" s="311" t="str">
        <x:v>Chest strength + shoulder hypertrophy</x:v>
      </x:c>
      <x:c r="H85" s="311" t="n">
        <x:v>1</x:v>
      </x:c>
      <x:c r="I85" s="311" t="str">
        <x:v>Medicine Ball Chest Pass</x:v>
      </x:c>
      <x:c r="J85" s="311" t="str">
        <x:v>Power</x:v>
      </x:c>
      <x:c r="K85" s="311" t="str">
        <x:v>Chest</x:v>
      </x:c>
      <x:c r="L85" s="311" t="str">
        <x:v>Max intent, full reset</x:v>
      </x:c>
      <x:c r="M85" s="311"/>
      <x:c r="N85" s="311" t="n">
        <x:v>4</x:v>
      </x:c>
      <x:c r="O85" s="311" t="n">
        <x:v>3</x:v>
      </x:c>
      <x:c r="P85" s="311" t="n">
        <x:v>3</x:v>
      </x:c>
      <x:c r="Q85" s="311" t="n">
        <x:v>2</x:v>
      </x:c>
      <x:c r="R85" s="311" t="n">
        <x:v>60</x:v>
      </x:c>
      <x:c r="S85" s="311" t="str">
        <x:v>Explosive</x:v>
      </x:c>
      <x:c r="T85" s="330" t="n">
        <x:v>1</x:v>
      </x:c>
      <x:c r="U85" s="330" t="n">
        <x:v>0</x:v>
      </x:c>
      <x:c r="V85" s="331" t="str">
        <x:v>throw quality</x:v>
      </x:c>
      <x:c r="W85" s="332" t="str">
        <x:f>'Readiness'!K15</x:f>
      </x:c>
      <x:c r="X85" s="314" t="n">
        <x:f>'Readiness'!L15</x:f>
        <x:v>1</x:v>
      </x:c>
      <x:c r="Y85" s="315" t="n">
        <x:f>IF(J85="Mobility",N85,MAX(1,ROUND(N85*X85,0)))</x:f>
        <x:v>4</x:v>
      </x:c>
      <x:c r="Z85" s="333" t="n">
        <x:f>0</x:f>
        <x:v>0</x:v>
      </x:c>
      <x:c r="AA85" s="334"/>
      <x:c r="AB85" s="334"/>
      <x:c r="AC85" s="334"/>
      <x:c r="AD85" s="334"/>
      <x:c r="AE85" s="334"/>
      <x:c r="AF85" s="334"/>
      <x:c r="AG85" s="334"/>
      <x:c r="AH85" s="334"/>
      <x:c r="AI85" s="334"/>
      <x:c r="AJ85" s="312"/>
      <x:c r="AK85" s="312"/>
      <x:c r="AL85" s="312"/>
      <x:c r="AM85" s="312"/>
      <x:c r="AN85" s="312"/>
      <x:c r="AO85" s="315" t="n">
        <x:f>COUNT(AB85,AD85,AF85,AH85,AJ85)</x:f>
        <x:v>0</x:v>
      </x:c>
      <x:c r="AP85" s="315" t="n">
        <x:f>SUM(AB85,AD85,AF85,AH85,AJ85)</x:f>
        <x:v>0</x:v>
      </x:c>
      <x:c r="AQ85" s="333" t="n">
        <x:f>AA85*AB85+AC85*AD85+AE85*AF85+AG85*AH85+AI85*AJ85</x:f>
        <x:v>0</x:v>
      </x:c>
      <x:c r="AR85" s="333" t="n">
        <x:f>IF(OR(J85="Strength",J85="Hypertrophy"),MAX(IF(AB85&gt;0,AA85*(1+AB85/30),0),IF(AD85&gt;0,AC85*(1+AD85/30),0),IF(AF85&gt;0,AE85*(1+AF85/30),0),IF(AH85&gt;0,AG85*(1+AH85/30),0),IF(AJ85&gt;0,AI85*(1+AJ85/30),0)),0)</x:f>
        <x:v>0</x:v>
      </x:c>
      <x:c r="AS85" s="315" t="str">
        <x:f>IF(AN85&lt;&gt;"Yes","Not logged",IF(AL85&gt;='Setup'!$B$14,"STOP / MODIFY",IF(Z85=0,"Complete",IF(OR(AO85=0,AK85=""),"Add set data + RIR",IF(AND(MAX(AB85,AD85,AF85,AH85,AJ85)&gt;=P85,AK85&gt;=Q85+1),"Progress",IF(OR(MAX(AB85,AD85,AF85,AH85,AJ85)&lt;O85,AK85&lt;Q85-1),"Regress","Hold"))))))</x:f>
        <x:v>Not logged</x:v>
      </x:c>
      <x:c r="AT85" s="335" t="n">
        <x:f>IF(OR(Z85=0,AN85&lt;&gt;"Yes",AO85=0,AK85=""),0,IF(AL85&gt;='Setup'!$B$14,-2*'Setup'!$B$11,IF(AND(MAX(AB85,AD85,AF85,AH85,AJ85)&gt;=P85,AK85&gt;=Q85+1),'Setup'!$B$10,IF(OR(MAX(AB85,AD85,AF85,AH85,AJ85)&lt;O85,AK85&lt;Q85-1),-'Setup'!$B$11,0))))</x:f>
        <x:v>0</x:v>
      </x:c>
      <x:c r="AU85" s="333" t="n">
        <x:f>IF(Z85=0,0,IF(AN85&lt;&gt;"Yes",Z85,IF(COUNT(AA85,AC85,AE85,AG85,AI85)=0,Z85,ROUND((MAX(AA85,AC85,AE85,AG85,AI85)*(1+AT85))/'Setup'!$B$9,0)*'Setup'!$B$9)))</x:f>
        <x:v>0</x:v>
      </x:c>
      <x:c r="AV85" s="336"/>
    </x:row>
    <x:row r="86">
      <x:c r="A86" s="310" t="n">
        <x:f>'Setup'!$B$3+(C86-1)*7+(D86-1)</x:f>
        <x:v>46253</x:v>
      </x:c>
      <x:c r="B86" s="311" t="str">
        <x:v>2|3|2</x:v>
      </x:c>
      <x:c r="C86" s="311" t="n">
        <x:v>2</x:v>
      </x:c>
      <x:c r="D86" s="311" t="n">
        <x:v>3</x:v>
      </x:c>
      <x:c r="E86" s="311" t="str">
        <x:v>Accumulation</x:v>
      </x:c>
      <x:c r="F86" s="311" t="str">
        <x:v>Push A</x:v>
      </x:c>
      <x:c r="G86" s="311" t="str">
        <x:v>Chest strength + shoulder hypertrophy</x:v>
      </x:c>
      <x:c r="H86" s="311" t="n">
        <x:v>2</x:v>
      </x:c>
      <x:c r="I86" s="311" t="str">
        <x:v>Bench Press</x:v>
      </x:c>
      <x:c r="J86" s="311" t="str">
        <x:v>Strength</x:v>
      </x:c>
      <x:c r="K86" s="311" t="str">
        <x:v>Chest</x:v>
      </x:c>
      <x:c r="L86" s="311" t="str">
        <x:v>Top set + back-offs</x:v>
      </x:c>
      <x:c r="M86" s="311"/>
      <x:c r="N86" s="311" t="n">
        <x:v>4</x:v>
      </x:c>
      <x:c r="O86" s="311" t="n">
        <x:v>5</x:v>
      </x:c>
      <x:c r="P86" s="311" t="n">
        <x:v>7</x:v>
      </x:c>
      <x:c r="Q86" s="311" t="n">
        <x:v>2</x:v>
      </x:c>
      <x:c r="R86" s="311" t="n">
        <x:v>180</x:v>
      </x:c>
      <x:c r="S86" s="311" t="str">
        <x:v>2-0-X</x:v>
      </x:c>
      <x:c r="T86" s="330" t="n">
        <x:v>1</x:v>
      </x:c>
      <x:c r="U86" s="330" t="n">
        <x:v>0.7</x:v>
      </x:c>
      <x:c r="V86" s="331" t="str">
        <x:v>load × reps</x:v>
      </x:c>
      <x:c r="W86" s="332" t="str">
        <x:f>'Readiness'!K15</x:f>
      </x:c>
      <x:c r="X86" s="314" t="n">
        <x:f>'Readiness'!L15</x:f>
        <x:v>1</x:v>
      </x:c>
      <x:c r="Y86" s="315" t="n">
        <x:f>IF(J86="Mobility",N86,MAX(1,ROUND(N86*X86,0)))</x:f>
        <x:v>4</x:v>
      </x:c>
      <x:c r="Z86" s="333" t="n">
        <x:f>ROUND((IF(AU30&gt;0,AU30,IF(Z30&gt;0,Z30,'Setup'!$D$27))*T86)/'Setup'!$B$9,0)*'Setup'!$B$9</x:f>
        <x:v>0</x:v>
      </x:c>
      <x:c r="AA86" s="334"/>
      <x:c r="AB86" s="334"/>
      <x:c r="AC86" s="334"/>
      <x:c r="AD86" s="334"/>
      <x:c r="AE86" s="334"/>
      <x:c r="AF86" s="334"/>
      <x:c r="AG86" s="334"/>
      <x:c r="AH86" s="334"/>
      <x:c r="AI86" s="334"/>
      <x:c r="AJ86" s="312"/>
      <x:c r="AK86" s="312"/>
      <x:c r="AL86" s="312"/>
      <x:c r="AM86" s="312"/>
      <x:c r="AN86" s="312"/>
      <x:c r="AO86" s="315" t="n">
        <x:f>COUNT(AB86,AD86,AF86,AH86,AJ86)</x:f>
        <x:v>0</x:v>
      </x:c>
      <x:c r="AP86" s="315" t="n">
        <x:f>SUM(AB86,AD86,AF86,AH86,AJ86)</x:f>
        <x:v>0</x:v>
      </x:c>
      <x:c r="AQ86" s="333" t="n">
        <x:f>AA86*AB86+AC86*AD86+AE86*AF86+AG86*AH86+AI86*AJ86</x:f>
        <x:v>0</x:v>
      </x:c>
      <x:c r="AR86" s="333" t="n">
        <x:f>IF(OR(J86="Strength",J86="Hypertrophy"),MAX(IF(AB86&gt;0,AA86*(1+AB86/30),0),IF(AD86&gt;0,AC86*(1+AD86/30),0),IF(AF86&gt;0,AE86*(1+AF86/30),0),IF(AH86&gt;0,AG86*(1+AH86/30),0),IF(AJ86&gt;0,AI86*(1+AJ86/30),0)),0)</x:f>
        <x:v>0</x:v>
      </x:c>
      <x:c r="AS86" s="315" t="str">
        <x:f>IF(AN86&lt;&gt;"Yes","Not logged",IF(AL86&gt;='Setup'!$B$14,"STOP / MODIFY",IF(Z86=0,"Complete",IF(OR(AO86=0,AK86=""),"Add set data + RIR",IF(AND(MAX(AB86,AD86,AF86,AH86,AJ86)&gt;=P86,AK86&gt;=Q86+1),"Progress",IF(OR(MAX(AB86,AD86,AF86,AH86,AJ86)&lt;O86,AK86&lt;Q86-1),"Regress","Hold"))))))</x:f>
        <x:v>Not logged</x:v>
      </x:c>
      <x:c r="AT86" s="335" t="n">
        <x:f>IF(OR(Z86=0,AN86&lt;&gt;"Yes",AO86=0,AK86=""),0,IF(AL86&gt;='Setup'!$B$14,-2*'Setup'!$B$11,IF(AND(MAX(AB86,AD86,AF86,AH86,AJ86)&gt;=P86,AK86&gt;=Q86+1),'Setup'!$B$10,IF(OR(MAX(AB86,AD86,AF86,AH86,AJ86)&lt;O86,AK86&lt;Q86-1),-'Setup'!$B$11,0))))</x:f>
        <x:v>0</x:v>
      </x:c>
      <x:c r="AU86" s="333" t="n">
        <x:f>IF(Z86=0,0,IF(AN86&lt;&gt;"Yes",Z86,IF(COUNT(AA86,AC86,AE86,AG86,AI86)=0,Z86,ROUND((MAX(AA86,AC86,AE86,AG86,AI86)*(1+AT86))/'Setup'!$B$9,0)*'Setup'!$B$9)))</x:f>
        <x:v>0</x:v>
      </x:c>
      <x:c r="AV86" s="336"/>
    </x:row>
    <x:row r="87">
      <x:c r="A87" s="310" t="n">
        <x:f>'Setup'!$B$3+(C87-1)*7+(D87-1)</x:f>
        <x:v>46253</x:v>
      </x:c>
      <x:c r="B87" s="311" t="str">
        <x:v>2|3|3</x:v>
      </x:c>
      <x:c r="C87" s="311" t="n">
        <x:v>2</x:v>
      </x:c>
      <x:c r="D87" s="311" t="n">
        <x:v>3</x:v>
      </x:c>
      <x:c r="E87" s="311" t="str">
        <x:v>Accumulation</x:v>
      </x:c>
      <x:c r="F87" s="311" t="str">
        <x:v>Push A</x:v>
      </x:c>
      <x:c r="G87" s="311" t="str">
        <x:v>Chest strength + shoulder hypertrophy</x:v>
      </x:c>
      <x:c r="H87" s="311" t="n">
        <x:v>3</x:v>
      </x:c>
      <x:c r="I87" s="311" t="str">
        <x:v>Incline Dumbbell Bench Press</x:v>
      </x:c>
      <x:c r="J87" s="311" t="str">
        <x:v>Hypertrophy</x:v>
      </x:c>
      <x:c r="K87" s="311" t="str">
        <x:v>Chest</x:v>
      </x:c>
      <x:c r="L87" s="311" t="str">
        <x:v>Straight sets</x:v>
      </x:c>
      <x:c r="M87" s="311"/>
      <x:c r="N87" s="311" t="n">
        <x:v>4</x:v>
      </x:c>
      <x:c r="O87" s="311" t="n">
        <x:v>8</x:v>
      </x:c>
      <x:c r="P87" s="311" t="n">
        <x:v>10</x:v>
      </x:c>
      <x:c r="Q87" s="311" t="n">
        <x:v>2</x:v>
      </x:c>
      <x:c r="R87" s="311" t="n">
        <x:v>90</x:v>
      </x:c>
      <x:c r="S87" s="311" t="str">
        <x:v>3-0-1</x:v>
      </x:c>
      <x:c r="T87" s="330" t="n">
        <x:v>1</x:v>
      </x:c>
      <x:c r="U87" s="330" t="n">
        <x:v>0</x:v>
      </x:c>
      <x:c r="V87" s="331" t="str">
        <x:v>load × reps</x:v>
      </x:c>
      <x:c r="W87" s="332" t="str">
        <x:f>'Readiness'!K15</x:f>
      </x:c>
      <x:c r="X87" s="314" t="n">
        <x:f>'Readiness'!L15</x:f>
        <x:v>1</x:v>
      </x:c>
      <x:c r="Y87" s="315" t="n">
        <x:f>IF(J87="Mobility",N87,MAX(1,ROUND(N87*X87,0)))</x:f>
        <x:v>4</x:v>
      </x:c>
      <x:c r="Z87" s="333" t="n">
        <x:f>ROUND((IF(AU31&gt;0,AU31,IF(Z31&gt;0,Z31,'Setup'!$D$50))*T87)/'Setup'!$B$9,0)*'Setup'!$B$9</x:f>
        <x:v>0</x:v>
      </x:c>
      <x:c r="AA87" s="334"/>
      <x:c r="AB87" s="334"/>
      <x:c r="AC87" s="334"/>
      <x:c r="AD87" s="334"/>
      <x:c r="AE87" s="334"/>
      <x:c r="AF87" s="334"/>
      <x:c r="AG87" s="334"/>
      <x:c r="AH87" s="334"/>
      <x:c r="AI87" s="334"/>
      <x:c r="AJ87" s="312"/>
      <x:c r="AK87" s="312"/>
      <x:c r="AL87" s="312"/>
      <x:c r="AM87" s="312"/>
      <x:c r="AN87" s="312"/>
      <x:c r="AO87" s="315" t="n">
        <x:f>COUNT(AB87,AD87,AF87,AH87,AJ87)</x:f>
        <x:v>0</x:v>
      </x:c>
      <x:c r="AP87" s="315" t="n">
        <x:f>SUM(AB87,AD87,AF87,AH87,AJ87)</x:f>
        <x:v>0</x:v>
      </x:c>
      <x:c r="AQ87" s="333" t="n">
        <x:f>AA87*AB87+AC87*AD87+AE87*AF87+AG87*AH87+AI87*AJ87</x:f>
        <x:v>0</x:v>
      </x:c>
      <x:c r="AR87" s="333" t="n">
        <x:f>IF(OR(J87="Strength",J87="Hypertrophy"),MAX(IF(AB87&gt;0,AA87*(1+AB87/30),0),IF(AD87&gt;0,AC87*(1+AD87/30),0),IF(AF87&gt;0,AE87*(1+AF87/30),0),IF(AH87&gt;0,AG87*(1+AH87/30),0),IF(AJ87&gt;0,AI87*(1+AJ87/30),0)),0)</x:f>
        <x:v>0</x:v>
      </x:c>
      <x:c r="AS87" s="315" t="str">
        <x:f>IF(AN87&lt;&gt;"Yes","Not logged",IF(AL87&gt;='Setup'!$B$14,"STOP / MODIFY",IF(Z87=0,"Complete",IF(OR(AO87=0,AK87=""),"Add set data + RIR",IF(AND(MAX(AB87,AD87,AF87,AH87,AJ87)&gt;=P87,AK87&gt;=Q87+1),"Progress",IF(OR(MAX(AB87,AD87,AF87,AH87,AJ87)&lt;O87,AK87&lt;Q87-1),"Regress","Hold"))))))</x:f>
        <x:v>Not logged</x:v>
      </x:c>
      <x:c r="AT87" s="335" t="n">
        <x:f>IF(OR(Z87=0,AN87&lt;&gt;"Yes",AO87=0,AK87=""),0,IF(AL87&gt;='Setup'!$B$14,-2*'Setup'!$B$11,IF(AND(MAX(AB87,AD87,AF87,AH87,AJ87)&gt;=P87,AK87&gt;=Q87+1),'Setup'!$B$10,IF(OR(MAX(AB87,AD87,AF87,AH87,AJ87)&lt;O87,AK87&lt;Q87-1),-'Setup'!$B$11,0))))</x:f>
        <x:v>0</x:v>
      </x:c>
      <x:c r="AU87" s="333" t="n">
        <x:f>IF(Z87=0,0,IF(AN87&lt;&gt;"Yes",Z87,IF(COUNT(AA87,AC87,AE87,AG87,AI87)=0,Z87,ROUND((MAX(AA87,AC87,AE87,AG87,AI87)*(1+AT87))/'Setup'!$B$9,0)*'Setup'!$B$9)))</x:f>
        <x:v>0</x:v>
      </x:c>
      <x:c r="AV87" s="336"/>
    </x:row>
    <x:row r="88">
      <x:c r="A88" s="310" t="n">
        <x:f>'Setup'!$B$3+(C88-1)*7+(D88-1)</x:f>
        <x:v>46253</x:v>
      </x:c>
      <x:c r="B88" s="311" t="str">
        <x:v>2|3|4</x:v>
      </x:c>
      <x:c r="C88" s="311" t="n">
        <x:v>2</x:v>
      </x:c>
      <x:c r="D88" s="311" t="n">
        <x:v>3</x:v>
      </x:c>
      <x:c r="E88" s="311" t="str">
        <x:v>Accumulation</x:v>
      </x:c>
      <x:c r="F88" s="311" t="str">
        <x:v>Push A</x:v>
      </x:c>
      <x:c r="G88" s="311" t="str">
        <x:v>Chest strength + shoulder hypertrophy</x:v>
      </x:c>
      <x:c r="H88" s="311" t="n">
        <x:v>4</x:v>
      </x:c>
      <x:c r="I88" s="311" t="str">
        <x:v>Seated Dumbbell Shoulder Press</x:v>
      </x:c>
      <x:c r="J88" s="311" t="str">
        <x:v>Hypertrophy</x:v>
      </x:c>
      <x:c r="K88" s="311" t="str">
        <x:v>Shoulders</x:v>
      </x:c>
      <x:c r="L88" s="311" t="str">
        <x:v>Straight sets</x:v>
      </x:c>
      <x:c r="M88" s="311"/>
      <x:c r="N88" s="311" t="n">
        <x:v>4</x:v>
      </x:c>
      <x:c r="O88" s="311" t="n">
        <x:v>8</x:v>
      </x:c>
      <x:c r="P88" s="311" t="n">
        <x:v>10</x:v>
      </x:c>
      <x:c r="Q88" s="311" t="n">
        <x:v>2</x:v>
      </x:c>
      <x:c r="R88" s="311" t="n">
        <x:v>90</x:v>
      </x:c>
      <x:c r="S88" s="311" t="str">
        <x:v>2-0-1</x:v>
      </x:c>
      <x:c r="T88" s="330" t="n">
        <x:v>1</x:v>
      </x:c>
      <x:c r="U88" s="330" t="n">
        <x:v>0</x:v>
      </x:c>
      <x:c r="V88" s="331" t="str">
        <x:v>load × reps</x:v>
      </x:c>
      <x:c r="W88" s="332" t="str">
        <x:f>'Readiness'!K15</x:f>
      </x:c>
      <x:c r="X88" s="314" t="n">
        <x:f>'Readiness'!L15</x:f>
        <x:v>1</x:v>
      </x:c>
      <x:c r="Y88" s="315" t="n">
        <x:f>IF(J88="Mobility",N88,MAX(1,ROUND(N88*X88,0)))</x:f>
        <x:v>4</x:v>
      </x:c>
      <x:c r="Z88" s="333" t="n">
        <x:f>ROUND((IF(AU32&gt;0,AU32,IF(Z32&gt;0,Z32,'Setup'!$D$83))*T88)/'Setup'!$B$9,0)*'Setup'!$B$9</x:f>
        <x:v>0</x:v>
      </x:c>
      <x:c r="AA88" s="334"/>
      <x:c r="AB88" s="334"/>
      <x:c r="AC88" s="334"/>
      <x:c r="AD88" s="334"/>
      <x:c r="AE88" s="334"/>
      <x:c r="AF88" s="334"/>
      <x:c r="AG88" s="334"/>
      <x:c r="AH88" s="334"/>
      <x:c r="AI88" s="334"/>
      <x:c r="AJ88" s="312"/>
      <x:c r="AK88" s="312"/>
      <x:c r="AL88" s="312"/>
      <x:c r="AM88" s="312"/>
      <x:c r="AN88" s="312"/>
      <x:c r="AO88" s="315" t="n">
        <x:f>COUNT(AB88,AD88,AF88,AH88,AJ88)</x:f>
        <x:v>0</x:v>
      </x:c>
      <x:c r="AP88" s="315" t="n">
        <x:f>SUM(AB88,AD88,AF88,AH88,AJ88)</x:f>
        <x:v>0</x:v>
      </x:c>
      <x:c r="AQ88" s="333" t="n">
        <x:f>AA88*AB88+AC88*AD88+AE88*AF88+AG88*AH88+AI88*AJ88</x:f>
        <x:v>0</x:v>
      </x:c>
      <x:c r="AR88" s="333" t="n">
        <x:f>IF(OR(J88="Strength",J88="Hypertrophy"),MAX(IF(AB88&gt;0,AA88*(1+AB88/30),0),IF(AD88&gt;0,AC88*(1+AD88/30),0),IF(AF88&gt;0,AE88*(1+AF88/30),0),IF(AH88&gt;0,AG88*(1+AH88/30),0),IF(AJ88&gt;0,AI88*(1+AJ88/30),0)),0)</x:f>
        <x:v>0</x:v>
      </x:c>
      <x:c r="AS88" s="315" t="str">
        <x:f>IF(AN88&lt;&gt;"Yes","Not logged",IF(AL88&gt;='Setup'!$B$14,"STOP / MODIFY",IF(Z88=0,"Complete",IF(OR(AO88=0,AK88=""),"Add set data + RIR",IF(AND(MAX(AB88,AD88,AF88,AH88,AJ88)&gt;=P88,AK88&gt;=Q88+1),"Progress",IF(OR(MAX(AB88,AD88,AF88,AH88,AJ88)&lt;O88,AK88&lt;Q88-1),"Regress","Hold"))))))</x:f>
        <x:v>Not logged</x:v>
      </x:c>
      <x:c r="AT88" s="335" t="n">
        <x:f>IF(OR(Z88=0,AN88&lt;&gt;"Yes",AO88=0,AK88=""),0,IF(AL88&gt;='Setup'!$B$14,-2*'Setup'!$B$11,IF(AND(MAX(AB88,AD88,AF88,AH88,AJ88)&gt;=P88,AK88&gt;=Q88+1),'Setup'!$B$10,IF(OR(MAX(AB88,AD88,AF88,AH88,AJ88)&lt;O88,AK88&lt;Q88-1),-'Setup'!$B$11,0))))</x:f>
        <x:v>0</x:v>
      </x:c>
      <x:c r="AU88" s="333" t="n">
        <x:f>IF(Z88=0,0,IF(AN88&lt;&gt;"Yes",Z88,IF(COUNT(AA88,AC88,AE88,AG88,AI88)=0,Z88,ROUND((MAX(AA88,AC88,AE88,AG88,AI88)*(1+AT88))/'Setup'!$B$9,0)*'Setup'!$B$9)))</x:f>
        <x:v>0</x:v>
      </x:c>
      <x:c r="AV88" s="336"/>
    </x:row>
    <x:row r="89">
      <x:c r="A89" s="310" t="n">
        <x:f>'Setup'!$B$3+(C89-1)*7+(D89-1)</x:f>
        <x:v>46253</x:v>
      </x:c>
      <x:c r="B89" s="311" t="str">
        <x:v>2|3|5</x:v>
      </x:c>
      <x:c r="C89" s="311" t="n">
        <x:v>2</x:v>
      </x:c>
      <x:c r="D89" s="311" t="n">
        <x:v>3</x:v>
      </x:c>
      <x:c r="E89" s="311" t="str">
        <x:v>Accumulation</x:v>
      </x:c>
      <x:c r="F89" s="311" t="str">
        <x:v>Push A</x:v>
      </x:c>
      <x:c r="G89" s="311" t="str">
        <x:v>Chest strength + shoulder hypertrophy</x:v>
      </x:c>
      <x:c r="H89" s="311" t="n">
        <x:v>5</x:v>
      </x:c>
      <x:c r="I89" s="311" t="str">
        <x:v>Cable Fly</x:v>
      </x:c>
      <x:c r="J89" s="311" t="str">
        <x:v>Hypertrophy</x:v>
      </x:c>
      <x:c r="K89" s="311" t="str">
        <x:v>Chest</x:v>
      </x:c>
      <x:c r="L89" s="311" t="str">
        <x:v>Superset</x:v>
      </x:c>
      <x:c r="M89" s="311" t="str">
        <x:v>A1</x:v>
      </x:c>
      <x:c r="N89" s="311" t="n">
        <x:v>4</x:v>
      </x:c>
      <x:c r="O89" s="311" t="n">
        <x:v>12</x:v>
      </x:c>
      <x:c r="P89" s="311" t="n">
        <x:v>15</x:v>
      </x:c>
      <x:c r="Q89" s="311" t="n">
        <x:v>2</x:v>
      </x:c>
      <x:c r="R89" s="311" t="n">
        <x:v>30</x:v>
      </x:c>
      <x:c r="S89" s="311" t="str">
        <x:v>2-1-2</x:v>
      </x:c>
      <x:c r="T89" s="330" t="n">
        <x:v>1</x:v>
      </x:c>
      <x:c r="U89" s="330" t="n">
        <x:v>0</x:v>
      </x:c>
      <x:c r="V89" s="331" t="str">
        <x:v>load × reps</x:v>
      </x:c>
      <x:c r="W89" s="332" t="str">
        <x:f>'Readiness'!K15</x:f>
      </x:c>
      <x:c r="X89" s="314" t="n">
        <x:f>'Readiness'!L15</x:f>
        <x:v>1</x:v>
      </x:c>
      <x:c r="Y89" s="315" t="n">
        <x:f>IF(J89="Mobility",N89,MAX(1,ROUND(N89*X89,0)))</x:f>
        <x:v>4</x:v>
      </x:c>
      <x:c r="Z89" s="333" t="n">
        <x:f>ROUND((IF(AU33&gt;0,AU33,IF(Z33&gt;0,Z33,'Setup'!$D$31))*T89)/'Setup'!$B$9,0)*'Setup'!$B$9</x:f>
        <x:v>0</x:v>
      </x:c>
      <x:c r="AA89" s="334"/>
      <x:c r="AB89" s="334"/>
      <x:c r="AC89" s="334"/>
      <x:c r="AD89" s="334"/>
      <x:c r="AE89" s="334"/>
      <x:c r="AF89" s="334"/>
      <x:c r="AG89" s="334"/>
      <x:c r="AH89" s="334"/>
      <x:c r="AI89" s="334"/>
      <x:c r="AJ89" s="312"/>
      <x:c r="AK89" s="312"/>
      <x:c r="AL89" s="312"/>
      <x:c r="AM89" s="312"/>
      <x:c r="AN89" s="312"/>
      <x:c r="AO89" s="315" t="n">
        <x:f>COUNT(AB89,AD89,AF89,AH89,AJ89)</x:f>
        <x:v>0</x:v>
      </x:c>
      <x:c r="AP89" s="315" t="n">
        <x:f>SUM(AB89,AD89,AF89,AH89,AJ89)</x:f>
        <x:v>0</x:v>
      </x:c>
      <x:c r="AQ89" s="333" t="n">
        <x:f>AA89*AB89+AC89*AD89+AE89*AF89+AG89*AH89+AI89*AJ89</x:f>
        <x:v>0</x:v>
      </x:c>
      <x:c r="AR89" s="333" t="n">
        <x:f>IF(OR(J89="Strength",J89="Hypertrophy"),MAX(IF(AB89&gt;0,AA89*(1+AB89/30),0),IF(AD89&gt;0,AC89*(1+AD89/30),0),IF(AF89&gt;0,AE89*(1+AF89/30),0),IF(AH89&gt;0,AG89*(1+AH89/30),0),IF(AJ89&gt;0,AI89*(1+AJ89/30),0)),0)</x:f>
        <x:v>0</x:v>
      </x:c>
      <x:c r="AS89" s="315" t="str">
        <x:f>IF(AN89&lt;&gt;"Yes","Not logged",IF(AL89&gt;='Setup'!$B$14,"STOP / MODIFY",IF(Z89=0,"Complete",IF(OR(AO89=0,AK89=""),"Add set data + RIR",IF(AND(MAX(AB89,AD89,AF89,AH89,AJ89)&gt;=P89,AK89&gt;=Q89+1),"Progress",IF(OR(MAX(AB89,AD89,AF89,AH89,AJ89)&lt;O89,AK89&lt;Q89-1),"Regress","Hold"))))))</x:f>
        <x:v>Not logged</x:v>
      </x:c>
      <x:c r="AT89" s="335" t="n">
        <x:f>IF(OR(Z89=0,AN89&lt;&gt;"Yes",AO89=0,AK89=""),0,IF(AL89&gt;='Setup'!$B$14,-2*'Setup'!$B$11,IF(AND(MAX(AB89,AD89,AF89,AH89,AJ89)&gt;=P89,AK89&gt;=Q89+1),'Setup'!$B$10,IF(OR(MAX(AB89,AD89,AF89,AH89,AJ89)&lt;O89,AK89&lt;Q89-1),-'Setup'!$B$11,0))))</x:f>
        <x:v>0</x:v>
      </x:c>
      <x:c r="AU89" s="333" t="n">
        <x:f>IF(Z89=0,0,IF(AN89&lt;&gt;"Yes",Z89,IF(COUNT(AA89,AC89,AE89,AG89,AI89)=0,Z89,ROUND((MAX(AA89,AC89,AE89,AG89,AI89)*(1+AT89))/'Setup'!$B$9,0)*'Setup'!$B$9)))</x:f>
        <x:v>0</x:v>
      </x:c>
      <x:c r="AV89" s="336"/>
    </x:row>
    <x:row r="90">
      <x:c r="A90" s="310" t="n">
        <x:f>'Setup'!$B$3+(C90-1)*7+(D90-1)</x:f>
        <x:v>46253</x:v>
      </x:c>
      <x:c r="B90" s="311" t="str">
        <x:v>2|3|6</x:v>
      </x:c>
      <x:c r="C90" s="311" t="n">
        <x:v>2</x:v>
      </x:c>
      <x:c r="D90" s="311" t="n">
        <x:v>3</x:v>
      </x:c>
      <x:c r="E90" s="311" t="str">
        <x:v>Accumulation</x:v>
      </x:c>
      <x:c r="F90" s="311" t="str">
        <x:v>Push A</x:v>
      </x:c>
      <x:c r="G90" s="311" t="str">
        <x:v>Chest strength + shoulder hypertrophy</x:v>
      </x:c>
      <x:c r="H90" s="311" t="n">
        <x:v>6</x:v>
      </x:c>
      <x:c r="I90" s="311" t="str">
        <x:v>Cable Lateral Raise</x:v>
      </x:c>
      <x:c r="J90" s="311" t="str">
        <x:v>Hypertrophy</x:v>
      </x:c>
      <x:c r="K90" s="311" t="str">
        <x:v>Shoulders</x:v>
      </x:c>
      <x:c r="L90" s="311" t="str">
        <x:v>Superset</x:v>
      </x:c>
      <x:c r="M90" s="311" t="str">
        <x:v>A2</x:v>
      </x:c>
      <x:c r="N90" s="311" t="n">
        <x:v>4</x:v>
      </x:c>
      <x:c r="O90" s="311" t="n">
        <x:v>12</x:v>
      </x:c>
      <x:c r="P90" s="311" t="n">
        <x:v>20</x:v>
      </x:c>
      <x:c r="Q90" s="311" t="n">
        <x:v>2</x:v>
      </x:c>
      <x:c r="R90" s="311" t="n">
        <x:v>30</x:v>
      </x:c>
      <x:c r="S90" s="311" t="str">
        <x:v>2-1-2</x:v>
      </x:c>
      <x:c r="T90" s="330" t="n">
        <x:v>1</x:v>
      </x:c>
      <x:c r="U90" s="330" t="n">
        <x:v>0</x:v>
      </x:c>
      <x:c r="V90" s="331" t="str">
        <x:v>load × reps</x:v>
      </x:c>
      <x:c r="W90" s="332" t="str">
        <x:f>'Readiness'!K15</x:f>
      </x:c>
      <x:c r="X90" s="314" t="n">
        <x:f>'Readiness'!L15</x:f>
        <x:v>1</x:v>
      </x:c>
      <x:c r="Y90" s="315" t="n">
        <x:f>IF(J90="Mobility",N90,MAX(1,ROUND(N90*X90,0)))</x:f>
        <x:v>4</x:v>
      </x:c>
      <x:c r="Z90" s="333" t="n">
        <x:f>ROUND((IF(AU34&gt;0,AU34,IF(Z34&gt;0,Z34,'Setup'!$D$33))*T90)/'Setup'!$B$9,0)*'Setup'!$B$9</x:f>
        <x:v>0</x:v>
      </x:c>
      <x:c r="AA90" s="334"/>
      <x:c r="AB90" s="334"/>
      <x:c r="AC90" s="334"/>
      <x:c r="AD90" s="334"/>
      <x:c r="AE90" s="334"/>
      <x:c r="AF90" s="334"/>
      <x:c r="AG90" s="334"/>
      <x:c r="AH90" s="334"/>
      <x:c r="AI90" s="334"/>
      <x:c r="AJ90" s="312"/>
      <x:c r="AK90" s="312"/>
      <x:c r="AL90" s="312"/>
      <x:c r="AM90" s="312"/>
      <x:c r="AN90" s="312"/>
      <x:c r="AO90" s="315" t="n">
        <x:f>COUNT(AB90,AD90,AF90,AH90,AJ90)</x:f>
        <x:v>0</x:v>
      </x:c>
      <x:c r="AP90" s="315" t="n">
        <x:f>SUM(AB90,AD90,AF90,AH90,AJ90)</x:f>
        <x:v>0</x:v>
      </x:c>
      <x:c r="AQ90" s="333" t="n">
        <x:f>AA90*AB90+AC90*AD90+AE90*AF90+AG90*AH90+AI90*AJ90</x:f>
        <x:v>0</x:v>
      </x:c>
      <x:c r="AR90" s="333" t="n">
        <x:f>IF(OR(J90="Strength",J90="Hypertrophy"),MAX(IF(AB90&gt;0,AA90*(1+AB90/30),0),IF(AD90&gt;0,AC90*(1+AD90/30),0),IF(AF90&gt;0,AE90*(1+AF90/30),0),IF(AH90&gt;0,AG90*(1+AH90/30),0),IF(AJ90&gt;0,AI90*(1+AJ90/30),0)),0)</x:f>
        <x:v>0</x:v>
      </x:c>
      <x:c r="AS90" s="315" t="str">
        <x:f>IF(AN90&lt;&gt;"Yes","Not logged",IF(AL90&gt;='Setup'!$B$14,"STOP / MODIFY",IF(Z90=0,"Complete",IF(OR(AO90=0,AK90=""),"Add set data + RIR",IF(AND(MAX(AB90,AD90,AF90,AH90,AJ90)&gt;=P90,AK90&gt;=Q90+1),"Progress",IF(OR(MAX(AB90,AD90,AF90,AH90,AJ90)&lt;O90,AK90&lt;Q90-1),"Regress","Hold"))))))</x:f>
        <x:v>Not logged</x:v>
      </x:c>
      <x:c r="AT90" s="335" t="n">
        <x:f>IF(OR(Z90=0,AN90&lt;&gt;"Yes",AO90=0,AK90=""),0,IF(AL90&gt;='Setup'!$B$14,-2*'Setup'!$B$11,IF(AND(MAX(AB90,AD90,AF90,AH90,AJ90)&gt;=P90,AK90&gt;=Q90+1),'Setup'!$B$10,IF(OR(MAX(AB90,AD90,AF90,AH90,AJ90)&lt;O90,AK90&lt;Q90-1),-'Setup'!$B$11,0))))</x:f>
        <x:v>0</x:v>
      </x:c>
      <x:c r="AU90" s="333" t="n">
        <x:f>IF(Z90=0,0,IF(AN90&lt;&gt;"Yes",Z90,IF(COUNT(AA90,AC90,AE90,AG90,AI90)=0,Z90,ROUND((MAX(AA90,AC90,AE90,AG90,AI90)*(1+AT90))/'Setup'!$B$9,0)*'Setup'!$B$9)))</x:f>
        <x:v>0</x:v>
      </x:c>
      <x:c r="AV90" s="336"/>
    </x:row>
    <x:row r="91">
      <x:c r="A91" s="310" t="n">
        <x:f>'Setup'!$B$3+(C91-1)*7+(D91-1)</x:f>
        <x:v>46253</x:v>
      </x:c>
      <x:c r="B91" s="311" t="str">
        <x:v>2|3|7</x:v>
      </x:c>
      <x:c r="C91" s="311" t="n">
        <x:v>2</x:v>
      </x:c>
      <x:c r="D91" s="311" t="n">
        <x:v>3</x:v>
      </x:c>
      <x:c r="E91" s="311" t="str">
        <x:v>Accumulation</x:v>
      </x:c>
      <x:c r="F91" s="311" t="str">
        <x:v>Push A</x:v>
      </x:c>
      <x:c r="G91" s="311" t="str">
        <x:v>Chest strength + shoulder hypertrophy</x:v>
      </x:c>
      <x:c r="H91" s="311" t="n">
        <x:v>7</x:v>
      </x:c>
      <x:c r="I91" s="311" t="str">
        <x:v>Triceps Pressdown</x:v>
      </x:c>
      <x:c r="J91" s="311" t="str">
        <x:v>Hypertrophy</x:v>
      </x:c>
      <x:c r="K91" s="311" t="str">
        <x:v>Triceps</x:v>
      </x:c>
      <x:c r="L91" s="311" t="str">
        <x:v>Optional final-set drop if readiness is green</x:v>
      </x:c>
      <x:c r="M91" s="311"/>
      <x:c r="N91" s="311" t="n">
        <x:v>4</x:v>
      </x:c>
      <x:c r="O91" s="311" t="n">
        <x:v>10</x:v>
      </x:c>
      <x:c r="P91" s="311" t="n">
        <x:v>15</x:v>
      </x:c>
      <x:c r="Q91" s="311" t="n">
        <x:v>2</x:v>
      </x:c>
      <x:c r="R91" s="311" t="n">
        <x:v>60</x:v>
      </x:c>
      <x:c r="S91" s="311" t="str">
        <x:v>2-1-1</x:v>
      </x:c>
      <x:c r="T91" s="330" t="n">
        <x:v>1</x:v>
      </x:c>
      <x:c r="U91" s="330" t="n">
        <x:v>0</x:v>
      </x:c>
      <x:c r="V91" s="331" t="str">
        <x:v>load × reps</x:v>
      </x:c>
      <x:c r="W91" s="332" t="str">
        <x:f>'Readiness'!K15</x:f>
      </x:c>
      <x:c r="X91" s="314" t="n">
        <x:f>'Readiness'!L15</x:f>
        <x:v>1</x:v>
      </x:c>
      <x:c r="Y91" s="315" t="n">
        <x:f>IF(J91="Mobility",N91,MAX(1,ROUND(N91*X91,0)))</x:f>
        <x:v>4</x:v>
      </x:c>
      <x:c r="Z91" s="333" t="n">
        <x:f>ROUND((IF(AU35&gt;0,AU35,IF(Z35&gt;0,Z35,'Setup'!$D$92))*T91)/'Setup'!$B$9,0)*'Setup'!$B$9</x:f>
        <x:v>0</x:v>
      </x:c>
      <x:c r="AA91" s="334"/>
      <x:c r="AB91" s="334"/>
      <x:c r="AC91" s="334"/>
      <x:c r="AD91" s="334"/>
      <x:c r="AE91" s="334"/>
      <x:c r="AF91" s="334"/>
      <x:c r="AG91" s="334"/>
      <x:c r="AH91" s="334"/>
      <x:c r="AI91" s="334"/>
      <x:c r="AJ91" s="312"/>
      <x:c r="AK91" s="312"/>
      <x:c r="AL91" s="312"/>
      <x:c r="AM91" s="312"/>
      <x:c r="AN91" s="312"/>
      <x:c r="AO91" s="315" t="n">
        <x:f>COUNT(AB91,AD91,AF91,AH91,AJ91)</x:f>
        <x:v>0</x:v>
      </x:c>
      <x:c r="AP91" s="315" t="n">
        <x:f>SUM(AB91,AD91,AF91,AH91,AJ91)</x:f>
        <x:v>0</x:v>
      </x:c>
      <x:c r="AQ91" s="333" t="n">
        <x:f>AA91*AB91+AC91*AD91+AE91*AF91+AG91*AH91+AI91*AJ91</x:f>
        <x:v>0</x:v>
      </x:c>
      <x:c r="AR91" s="333" t="n">
        <x:f>IF(OR(J91="Strength",J91="Hypertrophy"),MAX(IF(AB91&gt;0,AA91*(1+AB91/30),0),IF(AD91&gt;0,AC91*(1+AD91/30),0),IF(AF91&gt;0,AE91*(1+AF91/30),0),IF(AH91&gt;0,AG91*(1+AH91/30),0),IF(AJ91&gt;0,AI91*(1+AJ91/30),0)),0)</x:f>
        <x:v>0</x:v>
      </x:c>
      <x:c r="AS91" s="315" t="str">
        <x:f>IF(AN91&lt;&gt;"Yes","Not logged",IF(AL91&gt;='Setup'!$B$14,"STOP / MODIFY",IF(Z91=0,"Complete",IF(OR(AO91=0,AK91=""),"Add set data + RIR",IF(AND(MAX(AB91,AD91,AF91,AH91,AJ91)&gt;=P91,AK91&gt;=Q91+1),"Progress",IF(OR(MAX(AB91,AD91,AF91,AH91,AJ91)&lt;O91,AK91&lt;Q91-1),"Regress","Hold"))))))</x:f>
        <x:v>Not logged</x:v>
      </x:c>
      <x:c r="AT91" s="335" t="n">
        <x:f>IF(OR(Z91=0,AN91&lt;&gt;"Yes",AO91=0,AK91=""),0,IF(AL91&gt;='Setup'!$B$14,-2*'Setup'!$B$11,IF(AND(MAX(AB91,AD91,AF91,AH91,AJ91)&gt;=P91,AK91&gt;=Q91+1),'Setup'!$B$10,IF(OR(MAX(AB91,AD91,AF91,AH91,AJ91)&lt;O91,AK91&lt;Q91-1),-'Setup'!$B$11,0))))</x:f>
        <x:v>0</x:v>
      </x:c>
      <x:c r="AU91" s="333" t="n">
        <x:f>IF(Z91=0,0,IF(AN91&lt;&gt;"Yes",Z91,IF(COUNT(AA91,AC91,AE91,AG91,AI91)=0,Z91,ROUND((MAX(AA91,AC91,AE91,AG91,AI91)*(1+AT91))/'Setup'!$B$9,0)*'Setup'!$B$9)))</x:f>
        <x:v>0</x:v>
      </x:c>
      <x:c r="AV91" s="336"/>
    </x:row>
    <x:row r="92">
      <x:c r="A92" s="310" t="n">
        <x:f>'Setup'!$B$3+(C92-1)*7+(D92-1)</x:f>
        <x:v>46253</x:v>
      </x:c>
      <x:c r="B92" s="311" t="str">
        <x:v>2|3|8</x:v>
      </x:c>
      <x:c r="C92" s="311" t="n">
        <x:v>2</x:v>
      </x:c>
      <x:c r="D92" s="311" t="n">
        <x:v>3</x:v>
      </x:c>
      <x:c r="E92" s="311" t="str">
        <x:v>Accumulation</x:v>
      </x:c>
      <x:c r="F92" s="311" t="str">
        <x:v>Push A</x:v>
      </x:c>
      <x:c r="G92" s="311" t="str">
        <x:v>Chest strength + shoulder hypertrophy</x:v>
      </x:c>
      <x:c r="H92" s="311" t="n">
        <x:v>8</x:v>
      </x:c>
      <x:c r="I92" s="311" t="str">
        <x:v>Serratus Wall Slide</x:v>
      </x:c>
      <x:c r="J92" s="311" t="str">
        <x:v>Mobility</x:v>
      </x:c>
      <x:c r="K92" s="311" t="str">
        <x:v>Shoulders</x:v>
      </x:c>
      <x:c r="L92" s="311" t="str">
        <x:v>Controlled mobility</x:v>
      </x:c>
      <x:c r="M92" s="311"/>
      <x:c r="N92" s="311" t="n">
        <x:v>2</x:v>
      </x:c>
      <x:c r="O92" s="311" t="n">
        <x:v>8</x:v>
      </x:c>
      <x:c r="P92" s="311" t="n">
        <x:v>10</x:v>
      </x:c>
      <x:c r="Q92" s="311"/>
      <x:c r="R92" s="311" t="n">
        <x:v>30</x:v>
      </x:c>
      <x:c r="S92" s="311" t="str">
        <x:v>Slow</x:v>
      </x:c>
      <x:c r="T92" s="330" t="n">
        <x:v>1</x:v>
      </x:c>
      <x:c r="U92" s="330" t="n">
        <x:v>0</x:v>
      </x:c>
      <x:c r="V92" s="331" t="str">
        <x:v>reps</x:v>
      </x:c>
      <x:c r="W92" s="332" t="str">
        <x:f>'Readiness'!K15</x:f>
      </x:c>
      <x:c r="X92" s="314" t="n">
        <x:f>'Readiness'!L15</x:f>
        <x:v>1</x:v>
      </x:c>
      <x:c r="Y92" s="315" t="n">
        <x:f>IF(J92="Mobility",N92,MAX(1,ROUND(N92*X92,0)))</x:f>
        <x:v>2</x:v>
      </x:c>
      <x:c r="Z92" s="333" t="n">
        <x:f>0</x:f>
        <x:v>0</x:v>
      </x:c>
      <x:c r="AA92" s="334"/>
      <x:c r="AB92" s="334"/>
      <x:c r="AC92" s="334"/>
      <x:c r="AD92" s="334"/>
      <x:c r="AE92" s="334"/>
      <x:c r="AF92" s="334"/>
      <x:c r="AG92" s="334"/>
      <x:c r="AH92" s="334"/>
      <x:c r="AI92" s="334"/>
      <x:c r="AJ92" s="312"/>
      <x:c r="AK92" s="312"/>
      <x:c r="AL92" s="312"/>
      <x:c r="AM92" s="312"/>
      <x:c r="AN92" s="312"/>
      <x:c r="AO92" s="315" t="n">
        <x:f>COUNT(AB92,AD92,AF92,AH92,AJ92)</x:f>
        <x:v>0</x:v>
      </x:c>
      <x:c r="AP92" s="315" t="n">
        <x:f>SUM(AB92,AD92,AF92,AH92,AJ92)</x:f>
        <x:v>0</x:v>
      </x:c>
      <x:c r="AQ92" s="333" t="n">
        <x:f>AA92*AB92+AC92*AD92+AE92*AF92+AG92*AH92+AI92*AJ92</x:f>
        <x:v>0</x:v>
      </x:c>
      <x:c r="AR92" s="333" t="n">
        <x:f>IF(OR(J92="Strength",J92="Hypertrophy"),MAX(IF(AB92&gt;0,AA92*(1+AB92/30),0),IF(AD92&gt;0,AC92*(1+AD92/30),0),IF(AF92&gt;0,AE92*(1+AF92/30),0),IF(AH92&gt;0,AG92*(1+AH92/30),0),IF(AJ92&gt;0,AI92*(1+AJ92/30),0)),0)</x:f>
        <x:v>0</x:v>
      </x:c>
      <x:c r="AS92" s="315" t="str">
        <x:f>IF(AN92&lt;&gt;"Yes","Not logged",IF(AL92&gt;='Setup'!$B$14,"STOP / MODIFY",IF(Z92=0,"Complete",IF(OR(AO92=0,AK92=""),"Add set data + RIR",IF(AND(MAX(AB92,AD92,AF92,AH92,AJ92)&gt;=P92,AK92&gt;=Q92+1),"Progress",IF(OR(MAX(AB92,AD92,AF92,AH92,AJ92)&lt;O92,AK92&lt;Q92-1),"Regress","Hold"))))))</x:f>
        <x:v>Not logged</x:v>
      </x:c>
      <x:c r="AT92" s="335" t="n">
        <x:f>IF(OR(Z92=0,AN92&lt;&gt;"Yes",AO92=0,AK92=""),0,IF(AL92&gt;='Setup'!$B$14,-2*'Setup'!$B$11,IF(AND(MAX(AB92,AD92,AF92,AH92,AJ92)&gt;=P92,AK92&gt;=Q92+1),'Setup'!$B$10,IF(OR(MAX(AB92,AD92,AF92,AH92,AJ92)&lt;O92,AK92&lt;Q92-1),-'Setup'!$B$11,0))))</x:f>
        <x:v>0</x:v>
      </x:c>
      <x:c r="AU92" s="333" t="n">
        <x:f>IF(Z92=0,0,IF(AN92&lt;&gt;"Yes",Z92,IF(COUNT(AA92,AC92,AE92,AG92,AI92)=0,Z92,ROUND((MAX(AA92,AC92,AE92,AG92,AI92)*(1+AT92))/'Setup'!$B$9,0)*'Setup'!$B$9)))</x:f>
        <x:v>0</x:v>
      </x:c>
      <x:c r="AV92" s="336"/>
    </x:row>
    <x:row r="93">
      <x:c r="A93" s="310" t="n">
        <x:f>'Setup'!$B$3+(C93-1)*7+(D93-1)</x:f>
        <x:v>46253</x:v>
      </x:c>
      <x:c r="B93" s="311" t="str">
        <x:v>2|3|9</x:v>
      </x:c>
      <x:c r="C93" s="311" t="n">
        <x:v>2</x:v>
      </x:c>
      <x:c r="D93" s="311" t="n">
        <x:v>3</x:v>
      </x:c>
      <x:c r="E93" s="311" t="str">
        <x:v>Accumulation</x:v>
      </x:c>
      <x:c r="F93" s="311" t="str">
        <x:v>Push A</x:v>
      </x:c>
      <x:c r="G93" s="311" t="str">
        <x:v>Chest strength + shoulder hypertrophy</x:v>
      </x:c>
      <x:c r="H93" s="311" t="n">
        <x:v>9</x:v>
      </x:c>
      <x:c r="I93" s="311" t="str">
        <x:v>Doorway Pec Stretch</x:v>
      </x:c>
      <x:c r="J93" s="311" t="str">
        <x:v>Mobility</x:v>
      </x:c>
      <x:c r="K93" s="311" t="str">
        <x:v>Chest</x:v>
      </x:c>
      <x:c r="L93" s="311" t="str">
        <x:v>Relaxed breathing</x:v>
      </x:c>
      <x:c r="M93" s="311"/>
      <x:c r="N93" s="311" t="n">
        <x:v>2</x:v>
      </x:c>
      <x:c r="O93" s="311" t="n">
        <x:v>30</x:v>
      </x:c>
      <x:c r="P93" s="311" t="n">
        <x:v>45</x:v>
      </x:c>
      <x:c r="Q93" s="311"/>
      <x:c r="R93" s="311" t="n">
        <x:v>20</x:v>
      </x:c>
      <x:c r="S93" s="311" t="str">
        <x:v>Hold</x:v>
      </x:c>
      <x:c r="T93" s="330" t="n">
        <x:v>1</x:v>
      </x:c>
      <x:c r="U93" s="330" t="n">
        <x:v>0</x:v>
      </x:c>
      <x:c r="V93" s="331" t="str">
        <x:v>seconds</x:v>
      </x:c>
      <x:c r="W93" s="332" t="str">
        <x:f>'Readiness'!K15</x:f>
      </x:c>
      <x:c r="X93" s="314" t="n">
        <x:f>'Readiness'!L15</x:f>
        <x:v>1</x:v>
      </x:c>
      <x:c r="Y93" s="315" t="n">
        <x:f>IF(J93="Mobility",N93,MAX(1,ROUND(N93*X93,0)))</x:f>
        <x:v>2</x:v>
      </x:c>
      <x:c r="Z93" s="333" t="n">
        <x:f>0</x:f>
        <x:v>0</x:v>
      </x:c>
      <x:c r="AA93" s="334"/>
      <x:c r="AB93" s="334"/>
      <x:c r="AC93" s="334"/>
      <x:c r="AD93" s="334"/>
      <x:c r="AE93" s="334"/>
      <x:c r="AF93" s="334"/>
      <x:c r="AG93" s="334"/>
      <x:c r="AH93" s="334"/>
      <x:c r="AI93" s="334"/>
      <x:c r="AJ93" s="312"/>
      <x:c r="AK93" s="312"/>
      <x:c r="AL93" s="312"/>
      <x:c r="AM93" s="312"/>
      <x:c r="AN93" s="312"/>
      <x:c r="AO93" s="315" t="n">
        <x:f>COUNT(AB93,AD93,AF93,AH93,AJ93)</x:f>
        <x:v>0</x:v>
      </x:c>
      <x:c r="AP93" s="315" t="n">
        <x:f>SUM(AB93,AD93,AF93,AH93,AJ93)</x:f>
        <x:v>0</x:v>
      </x:c>
      <x:c r="AQ93" s="333" t="n">
        <x:f>AA93*AB93+AC93*AD93+AE93*AF93+AG93*AH93+AI93*AJ93</x:f>
        <x:v>0</x:v>
      </x:c>
      <x:c r="AR93" s="333" t="n">
        <x:f>IF(OR(J93="Strength",J93="Hypertrophy"),MAX(IF(AB93&gt;0,AA93*(1+AB93/30),0),IF(AD93&gt;0,AC93*(1+AD93/30),0),IF(AF93&gt;0,AE93*(1+AF93/30),0),IF(AH93&gt;0,AG93*(1+AH93/30),0),IF(AJ93&gt;0,AI93*(1+AJ93/30),0)),0)</x:f>
        <x:v>0</x:v>
      </x:c>
      <x:c r="AS93" s="315" t="str">
        <x:f>IF(AN93&lt;&gt;"Yes","Not logged",IF(AL93&gt;='Setup'!$B$14,"STOP / MODIFY",IF(Z93=0,"Complete",IF(OR(AO93=0,AK93=""),"Add set data + RIR",IF(AND(MAX(AB93,AD93,AF93,AH93,AJ93)&gt;=P93,AK93&gt;=Q93+1),"Progress",IF(OR(MAX(AB93,AD93,AF93,AH93,AJ93)&lt;O93,AK93&lt;Q93-1),"Regress","Hold"))))))</x:f>
        <x:v>Not logged</x:v>
      </x:c>
      <x:c r="AT93" s="335" t="n">
        <x:f>IF(OR(Z93=0,AN93&lt;&gt;"Yes",AO93=0,AK93=""),0,IF(AL93&gt;='Setup'!$B$14,-2*'Setup'!$B$11,IF(AND(MAX(AB93,AD93,AF93,AH93,AJ93)&gt;=P93,AK93&gt;=Q93+1),'Setup'!$B$10,IF(OR(MAX(AB93,AD93,AF93,AH93,AJ93)&lt;O93,AK93&lt;Q93-1),-'Setup'!$B$11,0))))</x:f>
        <x:v>0</x:v>
      </x:c>
      <x:c r="AU93" s="333" t="n">
        <x:f>IF(Z93=0,0,IF(AN93&lt;&gt;"Yes",Z93,IF(COUNT(AA93,AC93,AE93,AG93,AI93)=0,Z93,ROUND((MAX(AA93,AC93,AE93,AG93,AI93)*(1+AT93))/'Setup'!$B$9,0)*'Setup'!$B$9)))</x:f>
        <x:v>0</x:v>
      </x:c>
      <x:c r="AV93" s="336"/>
    </x:row>
    <x:row r="94">
      <x:c r="A94" s="310" t="n">
        <x:f>'Setup'!$B$3+(C94-1)*7+(D94-1)</x:f>
        <x:v>46254</x:v>
      </x:c>
      <x:c r="B94" s="311" t="str">
        <x:v>2|4|1</x:v>
      </x:c>
      <x:c r="C94" s="311" t="n">
        <x:v>2</x:v>
      </x:c>
      <x:c r="D94" s="311" t="n">
        <x:v>4</x:v>
      </x:c>
      <x:c r="E94" s="311" t="str">
        <x:v>Accumulation</x:v>
      </x:c>
      <x:c r="F94" s="311" t="str">
        <x:v>Pull B</x:v>
      </x:c>
      <x:c r="G94" s="311" t="str">
        <x:v>Back width + arm volume</x:v>
      </x:c>
      <x:c r="H94" s="311" t="n">
        <x:v>1</x:v>
      </x:c>
      <x:c r="I94" s="311" t="str">
        <x:v>Medicine Ball Slam</x:v>
      </x:c>
      <x:c r="J94" s="311" t="str">
        <x:v>Power</x:v>
      </x:c>
      <x:c r="K94" s="311" t="str">
        <x:v>Back</x:v>
      </x:c>
      <x:c r="L94" s="311" t="str">
        <x:v>Max intent, full reset</x:v>
      </x:c>
      <x:c r="M94" s="311"/>
      <x:c r="N94" s="311" t="n">
        <x:v>4</x:v>
      </x:c>
      <x:c r="O94" s="311" t="n">
        <x:v>4</x:v>
      </x:c>
      <x:c r="P94" s="311" t="n">
        <x:v>4</x:v>
      </x:c>
      <x:c r="Q94" s="311" t="n">
        <x:v>2</x:v>
      </x:c>
      <x:c r="R94" s="311" t="n">
        <x:v>60</x:v>
      </x:c>
      <x:c r="S94" s="311" t="str">
        <x:v>Explosive</x:v>
      </x:c>
      <x:c r="T94" s="330" t="n">
        <x:v>1</x:v>
      </x:c>
      <x:c r="U94" s="330" t="n">
        <x:v>0</x:v>
      </x:c>
      <x:c r="V94" s="331" t="str">
        <x:v>throw quality</x:v>
      </x:c>
      <x:c r="W94" s="332" t="str">
        <x:f>'Readiness'!K16</x:f>
      </x:c>
      <x:c r="X94" s="314" t="n">
        <x:f>'Readiness'!L16</x:f>
        <x:v>1</x:v>
      </x:c>
      <x:c r="Y94" s="315" t="n">
        <x:f>IF(J94="Mobility",N94,MAX(1,ROUND(N94*X94,0)))</x:f>
        <x:v>4</x:v>
      </x:c>
      <x:c r="Z94" s="333" t="n">
        <x:f>0</x:f>
        <x:v>0</x:v>
      </x:c>
      <x:c r="AA94" s="334"/>
      <x:c r="AB94" s="334"/>
      <x:c r="AC94" s="334"/>
      <x:c r="AD94" s="334"/>
      <x:c r="AE94" s="334"/>
      <x:c r="AF94" s="334"/>
      <x:c r="AG94" s="334"/>
      <x:c r="AH94" s="334"/>
      <x:c r="AI94" s="334"/>
      <x:c r="AJ94" s="312"/>
      <x:c r="AK94" s="312"/>
      <x:c r="AL94" s="312"/>
      <x:c r="AM94" s="312"/>
      <x:c r="AN94" s="312"/>
      <x:c r="AO94" s="315" t="n">
        <x:f>COUNT(AB94,AD94,AF94,AH94,AJ94)</x:f>
        <x:v>0</x:v>
      </x:c>
      <x:c r="AP94" s="315" t="n">
        <x:f>SUM(AB94,AD94,AF94,AH94,AJ94)</x:f>
        <x:v>0</x:v>
      </x:c>
      <x:c r="AQ94" s="333" t="n">
        <x:f>AA94*AB94+AC94*AD94+AE94*AF94+AG94*AH94+AI94*AJ94</x:f>
        <x:v>0</x:v>
      </x:c>
      <x:c r="AR94" s="333" t="n">
        <x:f>IF(OR(J94="Strength",J94="Hypertrophy"),MAX(IF(AB94&gt;0,AA94*(1+AB94/30),0),IF(AD94&gt;0,AC94*(1+AD94/30),0),IF(AF94&gt;0,AE94*(1+AF94/30),0),IF(AH94&gt;0,AG94*(1+AH94/30),0),IF(AJ94&gt;0,AI94*(1+AJ94/30),0)),0)</x:f>
        <x:v>0</x:v>
      </x:c>
      <x:c r="AS94" s="315" t="str">
        <x:f>IF(AN94&lt;&gt;"Yes","Not logged",IF(AL94&gt;='Setup'!$B$14,"STOP / MODIFY",IF(Z94=0,"Complete",IF(OR(AO94=0,AK94=""),"Add set data + RIR",IF(AND(MAX(AB94,AD94,AF94,AH94,AJ94)&gt;=P94,AK94&gt;=Q94+1),"Progress",IF(OR(MAX(AB94,AD94,AF94,AH94,AJ94)&lt;O94,AK94&lt;Q94-1),"Regress","Hold"))))))</x:f>
        <x:v>Not logged</x:v>
      </x:c>
      <x:c r="AT94" s="335" t="n">
        <x:f>IF(OR(Z94=0,AN94&lt;&gt;"Yes",AO94=0,AK94=""),0,IF(AL94&gt;='Setup'!$B$14,-2*'Setup'!$B$11,IF(AND(MAX(AB94,AD94,AF94,AH94,AJ94)&gt;=P94,AK94&gt;=Q94+1),'Setup'!$B$10,IF(OR(MAX(AB94,AD94,AF94,AH94,AJ94)&lt;O94,AK94&lt;Q94-1),-'Setup'!$B$11,0))))</x:f>
        <x:v>0</x:v>
      </x:c>
      <x:c r="AU94" s="333" t="n">
        <x:f>IF(Z94=0,0,IF(AN94&lt;&gt;"Yes",Z94,IF(COUNT(AA94,AC94,AE94,AG94,AI94)=0,Z94,ROUND((MAX(AA94,AC94,AE94,AG94,AI94)*(1+AT94))/'Setup'!$B$9,0)*'Setup'!$B$9)))</x:f>
        <x:v>0</x:v>
      </x:c>
      <x:c r="AV94" s="336"/>
    </x:row>
    <x:row r="95">
      <x:c r="A95" s="310" t="n">
        <x:f>'Setup'!$B$3+(C95-1)*7+(D95-1)</x:f>
        <x:v>46254</x:v>
      </x:c>
      <x:c r="B95" s="311" t="str">
        <x:v>2|4|2</x:v>
      </x:c>
      <x:c r="C95" s="311" t="n">
        <x:v>2</x:v>
      </x:c>
      <x:c r="D95" s="311" t="n">
        <x:v>4</x:v>
      </x:c>
      <x:c r="E95" s="311" t="str">
        <x:v>Accumulation</x:v>
      </x:c>
      <x:c r="F95" s="311" t="str">
        <x:v>Pull B</x:v>
      </x:c>
      <x:c r="G95" s="311" t="str">
        <x:v>Back width + arm volume</x:v>
      </x:c>
      <x:c r="H95" s="311" t="n">
        <x:v>2</x:v>
      </x:c>
      <x:c r="I95" s="311" t="str">
        <x:v>Neutral-Grip Lat Pulldown</x:v>
      </x:c>
      <x:c r="J95" s="311" t="str">
        <x:v>Hypertrophy</x:v>
      </x:c>
      <x:c r="K95" s="311" t="str">
        <x:v>Back</x:v>
      </x:c>
      <x:c r="L95" s="311" t="str">
        <x:v>Straight sets</x:v>
      </x:c>
      <x:c r="M95" s="311"/>
      <x:c r="N95" s="311" t="n">
        <x:v>5</x:v>
      </x:c>
      <x:c r="O95" s="311" t="n">
        <x:v>8</x:v>
      </x:c>
      <x:c r="P95" s="311" t="n">
        <x:v>10</x:v>
      </x:c>
      <x:c r="Q95" s="311" t="n">
        <x:v>2</x:v>
      </x:c>
      <x:c r="R95" s="311" t="n">
        <x:v>90</x:v>
      </x:c>
      <x:c r="S95" s="311" t="str">
        <x:v>2-1-1</x:v>
      </x:c>
      <x:c r="T95" s="330" t="n">
        <x:v>1</x:v>
      </x:c>
      <x:c r="U95" s="330" t="n">
        <x:v>0</x:v>
      </x:c>
      <x:c r="V95" s="331" t="str">
        <x:v>load × reps</x:v>
      </x:c>
      <x:c r="W95" s="332" t="str">
        <x:f>'Readiness'!K16</x:f>
      </x:c>
      <x:c r="X95" s="314" t="n">
        <x:f>'Readiness'!L16</x:f>
        <x:v>1</x:v>
      </x:c>
      <x:c r="Y95" s="315" t="n">
        <x:f>IF(J95="Mobility",N95,MAX(1,ROUND(N95*X95,0)))</x:f>
        <x:v>5</x:v>
      </x:c>
      <x:c r="Z95" s="333" t="n">
        <x:f>ROUND((IF(AU39&gt;0,AU39,IF(Z39&gt;0,Z39,'Setup'!$D$65))*T95)/'Setup'!$B$9,0)*'Setup'!$B$9</x:f>
        <x:v>0</x:v>
      </x:c>
      <x:c r="AA95" s="334"/>
      <x:c r="AB95" s="334"/>
      <x:c r="AC95" s="334"/>
      <x:c r="AD95" s="334"/>
      <x:c r="AE95" s="334"/>
      <x:c r="AF95" s="334"/>
      <x:c r="AG95" s="334"/>
      <x:c r="AH95" s="334"/>
      <x:c r="AI95" s="334"/>
      <x:c r="AJ95" s="312"/>
      <x:c r="AK95" s="312"/>
      <x:c r="AL95" s="312"/>
      <x:c r="AM95" s="312"/>
      <x:c r="AN95" s="312"/>
      <x:c r="AO95" s="315" t="n">
        <x:f>COUNT(AB95,AD95,AF95,AH95,AJ95)</x:f>
        <x:v>0</x:v>
      </x:c>
      <x:c r="AP95" s="315" t="n">
        <x:f>SUM(AB95,AD95,AF95,AH95,AJ95)</x:f>
        <x:v>0</x:v>
      </x:c>
      <x:c r="AQ95" s="333" t="n">
        <x:f>AA95*AB95+AC95*AD95+AE95*AF95+AG95*AH95+AI95*AJ95</x:f>
        <x:v>0</x:v>
      </x:c>
      <x:c r="AR95" s="333" t="n">
        <x:f>IF(OR(J95="Strength",J95="Hypertrophy"),MAX(IF(AB95&gt;0,AA95*(1+AB95/30),0),IF(AD95&gt;0,AC95*(1+AD95/30),0),IF(AF95&gt;0,AE95*(1+AF95/30),0),IF(AH95&gt;0,AG95*(1+AH95/30),0),IF(AJ95&gt;0,AI95*(1+AJ95/30),0)),0)</x:f>
        <x:v>0</x:v>
      </x:c>
      <x:c r="AS95" s="315" t="str">
        <x:f>IF(AN95&lt;&gt;"Yes","Not logged",IF(AL95&gt;='Setup'!$B$14,"STOP / MODIFY",IF(Z95=0,"Complete",IF(OR(AO95=0,AK95=""),"Add set data + RIR",IF(AND(MAX(AB95,AD95,AF95,AH95,AJ95)&gt;=P95,AK95&gt;=Q95+1),"Progress",IF(OR(MAX(AB95,AD95,AF95,AH95,AJ95)&lt;O95,AK95&lt;Q95-1),"Regress","Hold"))))))</x:f>
        <x:v>Not logged</x:v>
      </x:c>
      <x:c r="AT95" s="335" t="n">
        <x:f>IF(OR(Z95=0,AN95&lt;&gt;"Yes",AO95=0,AK95=""),0,IF(AL95&gt;='Setup'!$B$14,-2*'Setup'!$B$11,IF(AND(MAX(AB95,AD95,AF95,AH95,AJ95)&gt;=P95,AK95&gt;=Q95+1),'Setup'!$B$10,IF(OR(MAX(AB95,AD95,AF95,AH95,AJ95)&lt;O95,AK95&lt;Q95-1),-'Setup'!$B$11,0))))</x:f>
        <x:v>0</x:v>
      </x:c>
      <x:c r="AU95" s="333" t="n">
        <x:f>IF(Z95=0,0,IF(AN95&lt;&gt;"Yes",Z95,IF(COUNT(AA95,AC95,AE95,AG95,AI95)=0,Z95,ROUND((MAX(AA95,AC95,AE95,AG95,AI95)*(1+AT95))/'Setup'!$B$9,0)*'Setup'!$B$9)))</x:f>
        <x:v>0</x:v>
      </x:c>
      <x:c r="AV95" s="336"/>
    </x:row>
    <x:row r="96">
      <x:c r="A96" s="310" t="n">
        <x:f>'Setup'!$B$3+(C96-1)*7+(D96-1)</x:f>
        <x:v>46254</x:v>
      </x:c>
      <x:c r="B96" s="311" t="str">
        <x:v>2|4|3</x:v>
      </x:c>
      <x:c r="C96" s="311" t="n">
        <x:v>2</x:v>
      </x:c>
      <x:c r="D96" s="311" t="n">
        <x:v>4</x:v>
      </x:c>
      <x:c r="E96" s="311" t="str">
        <x:v>Accumulation</x:v>
      </x:c>
      <x:c r="F96" s="311" t="str">
        <x:v>Pull B</x:v>
      </x:c>
      <x:c r="G96" s="311" t="str">
        <x:v>Back width + arm volume</x:v>
      </x:c>
      <x:c r="H96" s="311" t="n">
        <x:v>3</x:v>
      </x:c>
      <x:c r="I96" s="311" t="str">
        <x:v>One-Arm Cable Row</x:v>
      </x:c>
      <x:c r="J96" s="311" t="str">
        <x:v>Hypertrophy</x:v>
      </x:c>
      <x:c r="K96" s="311" t="str">
        <x:v>Back</x:v>
      </x:c>
      <x:c r="L96" s="311" t="str">
        <x:v>Straight sets</x:v>
      </x:c>
      <x:c r="M96" s="311"/>
      <x:c r="N96" s="311" t="n">
        <x:v>4</x:v>
      </x:c>
      <x:c r="O96" s="311" t="n">
        <x:v>10</x:v>
      </x:c>
      <x:c r="P96" s="311" t="n">
        <x:v>12</x:v>
      </x:c>
      <x:c r="Q96" s="311" t="n">
        <x:v>2</x:v>
      </x:c>
      <x:c r="R96" s="311" t="n">
        <x:v>75</x:v>
      </x:c>
      <x:c r="S96" s="311" t="str">
        <x:v>2-1-1</x:v>
      </x:c>
      <x:c r="T96" s="330" t="n">
        <x:v>1</x:v>
      </x:c>
      <x:c r="U96" s="330" t="n">
        <x:v>0</x:v>
      </x:c>
      <x:c r="V96" s="331" t="str">
        <x:v>load × reps</x:v>
      </x:c>
      <x:c r="W96" s="332" t="str">
        <x:f>'Readiness'!K16</x:f>
      </x:c>
      <x:c r="X96" s="314" t="n">
        <x:f>'Readiness'!L16</x:f>
        <x:v>1</x:v>
      </x:c>
      <x:c r="Y96" s="315" t="n">
        <x:f>IF(J96="Mobility",N96,MAX(1,ROUND(N96*X96,0)))</x:f>
        <x:v>4</x:v>
      </x:c>
      <x:c r="Z96" s="333" t="n">
        <x:f>ROUND((IF(AU40&gt;0,AU40,IF(Z40&gt;0,Z40,'Setup'!$D$67))*T96)/'Setup'!$B$9,0)*'Setup'!$B$9</x:f>
        <x:v>0</x:v>
      </x:c>
      <x:c r="AA96" s="334"/>
      <x:c r="AB96" s="334"/>
      <x:c r="AC96" s="334"/>
      <x:c r="AD96" s="334"/>
      <x:c r="AE96" s="334"/>
      <x:c r="AF96" s="334"/>
      <x:c r="AG96" s="334"/>
      <x:c r="AH96" s="334"/>
      <x:c r="AI96" s="334"/>
      <x:c r="AJ96" s="312"/>
      <x:c r="AK96" s="312"/>
      <x:c r="AL96" s="312"/>
      <x:c r="AM96" s="312"/>
      <x:c r="AN96" s="312"/>
      <x:c r="AO96" s="315" t="n">
        <x:f>COUNT(AB96,AD96,AF96,AH96,AJ96)</x:f>
        <x:v>0</x:v>
      </x:c>
      <x:c r="AP96" s="315" t="n">
        <x:f>SUM(AB96,AD96,AF96,AH96,AJ96)</x:f>
        <x:v>0</x:v>
      </x:c>
      <x:c r="AQ96" s="333" t="n">
        <x:f>AA96*AB96+AC96*AD96+AE96*AF96+AG96*AH96+AI96*AJ96</x:f>
        <x:v>0</x:v>
      </x:c>
      <x:c r="AR96" s="333" t="n">
        <x:f>IF(OR(J96="Strength",J96="Hypertrophy"),MAX(IF(AB96&gt;0,AA96*(1+AB96/30),0),IF(AD96&gt;0,AC96*(1+AD96/30),0),IF(AF96&gt;0,AE96*(1+AF96/30),0),IF(AH96&gt;0,AG96*(1+AH96/30),0),IF(AJ96&gt;0,AI96*(1+AJ96/30),0)),0)</x:f>
        <x:v>0</x:v>
      </x:c>
      <x:c r="AS96" s="315" t="str">
        <x:f>IF(AN96&lt;&gt;"Yes","Not logged",IF(AL96&gt;='Setup'!$B$14,"STOP / MODIFY",IF(Z96=0,"Complete",IF(OR(AO96=0,AK96=""),"Add set data + RIR",IF(AND(MAX(AB96,AD96,AF96,AH96,AJ96)&gt;=P96,AK96&gt;=Q96+1),"Progress",IF(OR(MAX(AB96,AD96,AF96,AH96,AJ96)&lt;O96,AK96&lt;Q96-1),"Regress","Hold"))))))</x:f>
        <x:v>Not logged</x:v>
      </x:c>
      <x:c r="AT96" s="335" t="n">
        <x:f>IF(OR(Z96=0,AN96&lt;&gt;"Yes",AO96=0,AK96=""),0,IF(AL96&gt;='Setup'!$B$14,-2*'Setup'!$B$11,IF(AND(MAX(AB96,AD96,AF96,AH96,AJ96)&gt;=P96,AK96&gt;=Q96+1),'Setup'!$B$10,IF(OR(MAX(AB96,AD96,AF96,AH96,AJ96)&lt;O96,AK96&lt;Q96-1),-'Setup'!$B$11,0))))</x:f>
        <x:v>0</x:v>
      </x:c>
      <x:c r="AU96" s="333" t="n">
        <x:f>IF(Z96=0,0,IF(AN96&lt;&gt;"Yes",Z96,IF(COUNT(AA96,AC96,AE96,AG96,AI96)=0,Z96,ROUND((MAX(AA96,AC96,AE96,AG96,AI96)*(1+AT96))/'Setup'!$B$9,0)*'Setup'!$B$9)))</x:f>
        <x:v>0</x:v>
      </x:c>
      <x:c r="AV96" s="336"/>
    </x:row>
    <x:row r="97">
      <x:c r="A97" s="310" t="n">
        <x:f>'Setup'!$B$3+(C97-1)*7+(D97-1)</x:f>
        <x:v>46254</x:v>
      </x:c>
      <x:c r="B97" s="311" t="str">
        <x:v>2|4|4</x:v>
      </x:c>
      <x:c r="C97" s="311" t="n">
        <x:v>2</x:v>
      </x:c>
      <x:c r="D97" s="311" t="n">
        <x:v>4</x:v>
      </x:c>
      <x:c r="E97" s="311" t="str">
        <x:v>Accumulation</x:v>
      </x:c>
      <x:c r="F97" s="311" t="str">
        <x:v>Pull B</x:v>
      </x:c>
      <x:c r="G97" s="311" t="str">
        <x:v>Back width + arm volume</x:v>
      </x:c>
      <x:c r="H97" s="311" t="n">
        <x:v>4</x:v>
      </x:c>
      <x:c r="I97" s="311" t="str">
        <x:v>Machine High Row</x:v>
      </x:c>
      <x:c r="J97" s="311" t="str">
        <x:v>Hypertrophy</x:v>
      </x:c>
      <x:c r="K97" s="311" t="str">
        <x:v>Back</x:v>
      </x:c>
      <x:c r="L97" s="311" t="str">
        <x:v>Straight sets</x:v>
      </x:c>
      <x:c r="M97" s="311"/>
      <x:c r="N97" s="311" t="n">
        <x:v>4</x:v>
      </x:c>
      <x:c r="O97" s="311" t="n">
        <x:v>8</x:v>
      </x:c>
      <x:c r="P97" s="311" t="n">
        <x:v>12</x:v>
      </x:c>
      <x:c r="Q97" s="311" t="n">
        <x:v>2</x:v>
      </x:c>
      <x:c r="R97" s="311" t="n">
        <x:v>90</x:v>
      </x:c>
      <x:c r="S97" s="311" t="str">
        <x:v>2-1-1</x:v>
      </x:c>
      <x:c r="T97" s="330" t="n">
        <x:v>1</x:v>
      </x:c>
      <x:c r="U97" s="330" t="n">
        <x:v>0</x:v>
      </x:c>
      <x:c r="V97" s="331" t="str">
        <x:v>load × reps</x:v>
      </x:c>
      <x:c r="W97" s="332" t="str">
        <x:f>'Readiness'!K16</x:f>
      </x:c>
      <x:c r="X97" s="314" t="n">
        <x:f>'Readiness'!L16</x:f>
        <x:v>1</x:v>
      </x:c>
      <x:c r="Y97" s="315" t="n">
        <x:f>IF(J97="Mobility",N97,MAX(1,ROUND(N97*X97,0)))</x:f>
        <x:v>4</x:v>
      </x:c>
      <x:c r="Z97" s="333" t="n">
        <x:f>ROUND((IF(AU41&gt;0,AU41,IF(Z41&gt;0,Z41,'Setup'!$D$61))*T97)/'Setup'!$B$9,0)*'Setup'!$B$9</x:f>
        <x:v>0</x:v>
      </x:c>
      <x:c r="AA97" s="334"/>
      <x:c r="AB97" s="334"/>
      <x:c r="AC97" s="334"/>
      <x:c r="AD97" s="334"/>
      <x:c r="AE97" s="334"/>
      <x:c r="AF97" s="334"/>
      <x:c r="AG97" s="334"/>
      <x:c r="AH97" s="334"/>
      <x:c r="AI97" s="334"/>
      <x:c r="AJ97" s="312"/>
      <x:c r="AK97" s="312"/>
      <x:c r="AL97" s="312"/>
      <x:c r="AM97" s="312"/>
      <x:c r="AN97" s="312"/>
      <x:c r="AO97" s="315" t="n">
        <x:f>COUNT(AB97,AD97,AF97,AH97,AJ97)</x:f>
        <x:v>0</x:v>
      </x:c>
      <x:c r="AP97" s="315" t="n">
        <x:f>SUM(AB97,AD97,AF97,AH97,AJ97)</x:f>
        <x:v>0</x:v>
      </x:c>
      <x:c r="AQ97" s="333" t="n">
        <x:f>AA97*AB97+AC97*AD97+AE97*AF97+AG97*AH97+AI97*AJ97</x:f>
        <x:v>0</x:v>
      </x:c>
      <x:c r="AR97" s="333" t="n">
        <x:f>IF(OR(J97="Strength",J97="Hypertrophy"),MAX(IF(AB97&gt;0,AA97*(1+AB97/30),0),IF(AD97&gt;0,AC97*(1+AD97/30),0),IF(AF97&gt;0,AE97*(1+AF97/30),0),IF(AH97&gt;0,AG97*(1+AH97/30),0),IF(AJ97&gt;0,AI97*(1+AJ97/30),0)),0)</x:f>
        <x:v>0</x:v>
      </x:c>
      <x:c r="AS97" s="315" t="str">
        <x:f>IF(AN97&lt;&gt;"Yes","Not logged",IF(AL97&gt;='Setup'!$B$14,"STOP / MODIFY",IF(Z97=0,"Complete",IF(OR(AO97=0,AK97=""),"Add set data + RIR",IF(AND(MAX(AB97,AD97,AF97,AH97,AJ97)&gt;=P97,AK97&gt;=Q97+1),"Progress",IF(OR(MAX(AB97,AD97,AF97,AH97,AJ97)&lt;O97,AK97&lt;Q97-1),"Regress","Hold"))))))</x:f>
        <x:v>Not logged</x:v>
      </x:c>
      <x:c r="AT97" s="335" t="n">
        <x:f>IF(OR(Z97=0,AN97&lt;&gt;"Yes",AO97=0,AK97=""),0,IF(AL97&gt;='Setup'!$B$14,-2*'Setup'!$B$11,IF(AND(MAX(AB97,AD97,AF97,AH97,AJ97)&gt;=P97,AK97&gt;=Q97+1),'Setup'!$B$10,IF(OR(MAX(AB97,AD97,AF97,AH97,AJ97)&lt;O97,AK97&lt;Q97-1),-'Setup'!$B$11,0))))</x:f>
        <x:v>0</x:v>
      </x:c>
      <x:c r="AU97" s="333" t="n">
        <x:f>IF(Z97=0,0,IF(AN97&lt;&gt;"Yes",Z97,IF(COUNT(AA97,AC97,AE97,AG97,AI97)=0,Z97,ROUND((MAX(AA97,AC97,AE97,AG97,AI97)*(1+AT97))/'Setup'!$B$9,0)*'Setup'!$B$9)))</x:f>
        <x:v>0</x:v>
      </x:c>
      <x:c r="AV97" s="336"/>
    </x:row>
    <x:row r="98">
      <x:c r="A98" s="310" t="n">
        <x:f>'Setup'!$B$3+(C98-1)*7+(D98-1)</x:f>
        <x:v>46254</x:v>
      </x:c>
      <x:c r="B98" s="311" t="str">
        <x:v>2|4|5</x:v>
      </x:c>
      <x:c r="C98" s="311" t="n">
        <x:v>2</x:v>
      </x:c>
      <x:c r="D98" s="311" t="n">
        <x:v>4</x:v>
      </x:c>
      <x:c r="E98" s="311" t="str">
        <x:v>Accumulation</x:v>
      </x:c>
      <x:c r="F98" s="311" t="str">
        <x:v>Pull B</x:v>
      </x:c>
      <x:c r="G98" s="311" t="str">
        <x:v>Back width + arm volume</x:v>
      </x:c>
      <x:c r="H98" s="311" t="n">
        <x:v>5</x:v>
      </x:c>
      <x:c r="I98" s="311" t="str">
        <x:v>Straight-Arm Pulldown</x:v>
      </x:c>
      <x:c r="J98" s="311" t="str">
        <x:v>Hypertrophy</x:v>
      </x:c>
      <x:c r="K98" s="311" t="str">
        <x:v>Back</x:v>
      </x:c>
      <x:c r="L98" s="311" t="str">
        <x:v>Straight sets</x:v>
      </x:c>
      <x:c r="M98" s="311"/>
      <x:c r="N98" s="311" t="n">
        <x:v>4</x:v>
      </x:c>
      <x:c r="O98" s="311" t="n">
        <x:v>12</x:v>
      </x:c>
      <x:c r="P98" s="311" t="n">
        <x:v>15</x:v>
      </x:c>
      <x:c r="Q98" s="311" t="n">
        <x:v>2</x:v>
      </x:c>
      <x:c r="R98" s="311" t="n">
        <x:v>60</x:v>
      </x:c>
      <x:c r="S98" s="311" t="str">
        <x:v>3-1-1</x:v>
      </x:c>
      <x:c r="T98" s="330" t="n">
        <x:v>1</x:v>
      </x:c>
      <x:c r="U98" s="330" t="n">
        <x:v>0</x:v>
      </x:c>
      <x:c r="V98" s="331" t="str">
        <x:v>load × reps</x:v>
      </x:c>
      <x:c r="W98" s="332" t="str">
        <x:f>'Readiness'!K16</x:f>
      </x:c>
      <x:c r="X98" s="314" t="n">
        <x:f>'Readiness'!L16</x:f>
        <x:v>1</x:v>
      </x:c>
      <x:c r="Y98" s="315" t="n">
        <x:f>IF(J98="Mobility",N98,MAX(1,ROUND(N98*X98,0)))</x:f>
        <x:v>4</x:v>
      </x:c>
      <x:c r="Z98" s="333" t="n">
        <x:f>ROUND((IF(AU42&gt;0,AU42,IF(Z42&gt;0,Z42,'Setup'!$D$91))*T98)/'Setup'!$B$9,0)*'Setup'!$B$9</x:f>
        <x:v>0</x:v>
      </x:c>
      <x:c r="AA98" s="334"/>
      <x:c r="AB98" s="334"/>
      <x:c r="AC98" s="334"/>
      <x:c r="AD98" s="334"/>
      <x:c r="AE98" s="334"/>
      <x:c r="AF98" s="334"/>
      <x:c r="AG98" s="334"/>
      <x:c r="AH98" s="334"/>
      <x:c r="AI98" s="334"/>
      <x:c r="AJ98" s="312"/>
      <x:c r="AK98" s="312"/>
      <x:c r="AL98" s="312"/>
      <x:c r="AM98" s="312"/>
      <x:c r="AN98" s="312"/>
      <x:c r="AO98" s="315" t="n">
        <x:f>COUNT(AB98,AD98,AF98,AH98,AJ98)</x:f>
        <x:v>0</x:v>
      </x:c>
      <x:c r="AP98" s="315" t="n">
        <x:f>SUM(AB98,AD98,AF98,AH98,AJ98)</x:f>
        <x:v>0</x:v>
      </x:c>
      <x:c r="AQ98" s="333" t="n">
        <x:f>AA98*AB98+AC98*AD98+AE98*AF98+AG98*AH98+AI98*AJ98</x:f>
        <x:v>0</x:v>
      </x:c>
      <x:c r="AR98" s="333" t="n">
        <x:f>IF(OR(J98="Strength",J98="Hypertrophy"),MAX(IF(AB98&gt;0,AA98*(1+AB98/30),0),IF(AD98&gt;0,AC98*(1+AD98/30),0),IF(AF98&gt;0,AE98*(1+AF98/30),0),IF(AH98&gt;0,AG98*(1+AH98/30),0),IF(AJ98&gt;0,AI98*(1+AJ98/30),0)),0)</x:f>
        <x:v>0</x:v>
      </x:c>
      <x:c r="AS98" s="315" t="str">
        <x:f>IF(AN98&lt;&gt;"Yes","Not logged",IF(AL98&gt;='Setup'!$B$14,"STOP / MODIFY",IF(Z98=0,"Complete",IF(OR(AO98=0,AK98=""),"Add set data + RIR",IF(AND(MAX(AB98,AD98,AF98,AH98,AJ98)&gt;=P98,AK98&gt;=Q98+1),"Progress",IF(OR(MAX(AB98,AD98,AF98,AH98,AJ98)&lt;O98,AK98&lt;Q98-1),"Regress","Hold"))))))</x:f>
        <x:v>Not logged</x:v>
      </x:c>
      <x:c r="AT98" s="335" t="n">
        <x:f>IF(OR(Z98=0,AN98&lt;&gt;"Yes",AO98=0,AK98=""),0,IF(AL98&gt;='Setup'!$B$14,-2*'Setup'!$B$11,IF(AND(MAX(AB98,AD98,AF98,AH98,AJ98)&gt;=P98,AK98&gt;=Q98+1),'Setup'!$B$10,IF(OR(MAX(AB98,AD98,AF98,AH98,AJ98)&lt;O98,AK98&lt;Q98-1),-'Setup'!$B$11,0))))</x:f>
        <x:v>0</x:v>
      </x:c>
      <x:c r="AU98" s="333" t="n">
        <x:f>IF(Z98=0,0,IF(AN98&lt;&gt;"Yes",Z98,IF(COUNT(AA98,AC98,AE98,AG98,AI98)=0,Z98,ROUND((MAX(AA98,AC98,AE98,AG98,AI98)*(1+AT98))/'Setup'!$B$9,0)*'Setup'!$B$9)))</x:f>
        <x:v>0</x:v>
      </x:c>
      <x:c r="AV98" s="336"/>
    </x:row>
    <x:row r="99">
      <x:c r="A99" s="310" t="n">
        <x:f>'Setup'!$B$3+(C99-1)*7+(D99-1)</x:f>
        <x:v>46254</x:v>
      </x:c>
      <x:c r="B99" s="311" t="str">
        <x:v>2|4|6</x:v>
      </x:c>
      <x:c r="C99" s="311" t="n">
        <x:v>2</x:v>
      </x:c>
      <x:c r="D99" s="311" t="n">
        <x:v>4</x:v>
      </x:c>
      <x:c r="E99" s="311" t="str">
        <x:v>Accumulation</x:v>
      </x:c>
      <x:c r="F99" s="311" t="str">
        <x:v>Pull B</x:v>
      </x:c>
      <x:c r="G99" s="311" t="str">
        <x:v>Back width + arm volume</x:v>
      </x:c>
      <x:c r="H99" s="311" t="n">
        <x:v>6</x:v>
      </x:c>
      <x:c r="I99" s="311" t="str">
        <x:v>Face Pull</x:v>
      </x:c>
      <x:c r="J99" s="311" t="str">
        <x:v>Hypertrophy</x:v>
      </x:c>
      <x:c r="K99" s="311" t="str">
        <x:v>Rear Delts</x:v>
      </x:c>
      <x:c r="L99" s="311" t="str">
        <x:v>Superset</x:v>
      </x:c>
      <x:c r="M99" s="311" t="str">
        <x:v>A1</x:v>
      </x:c>
      <x:c r="N99" s="311" t="n">
        <x:v>4</x:v>
      </x:c>
      <x:c r="O99" s="311" t="n">
        <x:v>12</x:v>
      </x:c>
      <x:c r="P99" s="311" t="n">
        <x:v>20</x:v>
      </x:c>
      <x:c r="Q99" s="311" t="n">
        <x:v>2</x:v>
      </x:c>
      <x:c r="R99" s="311" t="n">
        <x:v>30</x:v>
      </x:c>
      <x:c r="S99" s="311" t="str">
        <x:v>2-1-2</x:v>
      </x:c>
      <x:c r="T99" s="330" t="n">
        <x:v>1</x:v>
      </x:c>
      <x:c r="U99" s="330" t="n">
        <x:v>0</x:v>
      </x:c>
      <x:c r="V99" s="331" t="str">
        <x:v>load × reps</x:v>
      </x:c>
      <x:c r="W99" s="332" t="str">
        <x:f>'Readiness'!K16</x:f>
      </x:c>
      <x:c r="X99" s="314" t="n">
        <x:f>'Readiness'!L16</x:f>
        <x:v>1</x:v>
      </x:c>
      <x:c r="Y99" s="315" t="n">
        <x:f>IF(J99="Mobility",N99,MAX(1,ROUND(N99*X99,0)))</x:f>
        <x:v>4</x:v>
      </x:c>
      <x:c r="Z99" s="333" t="n">
        <x:f>ROUND((IF(AU43&gt;0,AU43,IF(Z43&gt;0,Z43,'Setup'!$D$41))*T99)/'Setup'!$B$9,0)*'Setup'!$B$9</x:f>
        <x:v>0</x:v>
      </x:c>
      <x:c r="AA99" s="334"/>
      <x:c r="AB99" s="334"/>
      <x:c r="AC99" s="334"/>
      <x:c r="AD99" s="334"/>
      <x:c r="AE99" s="334"/>
      <x:c r="AF99" s="334"/>
      <x:c r="AG99" s="334"/>
      <x:c r="AH99" s="334"/>
      <x:c r="AI99" s="334"/>
      <x:c r="AJ99" s="312"/>
      <x:c r="AK99" s="312"/>
      <x:c r="AL99" s="312"/>
      <x:c r="AM99" s="312"/>
      <x:c r="AN99" s="312"/>
      <x:c r="AO99" s="315" t="n">
        <x:f>COUNT(AB99,AD99,AF99,AH99,AJ99)</x:f>
        <x:v>0</x:v>
      </x:c>
      <x:c r="AP99" s="315" t="n">
        <x:f>SUM(AB99,AD99,AF99,AH99,AJ99)</x:f>
        <x:v>0</x:v>
      </x:c>
      <x:c r="AQ99" s="333" t="n">
        <x:f>AA99*AB99+AC99*AD99+AE99*AF99+AG99*AH99+AI99*AJ99</x:f>
        <x:v>0</x:v>
      </x:c>
      <x:c r="AR99" s="333" t="n">
        <x:f>IF(OR(J99="Strength",J99="Hypertrophy"),MAX(IF(AB99&gt;0,AA99*(1+AB99/30),0),IF(AD99&gt;0,AC99*(1+AD99/30),0),IF(AF99&gt;0,AE99*(1+AF99/30),0),IF(AH99&gt;0,AG99*(1+AH99/30),0),IF(AJ99&gt;0,AI99*(1+AJ99/30),0)),0)</x:f>
        <x:v>0</x:v>
      </x:c>
      <x:c r="AS99" s="315" t="str">
        <x:f>IF(AN99&lt;&gt;"Yes","Not logged",IF(AL99&gt;='Setup'!$B$14,"STOP / MODIFY",IF(Z99=0,"Complete",IF(OR(AO99=0,AK99=""),"Add set data + RIR",IF(AND(MAX(AB99,AD99,AF99,AH99,AJ99)&gt;=P99,AK99&gt;=Q99+1),"Progress",IF(OR(MAX(AB99,AD99,AF99,AH99,AJ99)&lt;O99,AK99&lt;Q99-1),"Regress","Hold"))))))</x:f>
        <x:v>Not logged</x:v>
      </x:c>
      <x:c r="AT99" s="335" t="n">
        <x:f>IF(OR(Z99=0,AN99&lt;&gt;"Yes",AO99=0,AK99=""),0,IF(AL99&gt;='Setup'!$B$14,-2*'Setup'!$B$11,IF(AND(MAX(AB99,AD99,AF99,AH99,AJ99)&gt;=P99,AK99&gt;=Q99+1),'Setup'!$B$10,IF(OR(MAX(AB99,AD99,AF99,AH99,AJ99)&lt;O99,AK99&lt;Q99-1),-'Setup'!$B$11,0))))</x:f>
        <x:v>0</x:v>
      </x:c>
      <x:c r="AU99" s="333" t="n">
        <x:f>IF(Z99=0,0,IF(AN99&lt;&gt;"Yes",Z99,IF(COUNT(AA99,AC99,AE99,AG99,AI99)=0,Z99,ROUND((MAX(AA99,AC99,AE99,AG99,AI99)*(1+AT99))/'Setup'!$B$9,0)*'Setup'!$B$9)))</x:f>
        <x:v>0</x:v>
      </x:c>
      <x:c r="AV99" s="336"/>
    </x:row>
    <x:row r="100">
      <x:c r="A100" s="310" t="n">
        <x:f>'Setup'!$B$3+(C100-1)*7+(D100-1)</x:f>
        <x:v>46254</x:v>
      </x:c>
      <x:c r="B100" s="311" t="str">
        <x:v>2|4|7</x:v>
      </x:c>
      <x:c r="C100" s="311" t="n">
        <x:v>2</x:v>
      </x:c>
      <x:c r="D100" s="311" t="n">
        <x:v>4</x:v>
      </x:c>
      <x:c r="E100" s="311" t="str">
        <x:v>Accumulation</x:v>
      </x:c>
      <x:c r="F100" s="311" t="str">
        <x:v>Pull B</x:v>
      </x:c>
      <x:c r="G100" s="311" t="str">
        <x:v>Back width + arm volume</x:v>
      </x:c>
      <x:c r="H100" s="311" t="n">
        <x:v>7</x:v>
      </x:c>
      <x:c r="I100" s="311" t="str">
        <x:v>Hammer Curl</x:v>
      </x:c>
      <x:c r="J100" s="311" t="str">
        <x:v>Hypertrophy</x:v>
      </x:c>
      <x:c r="K100" s="311" t="str">
        <x:v>Biceps</x:v>
      </x:c>
      <x:c r="L100" s="311" t="str">
        <x:v>Superset</x:v>
      </x:c>
      <x:c r="M100" s="311" t="str">
        <x:v>A2</x:v>
      </x:c>
      <x:c r="N100" s="311" t="n">
        <x:v>4</x:v>
      </x:c>
      <x:c r="O100" s="311" t="n">
        <x:v>10</x:v>
      </x:c>
      <x:c r="P100" s="311" t="n">
        <x:v>15</x:v>
      </x:c>
      <x:c r="Q100" s="311" t="n">
        <x:v>2</x:v>
      </x:c>
      <x:c r="R100" s="311" t="n">
        <x:v>45</x:v>
      </x:c>
      <x:c r="S100" s="311" t="str">
        <x:v>2-0-1</x:v>
      </x:c>
      <x:c r="T100" s="330" t="n">
        <x:v>1</x:v>
      </x:c>
      <x:c r="U100" s="330" t="n">
        <x:v>0</x:v>
      </x:c>
      <x:c r="V100" s="331" t="str">
        <x:v>load × reps</x:v>
      </x:c>
      <x:c r="W100" s="332" t="str">
        <x:f>'Readiness'!K16</x:f>
      </x:c>
      <x:c r="X100" s="314" t="n">
        <x:f>'Readiness'!L16</x:f>
        <x:v>1</x:v>
      </x:c>
      <x:c r="Y100" s="315" t="n">
        <x:f>IF(J100="Mobility",N100,MAX(1,ROUND(N100*X100,0)))</x:f>
        <x:v>4</x:v>
      </x:c>
      <x:c r="Z100" s="333" t="n">
        <x:f>ROUND((IF(AU44&gt;0,AU44,IF(Z44&gt;0,Z44,'Setup'!$D$48))*T100)/'Setup'!$B$9,0)*'Setup'!$B$9</x:f>
        <x:v>0</x:v>
      </x:c>
      <x:c r="AA100" s="334"/>
      <x:c r="AB100" s="334"/>
      <x:c r="AC100" s="334"/>
      <x:c r="AD100" s="334"/>
      <x:c r="AE100" s="334"/>
      <x:c r="AF100" s="334"/>
      <x:c r="AG100" s="334"/>
      <x:c r="AH100" s="334"/>
      <x:c r="AI100" s="334"/>
      <x:c r="AJ100" s="312"/>
      <x:c r="AK100" s="312"/>
      <x:c r="AL100" s="312"/>
      <x:c r="AM100" s="312"/>
      <x:c r="AN100" s="312"/>
      <x:c r="AO100" s="315" t="n">
        <x:f>COUNT(AB100,AD100,AF100,AH100,AJ100)</x:f>
        <x:v>0</x:v>
      </x:c>
      <x:c r="AP100" s="315" t="n">
        <x:f>SUM(AB100,AD100,AF100,AH100,AJ100)</x:f>
        <x:v>0</x:v>
      </x:c>
      <x:c r="AQ100" s="333" t="n">
        <x:f>AA100*AB100+AC100*AD100+AE100*AF100+AG100*AH100+AI100*AJ100</x:f>
        <x:v>0</x:v>
      </x:c>
      <x:c r="AR100" s="333" t="n">
        <x:f>IF(OR(J100="Strength",J100="Hypertrophy"),MAX(IF(AB100&gt;0,AA100*(1+AB100/30),0),IF(AD100&gt;0,AC100*(1+AD100/30),0),IF(AF100&gt;0,AE100*(1+AF100/30),0),IF(AH100&gt;0,AG100*(1+AH100/30),0),IF(AJ100&gt;0,AI100*(1+AJ100/30),0)),0)</x:f>
        <x:v>0</x:v>
      </x:c>
      <x:c r="AS100" s="315" t="str">
        <x:f>IF(AN100&lt;&gt;"Yes","Not logged",IF(AL100&gt;='Setup'!$B$14,"STOP / MODIFY",IF(Z100=0,"Complete",IF(OR(AO100=0,AK100=""),"Add set data + RIR",IF(AND(MAX(AB100,AD100,AF100,AH100,AJ100)&gt;=P100,AK100&gt;=Q100+1),"Progress",IF(OR(MAX(AB100,AD100,AF100,AH100,AJ100)&lt;O100,AK100&lt;Q100-1),"Regress","Hold"))))))</x:f>
        <x:v>Not logged</x:v>
      </x:c>
      <x:c r="AT100" s="335" t="n">
        <x:f>IF(OR(Z100=0,AN100&lt;&gt;"Yes",AO100=0,AK100=""),0,IF(AL100&gt;='Setup'!$B$14,-2*'Setup'!$B$11,IF(AND(MAX(AB100,AD100,AF100,AH100,AJ100)&gt;=P100,AK100&gt;=Q100+1),'Setup'!$B$10,IF(OR(MAX(AB100,AD100,AF100,AH100,AJ100)&lt;O100,AK100&lt;Q100-1),-'Setup'!$B$11,0))))</x:f>
        <x:v>0</x:v>
      </x:c>
      <x:c r="AU100" s="333" t="n">
        <x:f>IF(Z100=0,0,IF(AN100&lt;&gt;"Yes",Z100,IF(COUNT(AA100,AC100,AE100,AG100,AI100)=0,Z100,ROUND((MAX(AA100,AC100,AE100,AG100,AI100)*(1+AT100))/'Setup'!$B$9,0)*'Setup'!$B$9)))</x:f>
        <x:v>0</x:v>
      </x:c>
      <x:c r="AV100" s="336"/>
    </x:row>
    <x:row r="101">
      <x:c r="A101" s="310" t="n">
        <x:f>'Setup'!$B$3+(C101-1)*7+(D101-1)</x:f>
        <x:v>46254</x:v>
      </x:c>
      <x:c r="B101" s="311" t="str">
        <x:v>2|4|8</x:v>
      </x:c>
      <x:c r="C101" s="311" t="n">
        <x:v>2</x:v>
      </x:c>
      <x:c r="D101" s="311" t="n">
        <x:v>4</x:v>
      </x:c>
      <x:c r="E101" s="311" t="str">
        <x:v>Accumulation</x:v>
      </x:c>
      <x:c r="F101" s="311" t="str">
        <x:v>Pull B</x:v>
      </x:c>
      <x:c r="G101" s="311" t="str">
        <x:v>Back width + arm volume</x:v>
      </x:c>
      <x:c r="H101" s="311" t="n">
        <x:v>8</x:v>
      </x:c>
      <x:c r="I101" s="311" t="str">
        <x:v>RowErg Sprint Intervals</x:v>
      </x:c>
      <x:c r="J101" s="311" t="str">
        <x:v>Athletic</x:v>
      </x:c>
      <x:c r="K101" s="311" t="str">
        <x:v>Full Body</x:v>
      </x:c>
      <x:c r="L101" s="311" t="str">
        <x:v>20 s hard / 70 s easy</x:v>
      </x:c>
      <x:c r="M101" s="311"/>
      <x:c r="N101" s="311" t="n">
        <x:v>6</x:v>
      </x:c>
      <x:c r="O101" s="311" t="n">
        <x:v>20</x:v>
      </x:c>
      <x:c r="P101" s="311" t="n">
        <x:v>20</x:v>
      </x:c>
      <x:c r="Q101" s="311" t="n">
        <x:v>2</x:v>
      </x:c>
      <x:c r="R101" s="311" t="n">
        <x:v>70</x:v>
      </x:c>
      <x:c r="S101" s="311" t="str">
        <x:v>Powerful</x:v>
      </x:c>
      <x:c r="T101" s="330" t="n">
        <x:v>1</x:v>
      </x:c>
      <x:c r="U101" s="330" t="n">
        <x:v>0</x:v>
      </x:c>
      <x:c r="V101" s="331" t="str">
        <x:v>watts / meters</x:v>
      </x:c>
      <x:c r="W101" s="332" t="str">
        <x:f>'Readiness'!K16</x:f>
      </x:c>
      <x:c r="X101" s="314" t="n">
        <x:f>'Readiness'!L16</x:f>
        <x:v>1</x:v>
      </x:c>
      <x:c r="Y101" s="315" t="n">
        <x:f>IF(J101="Mobility",N101,MAX(1,ROUND(N101*X101,0)))</x:f>
        <x:v>6</x:v>
      </x:c>
      <x:c r="Z101" s="333" t="n">
        <x:f>0</x:f>
        <x:v>0</x:v>
      </x:c>
      <x:c r="AA101" s="334"/>
      <x:c r="AB101" s="334"/>
      <x:c r="AC101" s="334"/>
      <x:c r="AD101" s="334"/>
      <x:c r="AE101" s="334"/>
      <x:c r="AF101" s="334"/>
      <x:c r="AG101" s="334"/>
      <x:c r="AH101" s="334"/>
      <x:c r="AI101" s="334"/>
      <x:c r="AJ101" s="312"/>
      <x:c r="AK101" s="312"/>
      <x:c r="AL101" s="312"/>
      <x:c r="AM101" s="312"/>
      <x:c r="AN101" s="312"/>
      <x:c r="AO101" s="315" t="n">
        <x:f>COUNT(AB101,AD101,AF101,AH101,AJ101)</x:f>
        <x:v>0</x:v>
      </x:c>
      <x:c r="AP101" s="315" t="n">
        <x:f>SUM(AB101,AD101,AF101,AH101,AJ101)</x:f>
        <x:v>0</x:v>
      </x:c>
      <x:c r="AQ101" s="333" t="n">
        <x:f>AA101*AB101+AC101*AD101+AE101*AF101+AG101*AH101+AI101*AJ101</x:f>
        <x:v>0</x:v>
      </x:c>
      <x:c r="AR101" s="333" t="n">
        <x:f>IF(OR(J101="Strength",J101="Hypertrophy"),MAX(IF(AB101&gt;0,AA101*(1+AB101/30),0),IF(AD101&gt;0,AC101*(1+AD101/30),0),IF(AF101&gt;0,AE101*(1+AF101/30),0),IF(AH101&gt;0,AG101*(1+AH101/30),0),IF(AJ101&gt;0,AI101*(1+AJ101/30),0)),0)</x:f>
        <x:v>0</x:v>
      </x:c>
      <x:c r="AS101" s="315" t="str">
        <x:f>IF(AN101&lt;&gt;"Yes","Not logged",IF(AL101&gt;='Setup'!$B$14,"STOP / MODIFY",IF(Z101=0,"Complete",IF(OR(AO101=0,AK101=""),"Add set data + RIR",IF(AND(MAX(AB101,AD101,AF101,AH101,AJ101)&gt;=P101,AK101&gt;=Q101+1),"Progress",IF(OR(MAX(AB101,AD101,AF101,AH101,AJ101)&lt;O101,AK101&lt;Q101-1),"Regress","Hold"))))))</x:f>
        <x:v>Not logged</x:v>
      </x:c>
      <x:c r="AT101" s="335" t="n">
        <x:f>IF(OR(Z101=0,AN101&lt;&gt;"Yes",AO101=0,AK101=""),0,IF(AL101&gt;='Setup'!$B$14,-2*'Setup'!$B$11,IF(AND(MAX(AB101,AD101,AF101,AH101,AJ101)&gt;=P101,AK101&gt;=Q101+1),'Setup'!$B$10,IF(OR(MAX(AB101,AD101,AF101,AH101,AJ101)&lt;O101,AK101&lt;Q101-1),-'Setup'!$B$11,0))))</x:f>
        <x:v>0</x:v>
      </x:c>
      <x:c r="AU101" s="333" t="n">
        <x:f>IF(Z101=0,0,IF(AN101&lt;&gt;"Yes",Z101,IF(COUNT(AA101,AC101,AE101,AG101,AI101)=0,Z101,ROUND((MAX(AA101,AC101,AE101,AG101,AI101)*(1+AT101))/'Setup'!$B$9,0)*'Setup'!$B$9)))</x:f>
        <x:v>0</x:v>
      </x:c>
      <x:c r="AV101" s="336"/>
    </x:row>
    <x:row r="102">
      <x:c r="A102" s="310" t="n">
        <x:f>'Setup'!$B$3+(C102-1)*7+(D102-1)</x:f>
        <x:v>46254</x:v>
      </x:c>
      <x:c r="B102" s="311" t="str">
        <x:v>2|4|9</x:v>
      </x:c>
      <x:c r="C102" s="311" t="n">
        <x:v>2</x:v>
      </x:c>
      <x:c r="D102" s="311" t="n">
        <x:v>4</x:v>
      </x:c>
      <x:c r="E102" s="311" t="str">
        <x:v>Accumulation</x:v>
      </x:c>
      <x:c r="F102" s="311" t="str">
        <x:v>Pull B</x:v>
      </x:c>
      <x:c r="G102" s="311" t="str">
        <x:v>Back width + arm volume</x:v>
      </x:c>
      <x:c r="H102" s="311" t="n">
        <x:v>9</x:v>
      </x:c>
      <x:c r="I102" s="311" t="str">
        <x:v>Scapular Pull-Up</x:v>
      </x:c>
      <x:c r="J102" s="311" t="str">
        <x:v>Mobility</x:v>
      </x:c>
      <x:c r="K102" s="311" t="str">
        <x:v>Shoulders</x:v>
      </x:c>
      <x:c r="L102" s="311" t="str">
        <x:v>Controlled scapular motion</x:v>
      </x:c>
      <x:c r="M102" s="311"/>
      <x:c r="N102" s="311" t="n">
        <x:v>2</x:v>
      </x:c>
      <x:c r="O102" s="311" t="n">
        <x:v>6</x:v>
      </x:c>
      <x:c r="P102" s="311" t="n">
        <x:v>10</x:v>
      </x:c>
      <x:c r="Q102" s="311"/>
      <x:c r="R102" s="311" t="n">
        <x:v>30</x:v>
      </x:c>
      <x:c r="S102" s="311" t="str">
        <x:v>Slow</x:v>
      </x:c>
      <x:c r="T102" s="330" t="n">
        <x:v>1</x:v>
      </x:c>
      <x:c r="U102" s="330" t="n">
        <x:v>0</x:v>
      </x:c>
      <x:c r="V102" s="331" t="str">
        <x:v>reps</x:v>
      </x:c>
      <x:c r="W102" s="332" t="str">
        <x:f>'Readiness'!K16</x:f>
      </x:c>
      <x:c r="X102" s="314" t="n">
        <x:f>'Readiness'!L16</x:f>
        <x:v>1</x:v>
      </x:c>
      <x:c r="Y102" s="315" t="n">
        <x:f>IF(J102="Mobility",N102,MAX(1,ROUND(N102*X102,0)))</x:f>
        <x:v>2</x:v>
      </x:c>
      <x:c r="Z102" s="333" t="n">
        <x:f>0</x:f>
        <x:v>0</x:v>
      </x:c>
      <x:c r="AA102" s="334"/>
      <x:c r="AB102" s="334"/>
      <x:c r="AC102" s="334"/>
      <x:c r="AD102" s="334"/>
      <x:c r="AE102" s="334"/>
      <x:c r="AF102" s="334"/>
      <x:c r="AG102" s="334"/>
      <x:c r="AH102" s="334"/>
      <x:c r="AI102" s="334"/>
      <x:c r="AJ102" s="312"/>
      <x:c r="AK102" s="312"/>
      <x:c r="AL102" s="312"/>
      <x:c r="AM102" s="312"/>
      <x:c r="AN102" s="312"/>
      <x:c r="AO102" s="315" t="n">
        <x:f>COUNT(AB102,AD102,AF102,AH102,AJ102)</x:f>
        <x:v>0</x:v>
      </x:c>
      <x:c r="AP102" s="315" t="n">
        <x:f>SUM(AB102,AD102,AF102,AH102,AJ102)</x:f>
        <x:v>0</x:v>
      </x:c>
      <x:c r="AQ102" s="333" t="n">
        <x:f>AA102*AB102+AC102*AD102+AE102*AF102+AG102*AH102+AI102*AJ102</x:f>
        <x:v>0</x:v>
      </x:c>
      <x:c r="AR102" s="333" t="n">
        <x:f>IF(OR(J102="Strength",J102="Hypertrophy"),MAX(IF(AB102&gt;0,AA102*(1+AB102/30),0),IF(AD102&gt;0,AC102*(1+AD102/30),0),IF(AF102&gt;0,AE102*(1+AF102/30),0),IF(AH102&gt;0,AG102*(1+AH102/30),0),IF(AJ102&gt;0,AI102*(1+AJ102/30),0)),0)</x:f>
        <x:v>0</x:v>
      </x:c>
      <x:c r="AS102" s="315" t="str">
        <x:f>IF(AN102&lt;&gt;"Yes","Not logged",IF(AL102&gt;='Setup'!$B$14,"STOP / MODIFY",IF(Z102=0,"Complete",IF(OR(AO102=0,AK102=""),"Add set data + RIR",IF(AND(MAX(AB102,AD102,AF102,AH102,AJ102)&gt;=P102,AK102&gt;=Q102+1),"Progress",IF(OR(MAX(AB102,AD102,AF102,AH102,AJ102)&lt;O102,AK102&lt;Q102-1),"Regress","Hold"))))))</x:f>
        <x:v>Not logged</x:v>
      </x:c>
      <x:c r="AT102" s="335" t="n">
        <x:f>IF(OR(Z102=0,AN102&lt;&gt;"Yes",AO102=0,AK102=""),0,IF(AL102&gt;='Setup'!$B$14,-2*'Setup'!$B$11,IF(AND(MAX(AB102,AD102,AF102,AH102,AJ102)&gt;=P102,AK102&gt;=Q102+1),'Setup'!$B$10,IF(OR(MAX(AB102,AD102,AF102,AH102,AJ102)&lt;O102,AK102&lt;Q102-1),-'Setup'!$B$11,0))))</x:f>
        <x:v>0</x:v>
      </x:c>
      <x:c r="AU102" s="333" t="n">
        <x:f>IF(Z102=0,0,IF(AN102&lt;&gt;"Yes",Z102,IF(COUNT(AA102,AC102,AE102,AG102,AI102)=0,Z102,ROUND((MAX(AA102,AC102,AE102,AG102,AI102)*(1+AT102))/'Setup'!$B$9,0)*'Setup'!$B$9)))</x:f>
        <x:v>0</x:v>
      </x:c>
      <x:c r="AV102" s="336"/>
    </x:row>
    <x:row r="103">
      <x:c r="A103" s="310" t="n">
        <x:f>'Setup'!$B$3+(C103-1)*7+(D103-1)</x:f>
        <x:v>46255</x:v>
      </x:c>
      <x:c r="B103" s="311" t="str">
        <x:v>2|5|1</x:v>
      </x:c>
      <x:c r="C103" s="311" t="n">
        <x:v>2</x:v>
      </x:c>
      <x:c r="D103" s="311" t="n">
        <x:v>5</x:v>
      </x:c>
      <x:c r="E103" s="311" t="str">
        <x:v>Accumulation</x:v>
      </x:c>
      <x:c r="F103" s="311" t="str">
        <x:v>Legs B + Athletic</x:v>
      </x:c>
      <x:c r="G103" s="311" t="str">
        <x:v>Acceleration + lower-body hypertrophy</x:v>
      </x:c>
      <x:c r="H103" s="311" t="n">
        <x:v>1</x:v>
      </x:c>
      <x:c r="I103" s="311" t="str">
        <x:v>Acceleration Sprint</x:v>
      </x:c>
      <x:c r="J103" s="311" t="str">
        <x:v>Athletic</x:v>
      </x:c>
      <x:c r="K103" s="311" t="str">
        <x:v>Full Body</x:v>
      </x:c>
      <x:c r="L103" s="311" t="str">
        <x:v>Full recovery, stop on speed drop</x:v>
      </x:c>
      <x:c r="M103" s="311"/>
      <x:c r="N103" s="311" t="n">
        <x:v>6</x:v>
      </x:c>
      <x:c r="O103" s="311" t="n">
        <x:v>20</x:v>
      </x:c>
      <x:c r="P103" s="311" t="n">
        <x:v>20</x:v>
      </x:c>
      <x:c r="Q103" s="311" t="n">
        <x:v>2</x:v>
      </x:c>
      <x:c r="R103" s="311" t="n">
        <x:v>90</x:v>
      </x:c>
      <x:c r="S103" s="311" t="str">
        <x:v>Max quality</x:v>
      </x:c>
      <x:c r="T103" s="330" t="n">
        <x:v>1</x:v>
      </x:c>
      <x:c r="U103" s="330" t="n">
        <x:v>0</x:v>
      </x:c>
      <x:c r="V103" s="331" t="str">
        <x:v>20 m time</x:v>
      </x:c>
      <x:c r="W103" s="332" t="str">
        <x:f>'Readiness'!K17</x:f>
      </x:c>
      <x:c r="X103" s="314" t="n">
        <x:f>'Readiness'!L17</x:f>
        <x:v>1</x:v>
      </x:c>
      <x:c r="Y103" s="315" t="n">
        <x:f>IF(J103="Mobility",N103,MAX(1,ROUND(N103*X103,0)))</x:f>
        <x:v>6</x:v>
      </x:c>
      <x:c r="Z103" s="333" t="n">
        <x:f>0</x:f>
        <x:v>0</x:v>
      </x:c>
      <x:c r="AA103" s="334"/>
      <x:c r="AB103" s="334"/>
      <x:c r="AC103" s="334"/>
      <x:c r="AD103" s="334"/>
      <x:c r="AE103" s="334"/>
      <x:c r="AF103" s="334"/>
      <x:c r="AG103" s="334"/>
      <x:c r="AH103" s="334"/>
      <x:c r="AI103" s="334"/>
      <x:c r="AJ103" s="312"/>
      <x:c r="AK103" s="312"/>
      <x:c r="AL103" s="312"/>
      <x:c r="AM103" s="312"/>
      <x:c r="AN103" s="312"/>
      <x:c r="AO103" s="315" t="n">
        <x:f>COUNT(AB103,AD103,AF103,AH103,AJ103)</x:f>
        <x:v>0</x:v>
      </x:c>
      <x:c r="AP103" s="315" t="n">
        <x:f>SUM(AB103,AD103,AF103,AH103,AJ103)</x:f>
        <x:v>0</x:v>
      </x:c>
      <x:c r="AQ103" s="333" t="n">
        <x:f>AA103*AB103+AC103*AD103+AE103*AF103+AG103*AH103+AI103*AJ103</x:f>
        <x:v>0</x:v>
      </x:c>
      <x:c r="AR103" s="333" t="n">
        <x:f>IF(OR(J103="Strength",J103="Hypertrophy"),MAX(IF(AB103&gt;0,AA103*(1+AB103/30),0),IF(AD103&gt;0,AC103*(1+AD103/30),0),IF(AF103&gt;0,AE103*(1+AF103/30),0),IF(AH103&gt;0,AG103*(1+AH103/30),0),IF(AJ103&gt;0,AI103*(1+AJ103/30),0)),0)</x:f>
        <x:v>0</x:v>
      </x:c>
      <x:c r="AS103" s="315" t="str">
        <x:f>IF(AN103&lt;&gt;"Yes","Not logged",IF(AL103&gt;='Setup'!$B$14,"STOP / MODIFY",IF(Z103=0,"Complete",IF(OR(AO103=0,AK103=""),"Add set data + RIR",IF(AND(MAX(AB103,AD103,AF103,AH103,AJ103)&gt;=P103,AK103&gt;=Q103+1),"Progress",IF(OR(MAX(AB103,AD103,AF103,AH103,AJ103)&lt;O103,AK103&lt;Q103-1),"Regress","Hold"))))))</x:f>
        <x:v>Not logged</x:v>
      </x:c>
      <x:c r="AT103" s="335" t="n">
        <x:f>IF(OR(Z103=0,AN103&lt;&gt;"Yes",AO103=0,AK103=""),0,IF(AL103&gt;='Setup'!$B$14,-2*'Setup'!$B$11,IF(AND(MAX(AB103,AD103,AF103,AH103,AJ103)&gt;=P103,AK103&gt;=Q103+1),'Setup'!$B$10,IF(OR(MAX(AB103,AD103,AF103,AH103,AJ103)&lt;O103,AK103&lt;Q103-1),-'Setup'!$B$11,0))))</x:f>
        <x:v>0</x:v>
      </x:c>
      <x:c r="AU103" s="333" t="n">
        <x:f>IF(Z103=0,0,IF(AN103&lt;&gt;"Yes",Z103,IF(COUNT(AA103,AC103,AE103,AG103,AI103)=0,Z103,ROUND((MAX(AA103,AC103,AE103,AG103,AI103)*(1+AT103))/'Setup'!$B$9,0)*'Setup'!$B$9)))</x:f>
        <x:v>0</x:v>
      </x:c>
      <x:c r="AV103" s="336"/>
    </x:row>
    <x:row r="104">
      <x:c r="A104" s="310" t="n">
        <x:f>'Setup'!$B$3+(C104-1)*7+(D104-1)</x:f>
        <x:v>46255</x:v>
      </x:c>
      <x:c r="B104" s="311" t="str">
        <x:v>2|5|2</x:v>
      </x:c>
      <x:c r="C104" s="311" t="n">
        <x:v>2</x:v>
      </x:c>
      <x:c r="D104" s="311" t="n">
        <x:v>5</x:v>
      </x:c>
      <x:c r="E104" s="311" t="str">
        <x:v>Accumulation</x:v>
      </x:c>
      <x:c r="F104" s="311" t="str">
        <x:v>Legs B + Athletic</x:v>
      </x:c>
      <x:c r="G104" s="311" t="str">
        <x:v>Acceleration + lower-body hypertrophy</x:v>
      </x:c>
      <x:c r="H104" s="311" t="n">
        <x:v>2</x:v>
      </x:c>
      <x:c r="I104" s="311" t="str">
        <x:v>Broad Jump</x:v>
      </x:c>
      <x:c r="J104" s="311" t="str">
        <x:v>Power</x:v>
      </x:c>
      <x:c r="K104" s="311" t="str">
        <x:v>Quads</x:v>
      </x:c>
      <x:c r="L104" s="311" t="str">
        <x:v>Full reset, stick landing</x:v>
      </x:c>
      <x:c r="M104" s="311"/>
      <x:c r="N104" s="311" t="n">
        <x:v>4</x:v>
      </x:c>
      <x:c r="O104" s="311" t="n">
        <x:v>3</x:v>
      </x:c>
      <x:c r="P104" s="311" t="n">
        <x:v>3</x:v>
      </x:c>
      <x:c r="Q104" s="311" t="n">
        <x:v>2</x:v>
      </x:c>
      <x:c r="R104" s="311" t="n">
        <x:v>75</x:v>
      </x:c>
      <x:c r="S104" s="311" t="str">
        <x:v>Explosive</x:v>
      </x:c>
      <x:c r="T104" s="330" t="n">
        <x:v>1</x:v>
      </x:c>
      <x:c r="U104" s="330" t="n">
        <x:v>0</x:v>
      </x:c>
      <x:c r="V104" s="331" t="str">
        <x:v>distance</x:v>
      </x:c>
      <x:c r="W104" s="332" t="str">
        <x:f>'Readiness'!K17</x:f>
      </x:c>
      <x:c r="X104" s="314" t="n">
        <x:f>'Readiness'!L17</x:f>
        <x:v>1</x:v>
      </x:c>
      <x:c r="Y104" s="315" t="n">
        <x:f>IF(J104="Mobility",N104,MAX(1,ROUND(N104*X104,0)))</x:f>
        <x:v>4</x:v>
      </x:c>
      <x:c r="Z104" s="333" t="n">
        <x:f>0</x:f>
        <x:v>0</x:v>
      </x:c>
      <x:c r="AA104" s="334"/>
      <x:c r="AB104" s="334"/>
      <x:c r="AC104" s="334"/>
      <x:c r="AD104" s="334"/>
      <x:c r="AE104" s="334"/>
      <x:c r="AF104" s="334"/>
      <x:c r="AG104" s="334"/>
      <x:c r="AH104" s="334"/>
      <x:c r="AI104" s="334"/>
      <x:c r="AJ104" s="312"/>
      <x:c r="AK104" s="312"/>
      <x:c r="AL104" s="312"/>
      <x:c r="AM104" s="312"/>
      <x:c r="AN104" s="312"/>
      <x:c r="AO104" s="315" t="n">
        <x:f>COUNT(AB104,AD104,AF104,AH104,AJ104)</x:f>
        <x:v>0</x:v>
      </x:c>
      <x:c r="AP104" s="315" t="n">
        <x:f>SUM(AB104,AD104,AF104,AH104,AJ104)</x:f>
        <x:v>0</x:v>
      </x:c>
      <x:c r="AQ104" s="333" t="n">
        <x:f>AA104*AB104+AC104*AD104+AE104*AF104+AG104*AH104+AI104*AJ104</x:f>
        <x:v>0</x:v>
      </x:c>
      <x:c r="AR104" s="333" t="n">
        <x:f>IF(OR(J104="Strength",J104="Hypertrophy"),MAX(IF(AB104&gt;0,AA104*(1+AB104/30),0),IF(AD104&gt;0,AC104*(1+AD104/30),0),IF(AF104&gt;0,AE104*(1+AF104/30),0),IF(AH104&gt;0,AG104*(1+AH104/30),0),IF(AJ104&gt;0,AI104*(1+AJ104/30),0)),0)</x:f>
        <x:v>0</x:v>
      </x:c>
      <x:c r="AS104" s="315" t="str">
        <x:f>IF(AN104&lt;&gt;"Yes","Not logged",IF(AL104&gt;='Setup'!$B$14,"STOP / MODIFY",IF(Z104=0,"Complete",IF(OR(AO104=0,AK104=""),"Add set data + RIR",IF(AND(MAX(AB104,AD104,AF104,AH104,AJ104)&gt;=P104,AK104&gt;=Q104+1),"Progress",IF(OR(MAX(AB104,AD104,AF104,AH104,AJ104)&lt;O104,AK104&lt;Q104-1),"Regress","Hold"))))))</x:f>
        <x:v>Not logged</x:v>
      </x:c>
      <x:c r="AT104" s="335" t="n">
        <x:f>IF(OR(Z104=0,AN104&lt;&gt;"Yes",AO104=0,AK104=""),0,IF(AL104&gt;='Setup'!$B$14,-2*'Setup'!$B$11,IF(AND(MAX(AB104,AD104,AF104,AH104,AJ104)&gt;=P104,AK104&gt;=Q104+1),'Setup'!$B$10,IF(OR(MAX(AB104,AD104,AF104,AH104,AJ104)&lt;O104,AK104&lt;Q104-1),-'Setup'!$B$11,0))))</x:f>
        <x:v>0</x:v>
      </x:c>
      <x:c r="AU104" s="333" t="n">
        <x:f>IF(Z104=0,0,IF(AN104&lt;&gt;"Yes",Z104,IF(COUNT(AA104,AC104,AE104,AG104,AI104)=0,Z104,ROUND((MAX(AA104,AC104,AE104,AG104,AI104)*(1+AT104))/'Setup'!$B$9,0)*'Setup'!$B$9)))</x:f>
        <x:v>0</x:v>
      </x:c>
      <x:c r="AV104" s="336"/>
    </x:row>
    <x:row r="105">
      <x:c r="A105" s="310" t="n">
        <x:f>'Setup'!$B$3+(C105-1)*7+(D105-1)</x:f>
        <x:v>46255</x:v>
      </x:c>
      <x:c r="B105" s="311" t="str">
        <x:v>2|5|3</x:v>
      </x:c>
      <x:c r="C105" s="311" t="n">
        <x:v>2</x:v>
      </x:c>
      <x:c r="D105" s="311" t="n">
        <x:v>5</x:v>
      </x:c>
      <x:c r="E105" s="311" t="str">
        <x:v>Accumulation</x:v>
      </x:c>
      <x:c r="F105" s="311" t="str">
        <x:v>Legs B + Athletic</x:v>
      </x:c>
      <x:c r="G105" s="311" t="str">
        <x:v>Acceleration + lower-body hypertrophy</x:v>
      </x:c>
      <x:c r="H105" s="311" t="n">
        <x:v>3</x:v>
      </x:c>
      <x:c r="I105" s="311" t="str">
        <x:v>Front Squat</x:v>
      </x:c>
      <x:c r="J105" s="311" t="str">
        <x:v>Strength</x:v>
      </x:c>
      <x:c r="K105" s="311" t="str">
        <x:v>Quads</x:v>
      </x:c>
      <x:c r="L105" s="311" t="str">
        <x:v>Straight sets</x:v>
      </x:c>
      <x:c r="M105" s="311"/>
      <x:c r="N105" s="311" t="n">
        <x:v>4</x:v>
      </x:c>
      <x:c r="O105" s="311" t="n">
        <x:v>8</x:v>
      </x:c>
      <x:c r="P105" s="311" t="n">
        <x:v>10</x:v>
      </x:c>
      <x:c r="Q105" s="311" t="n">
        <x:v>2</x:v>
      </x:c>
      <x:c r="R105" s="311" t="n">
        <x:v>150</x:v>
      </x:c>
      <x:c r="S105" s="311" t="str">
        <x:v>3-1-X</x:v>
      </x:c>
      <x:c r="T105" s="330" t="n">
        <x:v>1</x:v>
      </x:c>
      <x:c r="U105" s="330" t="n">
        <x:v>0.6</x:v>
      </x:c>
      <x:c r="V105" s="331" t="str">
        <x:v>load × reps</x:v>
      </x:c>
      <x:c r="W105" s="332" t="str">
        <x:f>'Readiness'!K17</x:f>
      </x:c>
      <x:c r="X105" s="314" t="n">
        <x:f>'Readiness'!L17</x:f>
        <x:v>1</x:v>
      </x:c>
      <x:c r="Y105" s="315" t="n">
        <x:f>IF(J105="Mobility",N105,MAX(1,ROUND(N105*X105,0)))</x:f>
        <x:v>4</x:v>
      </x:c>
      <x:c r="Z105" s="333" t="n">
        <x:f>ROUND((IF(AU49&gt;0,AU49,IF(Z49&gt;0,Z49,'Setup'!$D$43))*T105)/'Setup'!$B$9,0)*'Setup'!$B$9</x:f>
        <x:v>0</x:v>
      </x:c>
      <x:c r="AA105" s="334"/>
      <x:c r="AB105" s="334"/>
      <x:c r="AC105" s="334"/>
      <x:c r="AD105" s="334"/>
      <x:c r="AE105" s="334"/>
      <x:c r="AF105" s="334"/>
      <x:c r="AG105" s="334"/>
      <x:c r="AH105" s="334"/>
      <x:c r="AI105" s="334"/>
      <x:c r="AJ105" s="312"/>
      <x:c r="AK105" s="312"/>
      <x:c r="AL105" s="312"/>
      <x:c r="AM105" s="312"/>
      <x:c r="AN105" s="312"/>
      <x:c r="AO105" s="315" t="n">
        <x:f>COUNT(AB105,AD105,AF105,AH105,AJ105)</x:f>
        <x:v>0</x:v>
      </x:c>
      <x:c r="AP105" s="315" t="n">
        <x:f>SUM(AB105,AD105,AF105,AH105,AJ105)</x:f>
        <x:v>0</x:v>
      </x:c>
      <x:c r="AQ105" s="333" t="n">
        <x:f>AA105*AB105+AC105*AD105+AE105*AF105+AG105*AH105+AI105*AJ105</x:f>
        <x:v>0</x:v>
      </x:c>
      <x:c r="AR105" s="333" t="n">
        <x:f>IF(OR(J105="Strength",J105="Hypertrophy"),MAX(IF(AB105&gt;0,AA105*(1+AB105/30),0),IF(AD105&gt;0,AC105*(1+AD105/30),0),IF(AF105&gt;0,AE105*(1+AF105/30),0),IF(AH105&gt;0,AG105*(1+AH105/30),0),IF(AJ105&gt;0,AI105*(1+AJ105/30),0)),0)</x:f>
        <x:v>0</x:v>
      </x:c>
      <x:c r="AS105" s="315" t="str">
        <x:f>IF(AN105&lt;&gt;"Yes","Not logged",IF(AL105&gt;='Setup'!$B$14,"STOP / MODIFY",IF(Z105=0,"Complete",IF(OR(AO105=0,AK105=""),"Add set data + RIR",IF(AND(MAX(AB105,AD105,AF105,AH105,AJ105)&gt;=P105,AK105&gt;=Q105+1),"Progress",IF(OR(MAX(AB105,AD105,AF105,AH105,AJ105)&lt;O105,AK105&lt;Q105-1),"Regress","Hold"))))))</x:f>
        <x:v>Not logged</x:v>
      </x:c>
      <x:c r="AT105" s="335" t="n">
        <x:f>IF(OR(Z105=0,AN105&lt;&gt;"Yes",AO105=0,AK105=""),0,IF(AL105&gt;='Setup'!$B$14,-2*'Setup'!$B$11,IF(AND(MAX(AB105,AD105,AF105,AH105,AJ105)&gt;=P105,AK105&gt;=Q105+1),'Setup'!$B$10,IF(OR(MAX(AB105,AD105,AF105,AH105,AJ105)&lt;O105,AK105&lt;Q105-1),-'Setup'!$B$11,0))))</x:f>
        <x:v>0</x:v>
      </x:c>
      <x:c r="AU105" s="333" t="n">
        <x:f>IF(Z105=0,0,IF(AN105&lt;&gt;"Yes",Z105,IF(COUNT(AA105,AC105,AE105,AG105,AI105)=0,Z105,ROUND((MAX(AA105,AC105,AE105,AG105,AI105)*(1+AT105))/'Setup'!$B$9,0)*'Setup'!$B$9)))</x:f>
        <x:v>0</x:v>
      </x:c>
      <x:c r="AV105" s="336"/>
    </x:row>
    <x:row r="106">
      <x:c r="A106" s="310" t="n">
        <x:f>'Setup'!$B$3+(C106-1)*7+(D106-1)</x:f>
        <x:v>46255</x:v>
      </x:c>
      <x:c r="B106" s="311" t="str">
        <x:v>2|5|4</x:v>
      </x:c>
      <x:c r="C106" s="311" t="n">
        <x:v>2</x:v>
      </x:c>
      <x:c r="D106" s="311" t="n">
        <x:v>5</x:v>
      </x:c>
      <x:c r="E106" s="311" t="str">
        <x:v>Accumulation</x:v>
      </x:c>
      <x:c r="F106" s="311" t="str">
        <x:v>Legs B + Athletic</x:v>
      </x:c>
      <x:c r="G106" s="311" t="str">
        <x:v>Acceleration + lower-body hypertrophy</x:v>
      </x:c>
      <x:c r="H106" s="311" t="n">
        <x:v>4</x:v>
      </x:c>
      <x:c r="I106" s="311" t="str">
        <x:v>Barbell Hip Thrust</x:v>
      </x:c>
      <x:c r="J106" s="311" t="str">
        <x:v>Hypertrophy</x:v>
      </x:c>
      <x:c r="K106" s="311" t="str">
        <x:v>Glutes</x:v>
      </x:c>
      <x:c r="L106" s="311" t="str">
        <x:v>Straight sets</x:v>
      </x:c>
      <x:c r="M106" s="311"/>
      <x:c r="N106" s="311" t="n">
        <x:v>4</x:v>
      </x:c>
      <x:c r="O106" s="311" t="n">
        <x:v>8</x:v>
      </x:c>
      <x:c r="P106" s="311" t="n">
        <x:v>12</x:v>
      </x:c>
      <x:c r="Q106" s="311" t="n">
        <x:v>2</x:v>
      </x:c>
      <x:c r="R106" s="311" t="n">
        <x:v>90</x:v>
      </x:c>
      <x:c r="S106" s="311" t="str">
        <x:v>2-1-1</x:v>
      </x:c>
      <x:c r="T106" s="330" t="n">
        <x:v>1</x:v>
      </x:c>
      <x:c r="U106" s="330" t="n">
        <x:v>0</x:v>
      </x:c>
      <x:c r="V106" s="331" t="str">
        <x:v>load × reps</x:v>
      </x:c>
      <x:c r="W106" s="332" t="str">
        <x:f>'Readiness'!K17</x:f>
      </x:c>
      <x:c r="X106" s="314" t="n">
        <x:f>'Readiness'!L17</x:f>
        <x:v>1</x:v>
      </x:c>
      <x:c r="Y106" s="315" t="n">
        <x:f>IF(J106="Mobility",N106,MAX(1,ROUND(N106*X106,0)))</x:f>
        <x:v>4</x:v>
      </x:c>
      <x:c r="Z106" s="333" t="n">
        <x:f>ROUND((IF(AU50&gt;0,AU50,IF(Z50&gt;0,Z50,'Setup'!$D$25))*T106)/'Setup'!$B$9,0)*'Setup'!$B$9</x:f>
        <x:v>0</x:v>
      </x:c>
      <x:c r="AA106" s="334"/>
      <x:c r="AB106" s="334"/>
      <x:c r="AC106" s="334"/>
      <x:c r="AD106" s="334"/>
      <x:c r="AE106" s="334"/>
      <x:c r="AF106" s="334"/>
      <x:c r="AG106" s="334"/>
      <x:c r="AH106" s="334"/>
      <x:c r="AI106" s="334"/>
      <x:c r="AJ106" s="312"/>
      <x:c r="AK106" s="312"/>
      <x:c r="AL106" s="312"/>
      <x:c r="AM106" s="312"/>
      <x:c r="AN106" s="312"/>
      <x:c r="AO106" s="315" t="n">
        <x:f>COUNT(AB106,AD106,AF106,AH106,AJ106)</x:f>
        <x:v>0</x:v>
      </x:c>
      <x:c r="AP106" s="315" t="n">
        <x:f>SUM(AB106,AD106,AF106,AH106,AJ106)</x:f>
        <x:v>0</x:v>
      </x:c>
      <x:c r="AQ106" s="333" t="n">
        <x:f>AA106*AB106+AC106*AD106+AE106*AF106+AG106*AH106+AI106*AJ106</x:f>
        <x:v>0</x:v>
      </x:c>
      <x:c r="AR106" s="333" t="n">
        <x:f>IF(OR(J106="Strength",J106="Hypertrophy"),MAX(IF(AB106&gt;0,AA106*(1+AB106/30),0),IF(AD106&gt;0,AC106*(1+AD106/30),0),IF(AF106&gt;0,AE106*(1+AF106/30),0),IF(AH106&gt;0,AG106*(1+AH106/30),0),IF(AJ106&gt;0,AI106*(1+AJ106/30),0)),0)</x:f>
        <x:v>0</x:v>
      </x:c>
      <x:c r="AS106" s="315" t="str">
        <x:f>IF(AN106&lt;&gt;"Yes","Not logged",IF(AL106&gt;='Setup'!$B$14,"STOP / MODIFY",IF(Z106=0,"Complete",IF(OR(AO106=0,AK106=""),"Add set data + RIR",IF(AND(MAX(AB106,AD106,AF106,AH106,AJ106)&gt;=P106,AK106&gt;=Q106+1),"Progress",IF(OR(MAX(AB106,AD106,AF106,AH106,AJ106)&lt;O106,AK106&lt;Q106-1),"Regress","Hold"))))))</x:f>
        <x:v>Not logged</x:v>
      </x:c>
      <x:c r="AT106" s="335" t="n">
        <x:f>IF(OR(Z106=0,AN106&lt;&gt;"Yes",AO106=0,AK106=""),0,IF(AL106&gt;='Setup'!$B$14,-2*'Setup'!$B$11,IF(AND(MAX(AB106,AD106,AF106,AH106,AJ106)&gt;=P106,AK106&gt;=Q106+1),'Setup'!$B$10,IF(OR(MAX(AB106,AD106,AF106,AH106,AJ106)&lt;O106,AK106&lt;Q106-1),-'Setup'!$B$11,0))))</x:f>
        <x:v>0</x:v>
      </x:c>
      <x:c r="AU106" s="333" t="n">
        <x:f>IF(Z106=0,0,IF(AN106&lt;&gt;"Yes",Z106,IF(COUNT(AA106,AC106,AE106,AG106,AI106)=0,Z106,ROUND((MAX(AA106,AC106,AE106,AG106,AI106)*(1+AT106))/'Setup'!$B$9,0)*'Setup'!$B$9)))</x:f>
        <x:v>0</x:v>
      </x:c>
      <x:c r="AV106" s="336"/>
    </x:row>
    <x:row r="107">
      <x:c r="A107" s="310" t="n">
        <x:f>'Setup'!$B$3+(C107-1)*7+(D107-1)</x:f>
        <x:v>46255</x:v>
      </x:c>
      <x:c r="B107" s="311" t="str">
        <x:v>2|5|5</x:v>
      </x:c>
      <x:c r="C107" s="311" t="n">
        <x:v>2</x:v>
      </x:c>
      <x:c r="D107" s="311" t="n">
        <x:v>5</x:v>
      </x:c>
      <x:c r="E107" s="311" t="str">
        <x:v>Accumulation</x:v>
      </x:c>
      <x:c r="F107" s="311" t="str">
        <x:v>Legs B + Athletic</x:v>
      </x:c>
      <x:c r="G107" s="311" t="str">
        <x:v>Acceleration + lower-body hypertrophy</x:v>
      </x:c>
      <x:c r="H107" s="311" t="n">
        <x:v>5</x:v>
      </x:c>
      <x:c r="I107" s="311" t="str">
        <x:v>Leg Press</x:v>
      </x:c>
      <x:c r="J107" s="311" t="str">
        <x:v>Hypertrophy</x:v>
      </x:c>
      <x:c r="K107" s="311" t="str">
        <x:v>Quads</x:v>
      </x:c>
      <x:c r="L107" s="311" t="str">
        <x:v>Straight sets</x:v>
      </x:c>
      <x:c r="M107" s="311"/>
      <x:c r="N107" s="311" t="n">
        <x:v>4</x:v>
      </x:c>
      <x:c r="O107" s="311" t="n">
        <x:v>12</x:v>
      </x:c>
      <x:c r="P107" s="311" t="n">
        <x:v>15</x:v>
      </x:c>
      <x:c r="Q107" s="311" t="n">
        <x:v>2</x:v>
      </x:c>
      <x:c r="R107" s="311" t="n">
        <x:v>90</x:v>
      </x:c>
      <x:c r="S107" s="311" t="str">
        <x:v>3-0-1</x:v>
      </x:c>
      <x:c r="T107" s="330" t="n">
        <x:v>1</x:v>
      </x:c>
      <x:c r="U107" s="330" t="n">
        <x:v>0</x:v>
      </x:c>
      <x:c r="V107" s="331" t="str">
        <x:v>load × reps</x:v>
      </x:c>
      <x:c r="W107" s="332" t="str">
        <x:f>'Readiness'!K17</x:f>
      </x:c>
      <x:c r="X107" s="314" t="n">
        <x:f>'Readiness'!L17</x:f>
        <x:v>1</x:v>
      </x:c>
      <x:c r="Y107" s="315" t="n">
        <x:f>IF(J107="Mobility",N107,MAX(1,ROUND(N107*X107,0)))</x:f>
        <x:v>4</x:v>
      </x:c>
      <x:c r="Z107" s="333" t="n">
        <x:f>ROUND((IF(AU51&gt;0,AU51,IF(Z51&gt;0,Z51,'Setup'!$D$58))*T107)/'Setup'!$B$9,0)*'Setup'!$B$9</x:f>
        <x:v>0</x:v>
      </x:c>
      <x:c r="AA107" s="334"/>
      <x:c r="AB107" s="334"/>
      <x:c r="AC107" s="334"/>
      <x:c r="AD107" s="334"/>
      <x:c r="AE107" s="334"/>
      <x:c r="AF107" s="334"/>
      <x:c r="AG107" s="334"/>
      <x:c r="AH107" s="334"/>
      <x:c r="AI107" s="334"/>
      <x:c r="AJ107" s="312"/>
      <x:c r="AK107" s="312"/>
      <x:c r="AL107" s="312"/>
      <x:c r="AM107" s="312"/>
      <x:c r="AN107" s="312"/>
      <x:c r="AO107" s="315" t="n">
        <x:f>COUNT(AB107,AD107,AF107,AH107,AJ107)</x:f>
        <x:v>0</x:v>
      </x:c>
      <x:c r="AP107" s="315" t="n">
        <x:f>SUM(AB107,AD107,AF107,AH107,AJ107)</x:f>
        <x:v>0</x:v>
      </x:c>
      <x:c r="AQ107" s="333" t="n">
        <x:f>AA107*AB107+AC107*AD107+AE107*AF107+AG107*AH107+AI107*AJ107</x:f>
        <x:v>0</x:v>
      </x:c>
      <x:c r="AR107" s="333" t="n">
        <x:f>IF(OR(J107="Strength",J107="Hypertrophy"),MAX(IF(AB107&gt;0,AA107*(1+AB107/30),0),IF(AD107&gt;0,AC107*(1+AD107/30),0),IF(AF107&gt;0,AE107*(1+AF107/30),0),IF(AH107&gt;0,AG107*(1+AH107/30),0),IF(AJ107&gt;0,AI107*(1+AJ107/30),0)),0)</x:f>
        <x:v>0</x:v>
      </x:c>
      <x:c r="AS107" s="315" t="str">
        <x:f>IF(AN107&lt;&gt;"Yes","Not logged",IF(AL107&gt;='Setup'!$B$14,"STOP / MODIFY",IF(Z107=0,"Complete",IF(OR(AO107=0,AK107=""),"Add set data + RIR",IF(AND(MAX(AB107,AD107,AF107,AH107,AJ107)&gt;=P107,AK107&gt;=Q107+1),"Progress",IF(OR(MAX(AB107,AD107,AF107,AH107,AJ107)&lt;O107,AK107&lt;Q107-1),"Regress","Hold"))))))</x:f>
        <x:v>Not logged</x:v>
      </x:c>
      <x:c r="AT107" s="335" t="n">
        <x:f>IF(OR(Z107=0,AN107&lt;&gt;"Yes",AO107=0,AK107=""),0,IF(AL107&gt;='Setup'!$B$14,-2*'Setup'!$B$11,IF(AND(MAX(AB107,AD107,AF107,AH107,AJ107)&gt;=P107,AK107&gt;=Q107+1),'Setup'!$B$10,IF(OR(MAX(AB107,AD107,AF107,AH107,AJ107)&lt;O107,AK107&lt;Q107-1),-'Setup'!$B$11,0))))</x:f>
        <x:v>0</x:v>
      </x:c>
      <x:c r="AU107" s="333" t="n">
        <x:f>IF(Z107=0,0,IF(AN107&lt;&gt;"Yes",Z107,IF(COUNT(AA107,AC107,AE107,AG107,AI107)=0,Z107,ROUND((MAX(AA107,AC107,AE107,AG107,AI107)*(1+AT107))/'Setup'!$B$9,0)*'Setup'!$B$9)))</x:f>
        <x:v>0</x:v>
      </x:c>
      <x:c r="AV107" s="336"/>
    </x:row>
    <x:row r="108">
      <x:c r="A108" s="310" t="n">
        <x:f>'Setup'!$B$3+(C108-1)*7+(D108-1)</x:f>
        <x:v>46255</x:v>
      </x:c>
      <x:c r="B108" s="311" t="str">
        <x:v>2|5|6</x:v>
      </x:c>
      <x:c r="C108" s="311" t="n">
        <x:v>2</x:v>
      </x:c>
      <x:c r="D108" s="311" t="n">
        <x:v>5</x:v>
      </x:c>
      <x:c r="E108" s="311" t="str">
        <x:v>Accumulation</x:v>
      </x:c>
      <x:c r="F108" s="311" t="str">
        <x:v>Legs B + Athletic</x:v>
      </x:c>
      <x:c r="G108" s="311" t="str">
        <x:v>Acceleration + lower-body hypertrophy</x:v>
      </x:c>
      <x:c r="H108" s="311" t="n">
        <x:v>6</x:v>
      </x:c>
      <x:c r="I108" s="311" t="str">
        <x:v>Walking Lunge</x:v>
      </x:c>
      <x:c r="J108" s="311" t="str">
        <x:v>Hypertrophy</x:v>
      </x:c>
      <x:c r="K108" s="311" t="str">
        <x:v>Quads</x:v>
      </x:c>
      <x:c r="L108" s="311" t="str">
        <x:v>Straight sets</x:v>
      </x:c>
      <x:c r="M108" s="311"/>
      <x:c r="N108" s="311" t="n">
        <x:v>2</x:v>
      </x:c>
      <x:c r="O108" s="311" t="n">
        <x:v>10</x:v>
      </x:c>
      <x:c r="P108" s="311" t="n">
        <x:v>12</x:v>
      </x:c>
      <x:c r="Q108" s="311" t="n">
        <x:v>2</x:v>
      </x:c>
      <x:c r="R108" s="311" t="n">
        <x:v>75</x:v>
      </x:c>
      <x:c r="S108" s="311" t="str">
        <x:v>2-0-1</x:v>
      </x:c>
      <x:c r="T108" s="330" t="n">
        <x:v>1</x:v>
      </x:c>
      <x:c r="U108" s="330" t="n">
        <x:v>0</x:v>
      </x:c>
      <x:c r="V108" s="331" t="str">
        <x:v>load × reps</x:v>
      </x:c>
      <x:c r="W108" s="332" t="str">
        <x:f>'Readiness'!K17</x:f>
      </x:c>
      <x:c r="X108" s="314" t="n">
        <x:f>'Readiness'!L17</x:f>
        <x:v>1</x:v>
      </x:c>
      <x:c r="Y108" s="315" t="n">
        <x:f>IF(J108="Mobility",N108,MAX(1,ROUND(N108*X108,0)))</x:f>
        <x:v>2</x:v>
      </x:c>
      <x:c r="Z108" s="333" t="n">
        <x:f>ROUND((IF(AU52&gt;0,AU52,IF(Z52&gt;0,Z52,'Setup'!$D$93))*T108)/'Setup'!$B$9,0)*'Setup'!$B$9</x:f>
        <x:v>0</x:v>
      </x:c>
      <x:c r="AA108" s="334"/>
      <x:c r="AB108" s="334"/>
      <x:c r="AC108" s="334"/>
      <x:c r="AD108" s="334"/>
      <x:c r="AE108" s="334"/>
      <x:c r="AF108" s="334"/>
      <x:c r="AG108" s="334"/>
      <x:c r="AH108" s="334"/>
      <x:c r="AI108" s="334"/>
      <x:c r="AJ108" s="312"/>
      <x:c r="AK108" s="312"/>
      <x:c r="AL108" s="312"/>
      <x:c r="AM108" s="312"/>
      <x:c r="AN108" s="312"/>
      <x:c r="AO108" s="315" t="n">
        <x:f>COUNT(AB108,AD108,AF108,AH108,AJ108)</x:f>
        <x:v>0</x:v>
      </x:c>
      <x:c r="AP108" s="315" t="n">
        <x:f>SUM(AB108,AD108,AF108,AH108,AJ108)</x:f>
        <x:v>0</x:v>
      </x:c>
      <x:c r="AQ108" s="333" t="n">
        <x:f>AA108*AB108+AC108*AD108+AE108*AF108+AG108*AH108+AI108*AJ108</x:f>
        <x:v>0</x:v>
      </x:c>
      <x:c r="AR108" s="333" t="n">
        <x:f>IF(OR(J108="Strength",J108="Hypertrophy"),MAX(IF(AB108&gt;0,AA108*(1+AB108/30),0),IF(AD108&gt;0,AC108*(1+AD108/30),0),IF(AF108&gt;0,AE108*(1+AF108/30),0),IF(AH108&gt;0,AG108*(1+AH108/30),0),IF(AJ108&gt;0,AI108*(1+AJ108/30),0)),0)</x:f>
        <x:v>0</x:v>
      </x:c>
      <x:c r="AS108" s="315" t="str">
        <x:f>IF(AN108&lt;&gt;"Yes","Not logged",IF(AL108&gt;='Setup'!$B$14,"STOP / MODIFY",IF(Z108=0,"Complete",IF(OR(AO108=0,AK108=""),"Add set data + RIR",IF(AND(MAX(AB108,AD108,AF108,AH108,AJ108)&gt;=P108,AK108&gt;=Q108+1),"Progress",IF(OR(MAX(AB108,AD108,AF108,AH108,AJ108)&lt;O108,AK108&lt;Q108-1),"Regress","Hold"))))))</x:f>
        <x:v>Not logged</x:v>
      </x:c>
      <x:c r="AT108" s="335" t="n">
        <x:f>IF(OR(Z108=0,AN108&lt;&gt;"Yes",AO108=0,AK108=""),0,IF(AL108&gt;='Setup'!$B$14,-2*'Setup'!$B$11,IF(AND(MAX(AB108,AD108,AF108,AH108,AJ108)&gt;=P108,AK108&gt;=Q108+1),'Setup'!$B$10,IF(OR(MAX(AB108,AD108,AF108,AH108,AJ108)&lt;O108,AK108&lt;Q108-1),-'Setup'!$B$11,0))))</x:f>
        <x:v>0</x:v>
      </x:c>
      <x:c r="AU108" s="333" t="n">
        <x:f>IF(Z108=0,0,IF(AN108&lt;&gt;"Yes",Z108,IF(COUNT(AA108,AC108,AE108,AG108,AI108)=0,Z108,ROUND((MAX(AA108,AC108,AE108,AG108,AI108)*(1+AT108))/'Setup'!$B$9,0)*'Setup'!$B$9)))</x:f>
        <x:v>0</x:v>
      </x:c>
      <x:c r="AV108" s="336"/>
    </x:row>
    <x:row r="109">
      <x:c r="A109" s="310" t="n">
        <x:f>'Setup'!$B$3+(C109-1)*7+(D109-1)</x:f>
        <x:v>46255</x:v>
      </x:c>
      <x:c r="B109" s="311" t="str">
        <x:v>2|5|7</x:v>
      </x:c>
      <x:c r="C109" s="311" t="n">
        <x:v>2</x:v>
      </x:c>
      <x:c r="D109" s="311" t="n">
        <x:v>5</x:v>
      </x:c>
      <x:c r="E109" s="311" t="str">
        <x:v>Accumulation</x:v>
      </x:c>
      <x:c r="F109" s="311" t="str">
        <x:v>Legs B + Athletic</x:v>
      </x:c>
      <x:c r="G109" s="311" t="str">
        <x:v>Acceleration + lower-body hypertrophy</x:v>
      </x:c>
      <x:c r="H109" s="311" t="n">
        <x:v>7</x:v>
      </x:c>
      <x:c r="I109" s="311" t="str">
        <x:v>Sled Push</x:v>
      </x:c>
      <x:c r="J109" s="311" t="str">
        <x:v>Athletic</x:v>
      </x:c>
      <x:c r="K109" s="311" t="str">
        <x:v>Quads</x:v>
      </x:c>
      <x:c r="L109" s="311" t="str">
        <x:v>Fast, powerful steps</x:v>
      </x:c>
      <x:c r="M109" s="311"/>
      <x:c r="N109" s="311" t="n">
        <x:v>6</x:v>
      </x:c>
      <x:c r="O109" s="311" t="n">
        <x:v>20</x:v>
      </x:c>
      <x:c r="P109" s="311" t="n">
        <x:v>25</x:v>
      </x:c>
      <x:c r="Q109" s="311" t="n">
        <x:v>2</x:v>
      </x:c>
      <x:c r="R109" s="311" t="n">
        <x:v>75</x:v>
      </x:c>
      <x:c r="S109" s="311" t="str">
        <x:v>Fast</x:v>
      </x:c>
      <x:c r="T109" s="330" t="n">
        <x:v>1</x:v>
      </x:c>
      <x:c r="U109" s="330" t="n">
        <x:v>0</x:v>
      </x:c>
      <x:c r="V109" s="331" t="str">
        <x:v>load + meters</x:v>
      </x:c>
      <x:c r="W109" s="332" t="str">
        <x:f>'Readiness'!K17</x:f>
      </x:c>
      <x:c r="X109" s="314" t="n">
        <x:f>'Readiness'!L17</x:f>
        <x:v>1</x:v>
      </x:c>
      <x:c r="Y109" s="315" t="n">
        <x:f>IF(J109="Mobility",N109,MAX(1,ROUND(N109*X109,0)))</x:f>
        <x:v>6</x:v>
      </x:c>
      <x:c r="Z109" s="333" t="n">
        <x:f>0</x:f>
        <x:v>0</x:v>
      </x:c>
      <x:c r="AA109" s="334"/>
      <x:c r="AB109" s="334"/>
      <x:c r="AC109" s="334"/>
      <x:c r="AD109" s="334"/>
      <x:c r="AE109" s="334"/>
      <x:c r="AF109" s="334"/>
      <x:c r="AG109" s="334"/>
      <x:c r="AH109" s="334"/>
      <x:c r="AI109" s="334"/>
      <x:c r="AJ109" s="312"/>
      <x:c r="AK109" s="312"/>
      <x:c r="AL109" s="312"/>
      <x:c r="AM109" s="312"/>
      <x:c r="AN109" s="312"/>
      <x:c r="AO109" s="315" t="n">
        <x:f>COUNT(AB109,AD109,AF109,AH109,AJ109)</x:f>
        <x:v>0</x:v>
      </x:c>
      <x:c r="AP109" s="315" t="n">
        <x:f>SUM(AB109,AD109,AF109,AH109,AJ109)</x:f>
        <x:v>0</x:v>
      </x:c>
      <x:c r="AQ109" s="333" t="n">
        <x:f>AA109*AB109+AC109*AD109+AE109*AF109+AG109*AH109+AI109*AJ109</x:f>
        <x:v>0</x:v>
      </x:c>
      <x:c r="AR109" s="333" t="n">
        <x:f>IF(OR(J109="Strength",J109="Hypertrophy"),MAX(IF(AB109&gt;0,AA109*(1+AB109/30),0),IF(AD109&gt;0,AC109*(1+AD109/30),0),IF(AF109&gt;0,AE109*(1+AF109/30),0),IF(AH109&gt;0,AG109*(1+AH109/30),0),IF(AJ109&gt;0,AI109*(1+AJ109/30),0)),0)</x:f>
        <x:v>0</x:v>
      </x:c>
      <x:c r="AS109" s="315" t="str">
        <x:f>IF(AN109&lt;&gt;"Yes","Not logged",IF(AL109&gt;='Setup'!$B$14,"STOP / MODIFY",IF(Z109=0,"Complete",IF(OR(AO109=0,AK109=""),"Add set data + RIR",IF(AND(MAX(AB109,AD109,AF109,AH109,AJ109)&gt;=P109,AK109&gt;=Q109+1),"Progress",IF(OR(MAX(AB109,AD109,AF109,AH109,AJ109)&lt;O109,AK109&lt;Q109-1),"Regress","Hold"))))))</x:f>
        <x:v>Not logged</x:v>
      </x:c>
      <x:c r="AT109" s="335" t="n">
        <x:f>IF(OR(Z109=0,AN109&lt;&gt;"Yes",AO109=0,AK109=""),0,IF(AL109&gt;='Setup'!$B$14,-2*'Setup'!$B$11,IF(AND(MAX(AB109,AD109,AF109,AH109,AJ109)&gt;=P109,AK109&gt;=Q109+1),'Setup'!$B$10,IF(OR(MAX(AB109,AD109,AF109,AH109,AJ109)&lt;O109,AK109&lt;Q109-1),-'Setup'!$B$11,0))))</x:f>
        <x:v>0</x:v>
      </x:c>
      <x:c r="AU109" s="333" t="n">
        <x:f>IF(Z109=0,0,IF(AN109&lt;&gt;"Yes",Z109,IF(COUNT(AA109,AC109,AE109,AG109,AI109)=0,Z109,ROUND((MAX(AA109,AC109,AE109,AG109,AI109)*(1+AT109))/'Setup'!$B$9,0)*'Setup'!$B$9)))</x:f>
        <x:v>0</x:v>
      </x:c>
      <x:c r="AV109" s="336"/>
    </x:row>
    <x:row r="110">
      <x:c r="A110" s="310" t="n">
        <x:f>'Setup'!$B$3+(C110-1)*7+(D110-1)</x:f>
        <x:v>46255</x:v>
      </x:c>
      <x:c r="B110" s="311" t="str">
        <x:v>2|5|8</x:v>
      </x:c>
      <x:c r="C110" s="311" t="n">
        <x:v>2</x:v>
      </x:c>
      <x:c r="D110" s="311" t="n">
        <x:v>5</x:v>
      </x:c>
      <x:c r="E110" s="311" t="str">
        <x:v>Accumulation</x:v>
      </x:c>
      <x:c r="F110" s="311" t="str">
        <x:v>Legs B + Athletic</x:v>
      </x:c>
      <x:c r="G110" s="311" t="str">
        <x:v>Acceleration + lower-body hypertrophy</x:v>
      </x:c>
      <x:c r="H110" s="311" t="n">
        <x:v>8</x:v>
      </x:c>
      <x:c r="I110" s="311" t="str">
        <x:v>Seated Calf Raise</x:v>
      </x:c>
      <x:c r="J110" s="311" t="str">
        <x:v>Hypertrophy</x:v>
      </x:c>
      <x:c r="K110" s="311" t="str">
        <x:v>Calves</x:v>
      </x:c>
      <x:c r="L110" s="311" t="str">
        <x:v>Optional myo-rep final set</x:v>
      </x:c>
      <x:c r="M110" s="311"/>
      <x:c r="N110" s="311" t="n">
        <x:v>4</x:v>
      </x:c>
      <x:c r="O110" s="311" t="n">
        <x:v>12</x:v>
      </x:c>
      <x:c r="P110" s="311" t="n">
        <x:v>20</x:v>
      </x:c>
      <x:c r="Q110" s="311" t="n">
        <x:v>2</x:v>
      </x:c>
      <x:c r="R110" s="311" t="n">
        <x:v>60</x:v>
      </x:c>
      <x:c r="S110" s="311" t="str">
        <x:v>2-2-1</x:v>
      </x:c>
      <x:c r="T110" s="330" t="n">
        <x:v>1</x:v>
      </x:c>
      <x:c r="U110" s="330" t="n">
        <x:v>0</x:v>
      </x:c>
      <x:c r="V110" s="331" t="str">
        <x:v>load × reps</x:v>
      </x:c>
      <x:c r="W110" s="332" t="str">
        <x:f>'Readiness'!K17</x:f>
      </x:c>
      <x:c r="X110" s="314" t="n">
        <x:f>'Readiness'!L17</x:f>
        <x:v>1</x:v>
      </x:c>
      <x:c r="Y110" s="315" t="n">
        <x:f>IF(J110="Mobility",N110,MAX(1,ROUND(N110*X110,0)))</x:f>
        <x:v>4</x:v>
      </x:c>
      <x:c r="Z110" s="333" t="n">
        <x:f>ROUND((IF(AU54&gt;0,AU54,IF(Z54&gt;0,Z54,'Setup'!$D$82))*T110)/'Setup'!$B$9,0)*'Setup'!$B$9</x:f>
        <x:v>0</x:v>
      </x:c>
      <x:c r="AA110" s="334"/>
      <x:c r="AB110" s="334"/>
      <x:c r="AC110" s="334"/>
      <x:c r="AD110" s="334"/>
      <x:c r="AE110" s="334"/>
      <x:c r="AF110" s="334"/>
      <x:c r="AG110" s="334"/>
      <x:c r="AH110" s="334"/>
      <x:c r="AI110" s="334"/>
      <x:c r="AJ110" s="312"/>
      <x:c r="AK110" s="312"/>
      <x:c r="AL110" s="312"/>
      <x:c r="AM110" s="312"/>
      <x:c r="AN110" s="312"/>
      <x:c r="AO110" s="315" t="n">
        <x:f>COUNT(AB110,AD110,AF110,AH110,AJ110)</x:f>
        <x:v>0</x:v>
      </x:c>
      <x:c r="AP110" s="315" t="n">
        <x:f>SUM(AB110,AD110,AF110,AH110,AJ110)</x:f>
        <x:v>0</x:v>
      </x:c>
      <x:c r="AQ110" s="333" t="n">
        <x:f>AA110*AB110+AC110*AD110+AE110*AF110+AG110*AH110+AI110*AJ110</x:f>
        <x:v>0</x:v>
      </x:c>
      <x:c r="AR110" s="333" t="n">
        <x:f>IF(OR(J110="Strength",J110="Hypertrophy"),MAX(IF(AB110&gt;0,AA110*(1+AB110/30),0),IF(AD110&gt;0,AC110*(1+AD110/30),0),IF(AF110&gt;0,AE110*(1+AF110/30),0),IF(AH110&gt;0,AG110*(1+AH110/30),0),IF(AJ110&gt;0,AI110*(1+AJ110/30),0)),0)</x:f>
        <x:v>0</x:v>
      </x:c>
      <x:c r="AS110" s="315" t="str">
        <x:f>IF(AN110&lt;&gt;"Yes","Not logged",IF(AL110&gt;='Setup'!$B$14,"STOP / MODIFY",IF(Z110=0,"Complete",IF(OR(AO110=0,AK110=""),"Add set data + RIR",IF(AND(MAX(AB110,AD110,AF110,AH110,AJ110)&gt;=P110,AK110&gt;=Q110+1),"Progress",IF(OR(MAX(AB110,AD110,AF110,AH110,AJ110)&lt;O110,AK110&lt;Q110-1),"Regress","Hold"))))))</x:f>
        <x:v>Not logged</x:v>
      </x:c>
      <x:c r="AT110" s="335" t="n">
        <x:f>IF(OR(Z110=0,AN110&lt;&gt;"Yes",AO110=0,AK110=""),0,IF(AL110&gt;='Setup'!$B$14,-2*'Setup'!$B$11,IF(AND(MAX(AB110,AD110,AF110,AH110,AJ110)&gt;=P110,AK110&gt;=Q110+1),'Setup'!$B$10,IF(OR(MAX(AB110,AD110,AF110,AH110,AJ110)&lt;O110,AK110&lt;Q110-1),-'Setup'!$B$11,0))))</x:f>
        <x:v>0</x:v>
      </x:c>
      <x:c r="AU110" s="333" t="n">
        <x:f>IF(Z110=0,0,IF(AN110&lt;&gt;"Yes",Z110,IF(COUNT(AA110,AC110,AE110,AG110,AI110)=0,Z110,ROUND((MAX(AA110,AC110,AE110,AG110,AI110)*(1+AT110))/'Setup'!$B$9,0)*'Setup'!$B$9)))</x:f>
        <x:v>0</x:v>
      </x:c>
      <x:c r="AV110" s="336"/>
    </x:row>
    <x:row r="111">
      <x:c r="A111" s="310" t="n">
        <x:f>'Setup'!$B$3+(C111-1)*7+(D111-1)</x:f>
        <x:v>46255</x:v>
      </x:c>
      <x:c r="B111" s="311" t="str">
        <x:v>2|5|9</x:v>
      </x:c>
      <x:c r="C111" s="311" t="n">
        <x:v>2</x:v>
      </x:c>
      <x:c r="D111" s="311" t="n">
        <x:v>5</x:v>
      </x:c>
      <x:c r="E111" s="311" t="str">
        <x:v>Accumulation</x:v>
      </x:c>
      <x:c r="F111" s="311" t="str">
        <x:v>Legs B + Athletic</x:v>
      </x:c>
      <x:c r="G111" s="311" t="str">
        <x:v>Acceleration + lower-body hypertrophy</x:v>
      </x:c>
      <x:c r="H111" s="311" t="n">
        <x:v>9</x:v>
      </x:c>
      <x:c r="I111" s="311" t="str">
        <x:v>Copenhagen Plank</x:v>
      </x:c>
      <x:c r="J111" s="311" t="str">
        <x:v>Mobility</x:v>
      </x:c>
      <x:c r="K111" s="311" t="str">
        <x:v>Core</x:v>
      </x:c>
      <x:c r="L111" s="311" t="str">
        <x:v>Isometric control</x:v>
      </x:c>
      <x:c r="M111" s="311"/>
      <x:c r="N111" s="311" t="n">
        <x:v>2</x:v>
      </x:c>
      <x:c r="O111" s="311" t="n">
        <x:v>20</x:v>
      </x:c>
      <x:c r="P111" s="311" t="n">
        <x:v>30</x:v>
      </x:c>
      <x:c r="Q111" s="311"/>
      <x:c r="R111" s="311" t="n">
        <x:v>30</x:v>
      </x:c>
      <x:c r="S111" s="311" t="str">
        <x:v>Hold</x:v>
      </x:c>
      <x:c r="T111" s="330" t="n">
        <x:v>1</x:v>
      </x:c>
      <x:c r="U111" s="330" t="n">
        <x:v>0</x:v>
      </x:c>
      <x:c r="V111" s="331" t="str">
        <x:v>seconds</x:v>
      </x:c>
      <x:c r="W111" s="332" t="str">
        <x:f>'Readiness'!K17</x:f>
      </x:c>
      <x:c r="X111" s="314" t="n">
        <x:f>'Readiness'!L17</x:f>
        <x:v>1</x:v>
      </x:c>
      <x:c r="Y111" s="315" t="n">
        <x:f>IF(J111="Mobility",N111,MAX(1,ROUND(N111*X111,0)))</x:f>
        <x:v>2</x:v>
      </x:c>
      <x:c r="Z111" s="333" t="n">
        <x:f>0</x:f>
        <x:v>0</x:v>
      </x:c>
      <x:c r="AA111" s="334"/>
      <x:c r="AB111" s="334"/>
      <x:c r="AC111" s="334"/>
      <x:c r="AD111" s="334"/>
      <x:c r="AE111" s="334"/>
      <x:c r="AF111" s="334"/>
      <x:c r="AG111" s="334"/>
      <x:c r="AH111" s="334"/>
      <x:c r="AI111" s="334"/>
      <x:c r="AJ111" s="312"/>
      <x:c r="AK111" s="312"/>
      <x:c r="AL111" s="312"/>
      <x:c r="AM111" s="312"/>
      <x:c r="AN111" s="312"/>
      <x:c r="AO111" s="315" t="n">
        <x:f>COUNT(AB111,AD111,AF111,AH111,AJ111)</x:f>
        <x:v>0</x:v>
      </x:c>
      <x:c r="AP111" s="315" t="n">
        <x:f>SUM(AB111,AD111,AF111,AH111,AJ111)</x:f>
        <x:v>0</x:v>
      </x:c>
      <x:c r="AQ111" s="333" t="n">
        <x:f>AA111*AB111+AC111*AD111+AE111*AF111+AG111*AH111+AI111*AJ111</x:f>
        <x:v>0</x:v>
      </x:c>
      <x:c r="AR111" s="333" t="n">
        <x:f>IF(OR(J111="Strength",J111="Hypertrophy"),MAX(IF(AB111&gt;0,AA111*(1+AB111/30),0),IF(AD111&gt;0,AC111*(1+AD111/30),0),IF(AF111&gt;0,AE111*(1+AF111/30),0),IF(AH111&gt;0,AG111*(1+AH111/30),0),IF(AJ111&gt;0,AI111*(1+AJ111/30),0)),0)</x:f>
        <x:v>0</x:v>
      </x:c>
      <x:c r="AS111" s="315" t="str">
        <x:f>IF(AN111&lt;&gt;"Yes","Not logged",IF(AL111&gt;='Setup'!$B$14,"STOP / MODIFY",IF(Z111=0,"Complete",IF(OR(AO111=0,AK111=""),"Add set data + RIR",IF(AND(MAX(AB111,AD111,AF111,AH111,AJ111)&gt;=P111,AK111&gt;=Q111+1),"Progress",IF(OR(MAX(AB111,AD111,AF111,AH111,AJ111)&lt;O111,AK111&lt;Q111-1),"Regress","Hold"))))))</x:f>
        <x:v>Not logged</x:v>
      </x:c>
      <x:c r="AT111" s="335" t="n">
        <x:f>IF(OR(Z111=0,AN111&lt;&gt;"Yes",AO111=0,AK111=""),0,IF(AL111&gt;='Setup'!$B$14,-2*'Setup'!$B$11,IF(AND(MAX(AB111,AD111,AF111,AH111,AJ111)&gt;=P111,AK111&gt;=Q111+1),'Setup'!$B$10,IF(OR(MAX(AB111,AD111,AF111,AH111,AJ111)&lt;O111,AK111&lt;Q111-1),-'Setup'!$B$11,0))))</x:f>
        <x:v>0</x:v>
      </x:c>
      <x:c r="AU111" s="333" t="n">
        <x:f>IF(Z111=0,0,IF(AN111&lt;&gt;"Yes",Z111,IF(COUNT(AA111,AC111,AE111,AG111,AI111)=0,Z111,ROUND((MAX(AA111,AC111,AE111,AG111,AI111)*(1+AT111))/'Setup'!$B$9,0)*'Setup'!$B$9)))</x:f>
        <x:v>0</x:v>
      </x:c>
      <x:c r="AV111" s="336"/>
    </x:row>
    <x:row r="112">
      <x:c r="A112" s="310" t="n">
        <x:f>'Setup'!$B$3+(C112-1)*7+(D112-1)</x:f>
        <x:v>46255</x:v>
      </x:c>
      <x:c r="B112" s="311" t="str">
        <x:v>2|5|10</x:v>
      </x:c>
      <x:c r="C112" s="311" t="n">
        <x:v>2</x:v>
      </x:c>
      <x:c r="D112" s="311" t="n">
        <x:v>5</x:v>
      </x:c>
      <x:c r="E112" s="311" t="str">
        <x:v>Accumulation</x:v>
      </x:c>
      <x:c r="F112" s="311" t="str">
        <x:v>Legs B + Athletic</x:v>
      </x:c>
      <x:c r="G112" s="311" t="str">
        <x:v>Acceleration + lower-body hypertrophy</x:v>
      </x:c>
      <x:c r="H112" s="311" t="n">
        <x:v>10</x:v>
      </x:c>
      <x:c r="I112" s="311" t="str">
        <x:v>Couch Stretch</x:v>
      </x:c>
      <x:c r="J112" s="311" t="str">
        <x:v>Mobility</x:v>
      </x:c>
      <x:c r="K112" s="311" t="str">
        <x:v>Hips</x:v>
      </x:c>
      <x:c r="L112" s="311" t="str">
        <x:v>Relaxed breathing</x:v>
      </x:c>
      <x:c r="M112" s="311"/>
      <x:c r="N112" s="311" t="n">
        <x:v>2</x:v>
      </x:c>
      <x:c r="O112" s="311" t="n">
        <x:v>30</x:v>
      </x:c>
      <x:c r="P112" s="311" t="n">
        <x:v>45</x:v>
      </x:c>
      <x:c r="Q112" s="311"/>
      <x:c r="R112" s="311" t="n">
        <x:v>20</x:v>
      </x:c>
      <x:c r="S112" s="311" t="str">
        <x:v>Hold</x:v>
      </x:c>
      <x:c r="T112" s="330" t="n">
        <x:v>1</x:v>
      </x:c>
      <x:c r="U112" s="330" t="n">
        <x:v>0</x:v>
      </x:c>
      <x:c r="V112" s="331" t="str">
        <x:v>seconds</x:v>
      </x:c>
      <x:c r="W112" s="332" t="str">
        <x:f>'Readiness'!K17</x:f>
      </x:c>
      <x:c r="X112" s="314" t="n">
        <x:f>'Readiness'!L17</x:f>
        <x:v>1</x:v>
      </x:c>
      <x:c r="Y112" s="315" t="n">
        <x:f>IF(J112="Mobility",N112,MAX(1,ROUND(N112*X112,0)))</x:f>
        <x:v>2</x:v>
      </x:c>
      <x:c r="Z112" s="333" t="n">
        <x:f>0</x:f>
        <x:v>0</x:v>
      </x:c>
      <x:c r="AA112" s="334"/>
      <x:c r="AB112" s="334"/>
      <x:c r="AC112" s="334"/>
      <x:c r="AD112" s="334"/>
      <x:c r="AE112" s="334"/>
      <x:c r="AF112" s="334"/>
      <x:c r="AG112" s="334"/>
      <x:c r="AH112" s="334"/>
      <x:c r="AI112" s="334"/>
      <x:c r="AJ112" s="312"/>
      <x:c r="AK112" s="312"/>
      <x:c r="AL112" s="312"/>
      <x:c r="AM112" s="312"/>
      <x:c r="AN112" s="312"/>
      <x:c r="AO112" s="315" t="n">
        <x:f>COUNT(AB112,AD112,AF112,AH112,AJ112)</x:f>
        <x:v>0</x:v>
      </x:c>
      <x:c r="AP112" s="315" t="n">
        <x:f>SUM(AB112,AD112,AF112,AH112,AJ112)</x:f>
        <x:v>0</x:v>
      </x:c>
      <x:c r="AQ112" s="333" t="n">
        <x:f>AA112*AB112+AC112*AD112+AE112*AF112+AG112*AH112+AI112*AJ112</x:f>
        <x:v>0</x:v>
      </x:c>
      <x:c r="AR112" s="333" t="n">
        <x:f>IF(OR(J112="Strength",J112="Hypertrophy"),MAX(IF(AB112&gt;0,AA112*(1+AB112/30),0),IF(AD112&gt;0,AC112*(1+AD112/30),0),IF(AF112&gt;0,AE112*(1+AF112/30),0),IF(AH112&gt;0,AG112*(1+AH112/30),0),IF(AJ112&gt;0,AI112*(1+AJ112/30),0)),0)</x:f>
        <x:v>0</x:v>
      </x:c>
      <x:c r="AS112" s="315" t="str">
        <x:f>IF(AN112&lt;&gt;"Yes","Not logged",IF(AL112&gt;='Setup'!$B$14,"STOP / MODIFY",IF(Z112=0,"Complete",IF(OR(AO112=0,AK112=""),"Add set data + RIR",IF(AND(MAX(AB112,AD112,AF112,AH112,AJ112)&gt;=P112,AK112&gt;=Q112+1),"Progress",IF(OR(MAX(AB112,AD112,AF112,AH112,AJ112)&lt;O112,AK112&lt;Q112-1),"Regress","Hold"))))))</x:f>
        <x:v>Not logged</x:v>
      </x:c>
      <x:c r="AT112" s="335" t="n">
        <x:f>IF(OR(Z112=0,AN112&lt;&gt;"Yes",AO112=0,AK112=""),0,IF(AL112&gt;='Setup'!$B$14,-2*'Setup'!$B$11,IF(AND(MAX(AB112,AD112,AF112,AH112,AJ112)&gt;=P112,AK112&gt;=Q112+1),'Setup'!$B$10,IF(OR(MAX(AB112,AD112,AF112,AH112,AJ112)&lt;O112,AK112&lt;Q112-1),-'Setup'!$B$11,0))))</x:f>
        <x:v>0</x:v>
      </x:c>
      <x:c r="AU112" s="333" t="n">
        <x:f>IF(Z112=0,0,IF(AN112&lt;&gt;"Yes",Z112,IF(COUNT(AA112,AC112,AE112,AG112,AI112)=0,Z112,ROUND((MAX(AA112,AC112,AE112,AG112,AI112)*(1+AT112))/'Setup'!$B$9,0)*'Setup'!$B$9)))</x:f>
        <x:v>0</x:v>
      </x:c>
      <x:c r="AV112" s="336"/>
    </x:row>
    <x:row r="113">
      <x:c r="A113" s="310" t="n">
        <x:f>'Setup'!$B$3+(C113-1)*7+(D113-1)</x:f>
        <x:v>46256</x:v>
      </x:c>
      <x:c r="B113" s="311" t="str">
        <x:v>2|6|1</x:v>
      </x:c>
      <x:c r="C113" s="311" t="n">
        <x:v>2</x:v>
      </x:c>
      <x:c r="D113" s="311" t="n">
        <x:v>6</x:v>
      </x:c>
      <x:c r="E113" s="311" t="str">
        <x:v>Accumulation</x:v>
      </x:c>
      <x:c r="F113" s="311" t="str">
        <x:v>Push B</x:v>
      </x:c>
      <x:c r="G113" s="311" t="str">
        <x:v>Upper-body speed + chest volume</x:v>
      </x:c>
      <x:c r="H113" s="311" t="n">
        <x:v>1</x:v>
      </x:c>
      <x:c r="I113" s="311" t="str">
        <x:v>Plyometric Push-Up</x:v>
      </x:c>
      <x:c r="J113" s="311" t="str">
        <x:v>Power</x:v>
      </x:c>
      <x:c r="K113" s="311" t="str">
        <x:v>Chest</x:v>
      </x:c>
      <x:c r="L113" s="311" t="str">
        <x:v>Full reset, crisp contacts</x:v>
      </x:c>
      <x:c r="M113" s="311"/>
      <x:c r="N113" s="311" t="n">
        <x:v>4</x:v>
      </x:c>
      <x:c r="O113" s="311" t="n">
        <x:v>3</x:v>
      </x:c>
      <x:c r="P113" s="311" t="n">
        <x:v>5</x:v>
      </x:c>
      <x:c r="Q113" s="311" t="n">
        <x:v>2</x:v>
      </x:c>
      <x:c r="R113" s="311" t="n">
        <x:v>60</x:v>
      </x:c>
      <x:c r="S113" s="311" t="str">
        <x:v>Explosive</x:v>
      </x:c>
      <x:c r="T113" s="330" t="n">
        <x:v>1</x:v>
      </x:c>
      <x:c r="U113" s="330" t="n">
        <x:v>0</x:v>
      </x:c>
      <x:c r="V113" s="331" t="str">
        <x:v>reps</x:v>
      </x:c>
      <x:c r="W113" s="332" t="str">
        <x:f>'Readiness'!K18</x:f>
      </x:c>
      <x:c r="X113" s="314" t="n">
        <x:f>'Readiness'!L18</x:f>
        <x:v>1</x:v>
      </x:c>
      <x:c r="Y113" s="315" t="n">
        <x:f>IF(J113="Mobility",N113,MAX(1,ROUND(N113*X113,0)))</x:f>
        <x:v>4</x:v>
      </x:c>
      <x:c r="Z113" s="333" t="n">
        <x:f>0</x:f>
        <x:v>0</x:v>
      </x:c>
      <x:c r="AA113" s="334"/>
      <x:c r="AB113" s="334"/>
      <x:c r="AC113" s="334"/>
      <x:c r="AD113" s="334"/>
      <x:c r="AE113" s="334"/>
      <x:c r="AF113" s="334"/>
      <x:c r="AG113" s="334"/>
      <x:c r="AH113" s="334"/>
      <x:c r="AI113" s="334"/>
      <x:c r="AJ113" s="312"/>
      <x:c r="AK113" s="312"/>
      <x:c r="AL113" s="312"/>
      <x:c r="AM113" s="312"/>
      <x:c r="AN113" s="312"/>
      <x:c r="AO113" s="315" t="n">
        <x:f>COUNT(AB113,AD113,AF113,AH113,AJ113)</x:f>
        <x:v>0</x:v>
      </x:c>
      <x:c r="AP113" s="315" t="n">
        <x:f>SUM(AB113,AD113,AF113,AH113,AJ113)</x:f>
        <x:v>0</x:v>
      </x:c>
      <x:c r="AQ113" s="333" t="n">
        <x:f>AA113*AB113+AC113*AD113+AE113*AF113+AG113*AH113+AI113*AJ113</x:f>
        <x:v>0</x:v>
      </x:c>
      <x:c r="AR113" s="333" t="n">
        <x:f>IF(OR(J113="Strength",J113="Hypertrophy"),MAX(IF(AB113&gt;0,AA113*(1+AB113/30),0),IF(AD113&gt;0,AC113*(1+AD113/30),0),IF(AF113&gt;0,AE113*(1+AF113/30),0),IF(AH113&gt;0,AG113*(1+AH113/30),0),IF(AJ113&gt;0,AI113*(1+AJ113/30),0)),0)</x:f>
        <x:v>0</x:v>
      </x:c>
      <x:c r="AS113" s="315" t="str">
        <x:f>IF(AN113&lt;&gt;"Yes","Not logged",IF(AL113&gt;='Setup'!$B$14,"STOP / MODIFY",IF(Z113=0,"Complete",IF(OR(AO113=0,AK113=""),"Add set data + RIR",IF(AND(MAX(AB113,AD113,AF113,AH113,AJ113)&gt;=P113,AK113&gt;=Q113+1),"Progress",IF(OR(MAX(AB113,AD113,AF113,AH113,AJ113)&lt;O113,AK113&lt;Q113-1),"Regress","Hold"))))))</x:f>
        <x:v>Not logged</x:v>
      </x:c>
      <x:c r="AT113" s="335" t="n">
        <x:f>IF(OR(Z113=0,AN113&lt;&gt;"Yes",AO113=0,AK113=""),0,IF(AL113&gt;='Setup'!$B$14,-2*'Setup'!$B$11,IF(AND(MAX(AB113,AD113,AF113,AH113,AJ113)&gt;=P113,AK113&gt;=Q113+1),'Setup'!$B$10,IF(OR(MAX(AB113,AD113,AF113,AH113,AJ113)&lt;O113,AK113&lt;Q113-1),-'Setup'!$B$11,0))))</x:f>
        <x:v>0</x:v>
      </x:c>
      <x:c r="AU113" s="333" t="n">
        <x:f>IF(Z113=0,0,IF(AN113&lt;&gt;"Yes",Z113,IF(COUNT(AA113,AC113,AE113,AG113,AI113)=0,Z113,ROUND((MAX(AA113,AC113,AE113,AG113,AI113)*(1+AT113))/'Setup'!$B$9,0)*'Setup'!$B$9)))</x:f>
        <x:v>0</x:v>
      </x:c>
      <x:c r="AV113" s="336"/>
    </x:row>
    <x:row r="114">
      <x:c r="A114" s="310" t="n">
        <x:f>'Setup'!$B$3+(C114-1)*7+(D114-1)</x:f>
        <x:v>46256</x:v>
      </x:c>
      <x:c r="B114" s="311" t="str">
        <x:v>2|6|2</x:v>
      </x:c>
      <x:c r="C114" s="311" t="n">
        <x:v>2</x:v>
      </x:c>
      <x:c r="D114" s="311" t="n">
        <x:v>6</x:v>
      </x:c>
      <x:c r="E114" s="311" t="str">
        <x:v>Accumulation</x:v>
      </x:c>
      <x:c r="F114" s="311" t="str">
        <x:v>Push B</x:v>
      </x:c>
      <x:c r="G114" s="311" t="str">
        <x:v>Upper-body speed + chest volume</x:v>
      </x:c>
      <x:c r="H114" s="311" t="n">
        <x:v>2</x:v>
      </x:c>
      <x:c r="I114" s="311" t="str">
        <x:v>Speed Bench Press</x:v>
      </x:c>
      <x:c r="J114" s="311" t="str">
        <x:v>Power</x:v>
      </x:c>
      <x:c r="K114" s="311" t="str">
        <x:v>Chest</x:v>
      </x:c>
      <x:c r="L114" s="311" t="str">
        <x:v>Speed sets, stop if bar slows</x:v>
      </x:c>
      <x:c r="M114" s="311"/>
      <x:c r="N114" s="311" t="n">
        <x:v>5</x:v>
      </x:c>
      <x:c r="O114" s="311" t="n">
        <x:v>3</x:v>
      </x:c>
      <x:c r="P114" s="311" t="n">
        <x:v>3</x:v>
      </x:c>
      <x:c r="Q114" s="311" t="n">
        <x:v>2</x:v>
      </x:c>
      <x:c r="R114" s="311" t="n">
        <x:v>60</x:v>
      </x:c>
      <x:c r="S114" s="311" t="str">
        <x:v>1-0-X</x:v>
      </x:c>
      <x:c r="T114" s="330" t="n">
        <x:v>1</x:v>
      </x:c>
      <x:c r="U114" s="330" t="n">
        <x:v>0.55</x:v>
      </x:c>
      <x:c r="V114" s="331" t="str">
        <x:v>load × reps</x:v>
      </x:c>
      <x:c r="W114" s="332" t="str">
        <x:f>'Readiness'!K18</x:f>
      </x:c>
      <x:c r="X114" s="314" t="n">
        <x:f>'Readiness'!L18</x:f>
        <x:v>1</x:v>
      </x:c>
      <x:c r="Y114" s="315" t="n">
        <x:f>IF(J114="Mobility",N114,MAX(1,ROUND(N114*X114,0)))</x:f>
        <x:v>5</x:v>
      </x:c>
      <x:c r="Z114" s="333" t="n">
        <x:f>ROUND((IF(AU58&gt;0,AU58,IF(Z58&gt;0,Z58,'Setup'!$D$89))*T114)/'Setup'!$B$9,0)*'Setup'!$B$9</x:f>
        <x:v>0</x:v>
      </x:c>
      <x:c r="AA114" s="334"/>
      <x:c r="AB114" s="334"/>
      <x:c r="AC114" s="334"/>
      <x:c r="AD114" s="334"/>
      <x:c r="AE114" s="334"/>
      <x:c r="AF114" s="334"/>
      <x:c r="AG114" s="334"/>
      <x:c r="AH114" s="334"/>
      <x:c r="AI114" s="334"/>
      <x:c r="AJ114" s="312"/>
      <x:c r="AK114" s="312"/>
      <x:c r="AL114" s="312"/>
      <x:c r="AM114" s="312"/>
      <x:c r="AN114" s="312"/>
      <x:c r="AO114" s="315" t="n">
        <x:f>COUNT(AB114,AD114,AF114,AH114,AJ114)</x:f>
        <x:v>0</x:v>
      </x:c>
      <x:c r="AP114" s="315" t="n">
        <x:f>SUM(AB114,AD114,AF114,AH114,AJ114)</x:f>
        <x:v>0</x:v>
      </x:c>
      <x:c r="AQ114" s="333" t="n">
        <x:f>AA114*AB114+AC114*AD114+AE114*AF114+AG114*AH114+AI114*AJ114</x:f>
        <x:v>0</x:v>
      </x:c>
      <x:c r="AR114" s="333" t="n">
        <x:f>IF(OR(J114="Strength",J114="Hypertrophy"),MAX(IF(AB114&gt;0,AA114*(1+AB114/30),0),IF(AD114&gt;0,AC114*(1+AD114/30),0),IF(AF114&gt;0,AE114*(1+AF114/30),0),IF(AH114&gt;0,AG114*(1+AH114/30),0),IF(AJ114&gt;0,AI114*(1+AJ114/30),0)),0)</x:f>
        <x:v>0</x:v>
      </x:c>
      <x:c r="AS114" s="315" t="str">
        <x:f>IF(AN114&lt;&gt;"Yes","Not logged",IF(AL114&gt;='Setup'!$B$14,"STOP / MODIFY",IF(Z114=0,"Complete",IF(OR(AO114=0,AK114=""),"Add set data + RIR",IF(AND(MAX(AB114,AD114,AF114,AH114,AJ114)&gt;=P114,AK114&gt;=Q114+1),"Progress",IF(OR(MAX(AB114,AD114,AF114,AH114,AJ114)&lt;O114,AK114&lt;Q114-1),"Regress","Hold"))))))</x:f>
        <x:v>Not logged</x:v>
      </x:c>
      <x:c r="AT114" s="335" t="n">
        <x:f>IF(OR(Z114=0,AN114&lt;&gt;"Yes",AO114=0,AK114=""),0,IF(AL114&gt;='Setup'!$B$14,-2*'Setup'!$B$11,IF(AND(MAX(AB114,AD114,AF114,AH114,AJ114)&gt;=P114,AK114&gt;=Q114+1),'Setup'!$B$10,IF(OR(MAX(AB114,AD114,AF114,AH114,AJ114)&lt;O114,AK114&lt;Q114-1),-'Setup'!$B$11,0))))</x:f>
        <x:v>0</x:v>
      </x:c>
      <x:c r="AU114" s="333" t="n">
        <x:f>IF(Z114=0,0,IF(AN114&lt;&gt;"Yes",Z114,IF(COUNT(AA114,AC114,AE114,AG114,AI114)=0,Z114,ROUND((MAX(AA114,AC114,AE114,AG114,AI114)*(1+AT114))/'Setup'!$B$9,0)*'Setup'!$B$9)))</x:f>
        <x:v>0</x:v>
      </x:c>
      <x:c r="AV114" s="336"/>
    </x:row>
    <x:row r="115">
      <x:c r="A115" s="310" t="n">
        <x:f>'Setup'!$B$3+(C115-1)*7+(D115-1)</x:f>
        <x:v>46256</x:v>
      </x:c>
      <x:c r="B115" s="311" t="str">
        <x:v>2|6|3</x:v>
      </x:c>
      <x:c r="C115" s="311" t="n">
        <x:v>2</x:v>
      </x:c>
      <x:c r="D115" s="311" t="n">
        <x:v>6</x:v>
      </x:c>
      <x:c r="E115" s="311" t="str">
        <x:v>Accumulation</x:v>
      </x:c>
      <x:c r="F115" s="311" t="str">
        <x:v>Push B</x:v>
      </x:c>
      <x:c r="G115" s="311" t="str">
        <x:v>Upper-body speed + chest volume</x:v>
      </x:c>
      <x:c r="H115" s="311" t="n">
        <x:v>3</x:v>
      </x:c>
      <x:c r="I115" s="311" t="str">
        <x:v>Incline Barbell Bench Press</x:v>
      </x:c>
      <x:c r="J115" s="311" t="str">
        <x:v>Hypertrophy</x:v>
      </x:c>
      <x:c r="K115" s="311" t="str">
        <x:v>Chest</x:v>
      </x:c>
      <x:c r="L115" s="311" t="str">
        <x:v>Straight sets</x:v>
      </x:c>
      <x:c r="M115" s="311"/>
      <x:c r="N115" s="311" t="n">
        <x:v>5</x:v>
      </x:c>
      <x:c r="O115" s="311" t="n">
        <x:v>8</x:v>
      </x:c>
      <x:c r="P115" s="311" t="n">
        <x:v>10</x:v>
      </x:c>
      <x:c r="Q115" s="311" t="n">
        <x:v>2</x:v>
      </x:c>
      <x:c r="R115" s="311" t="n">
        <x:v>120</x:v>
      </x:c>
      <x:c r="S115" s="311" t="str">
        <x:v>3-0-1</x:v>
      </x:c>
      <x:c r="T115" s="330" t="n">
        <x:v>1</x:v>
      </x:c>
      <x:c r="U115" s="330" t="n">
        <x:v>0.58</x:v>
      </x:c>
      <x:c r="V115" s="331" t="str">
        <x:v>load × reps</x:v>
      </x:c>
      <x:c r="W115" s="332" t="str">
        <x:f>'Readiness'!K18</x:f>
      </x:c>
      <x:c r="X115" s="314" t="n">
        <x:f>'Readiness'!L18</x:f>
        <x:v>1</x:v>
      </x:c>
      <x:c r="Y115" s="315" t="n">
        <x:f>IF(J115="Mobility",N115,MAX(1,ROUND(N115*X115,0)))</x:f>
        <x:v>5</x:v>
      </x:c>
      <x:c r="Z115" s="333" t="n">
        <x:f>ROUND((IF(AU59&gt;0,AU59,IF(Z59&gt;0,Z59,'Setup'!$D$49))*T115)/'Setup'!$B$9,0)*'Setup'!$B$9</x:f>
        <x:v>0</x:v>
      </x:c>
      <x:c r="AA115" s="334"/>
      <x:c r="AB115" s="334"/>
      <x:c r="AC115" s="334"/>
      <x:c r="AD115" s="334"/>
      <x:c r="AE115" s="334"/>
      <x:c r="AF115" s="334"/>
      <x:c r="AG115" s="334"/>
      <x:c r="AH115" s="334"/>
      <x:c r="AI115" s="334"/>
      <x:c r="AJ115" s="312"/>
      <x:c r="AK115" s="312"/>
      <x:c r="AL115" s="312"/>
      <x:c r="AM115" s="312"/>
      <x:c r="AN115" s="312"/>
      <x:c r="AO115" s="315" t="n">
        <x:f>COUNT(AB115,AD115,AF115,AH115,AJ115)</x:f>
        <x:v>0</x:v>
      </x:c>
      <x:c r="AP115" s="315" t="n">
        <x:f>SUM(AB115,AD115,AF115,AH115,AJ115)</x:f>
        <x:v>0</x:v>
      </x:c>
      <x:c r="AQ115" s="333" t="n">
        <x:f>AA115*AB115+AC115*AD115+AE115*AF115+AG115*AH115+AI115*AJ115</x:f>
        <x:v>0</x:v>
      </x:c>
      <x:c r="AR115" s="333" t="n">
        <x:f>IF(OR(J115="Strength",J115="Hypertrophy"),MAX(IF(AB115&gt;0,AA115*(1+AB115/30),0),IF(AD115&gt;0,AC115*(1+AD115/30),0),IF(AF115&gt;0,AE115*(1+AF115/30),0),IF(AH115&gt;0,AG115*(1+AH115/30),0),IF(AJ115&gt;0,AI115*(1+AJ115/30),0)),0)</x:f>
        <x:v>0</x:v>
      </x:c>
      <x:c r="AS115" s="315" t="str">
        <x:f>IF(AN115&lt;&gt;"Yes","Not logged",IF(AL115&gt;='Setup'!$B$14,"STOP / MODIFY",IF(Z115=0,"Complete",IF(OR(AO115=0,AK115=""),"Add set data + RIR",IF(AND(MAX(AB115,AD115,AF115,AH115,AJ115)&gt;=P115,AK115&gt;=Q115+1),"Progress",IF(OR(MAX(AB115,AD115,AF115,AH115,AJ115)&lt;O115,AK115&lt;Q115-1),"Regress","Hold"))))))</x:f>
        <x:v>Not logged</x:v>
      </x:c>
      <x:c r="AT115" s="335" t="n">
        <x:f>IF(OR(Z115=0,AN115&lt;&gt;"Yes",AO115=0,AK115=""),0,IF(AL115&gt;='Setup'!$B$14,-2*'Setup'!$B$11,IF(AND(MAX(AB115,AD115,AF115,AH115,AJ115)&gt;=P115,AK115&gt;=Q115+1),'Setup'!$B$10,IF(OR(MAX(AB115,AD115,AF115,AH115,AJ115)&lt;O115,AK115&lt;Q115-1),-'Setup'!$B$11,0))))</x:f>
        <x:v>0</x:v>
      </x:c>
      <x:c r="AU115" s="333" t="n">
        <x:f>IF(Z115=0,0,IF(AN115&lt;&gt;"Yes",Z115,IF(COUNT(AA115,AC115,AE115,AG115,AI115)=0,Z115,ROUND((MAX(AA115,AC115,AE115,AG115,AI115)*(1+AT115))/'Setup'!$B$9,0)*'Setup'!$B$9)))</x:f>
        <x:v>0</x:v>
      </x:c>
      <x:c r="AV115" s="336"/>
    </x:row>
    <x:row r="116">
      <x:c r="A116" s="310" t="n">
        <x:f>'Setup'!$B$3+(C116-1)*7+(D116-1)</x:f>
        <x:v>46256</x:v>
      </x:c>
      <x:c r="B116" s="311" t="str">
        <x:v>2|6|4</x:v>
      </x:c>
      <x:c r="C116" s="311" t="n">
        <x:v>2</x:v>
      </x:c>
      <x:c r="D116" s="311" t="n">
        <x:v>6</x:v>
      </x:c>
      <x:c r="E116" s="311" t="str">
        <x:v>Accumulation</x:v>
      </x:c>
      <x:c r="F116" s="311" t="str">
        <x:v>Push B</x:v>
      </x:c>
      <x:c r="G116" s="311" t="str">
        <x:v>Upper-body speed + chest volume</x:v>
      </x:c>
      <x:c r="H116" s="311" t="n">
        <x:v>4</x:v>
      </x:c>
      <x:c r="I116" s="311" t="str">
        <x:v>Machine Chest Press</x:v>
      </x:c>
      <x:c r="J116" s="311" t="str">
        <x:v>Hypertrophy</x:v>
      </x:c>
      <x:c r="K116" s="311" t="str">
        <x:v>Chest</x:v>
      </x:c>
      <x:c r="L116" s="311" t="str">
        <x:v>Straight sets</x:v>
      </x:c>
      <x:c r="M116" s="311"/>
      <x:c r="N116" s="311" t="n">
        <x:v>4</x:v>
      </x:c>
      <x:c r="O116" s="311" t="n">
        <x:v>10</x:v>
      </x:c>
      <x:c r="P116" s="311" t="n">
        <x:v>12</x:v>
      </x:c>
      <x:c r="Q116" s="311" t="n">
        <x:v>2</x:v>
      </x:c>
      <x:c r="R116" s="311" t="n">
        <x:v>75</x:v>
      </x:c>
      <x:c r="S116" s="311" t="str">
        <x:v>2-1-1</x:v>
      </x:c>
      <x:c r="T116" s="330" t="n">
        <x:v>1</x:v>
      </x:c>
      <x:c r="U116" s="330" t="n">
        <x:v>0</x:v>
      </x:c>
      <x:c r="V116" s="331" t="str">
        <x:v>load × reps</x:v>
      </x:c>
      <x:c r="W116" s="332" t="str">
        <x:f>'Readiness'!K18</x:f>
      </x:c>
      <x:c r="X116" s="314" t="n">
        <x:f>'Readiness'!L18</x:f>
        <x:v>1</x:v>
      </x:c>
      <x:c r="Y116" s="315" t="n">
        <x:f>IF(J116="Mobility",N116,MAX(1,ROUND(N116*X116,0)))</x:f>
        <x:v>4</x:v>
      </x:c>
      <x:c r="Z116" s="333" t="n">
        <x:f>ROUND((IF(AU60&gt;0,AU60,IF(Z60&gt;0,Z60,'Setup'!$D$60))*T116)/'Setup'!$B$9,0)*'Setup'!$B$9</x:f>
        <x:v>0</x:v>
      </x:c>
      <x:c r="AA116" s="334"/>
      <x:c r="AB116" s="334"/>
      <x:c r="AC116" s="334"/>
      <x:c r="AD116" s="334"/>
      <x:c r="AE116" s="334"/>
      <x:c r="AF116" s="334"/>
      <x:c r="AG116" s="334"/>
      <x:c r="AH116" s="334"/>
      <x:c r="AI116" s="334"/>
      <x:c r="AJ116" s="312"/>
      <x:c r="AK116" s="312"/>
      <x:c r="AL116" s="312"/>
      <x:c r="AM116" s="312"/>
      <x:c r="AN116" s="312"/>
      <x:c r="AO116" s="315" t="n">
        <x:f>COUNT(AB116,AD116,AF116,AH116,AJ116)</x:f>
        <x:v>0</x:v>
      </x:c>
      <x:c r="AP116" s="315" t="n">
        <x:f>SUM(AB116,AD116,AF116,AH116,AJ116)</x:f>
        <x:v>0</x:v>
      </x:c>
      <x:c r="AQ116" s="333" t="n">
        <x:f>AA116*AB116+AC116*AD116+AE116*AF116+AG116*AH116+AI116*AJ116</x:f>
        <x:v>0</x:v>
      </x:c>
      <x:c r="AR116" s="333" t="n">
        <x:f>IF(OR(J116="Strength",J116="Hypertrophy"),MAX(IF(AB116&gt;0,AA116*(1+AB116/30),0),IF(AD116&gt;0,AC116*(1+AD116/30),0),IF(AF116&gt;0,AE116*(1+AF116/30),0),IF(AH116&gt;0,AG116*(1+AH116/30),0),IF(AJ116&gt;0,AI116*(1+AJ116/30),0)),0)</x:f>
        <x:v>0</x:v>
      </x:c>
      <x:c r="AS116" s="315" t="str">
        <x:f>IF(AN116&lt;&gt;"Yes","Not logged",IF(AL116&gt;='Setup'!$B$14,"STOP / MODIFY",IF(Z116=0,"Complete",IF(OR(AO116=0,AK116=""),"Add set data + RIR",IF(AND(MAX(AB116,AD116,AF116,AH116,AJ116)&gt;=P116,AK116&gt;=Q116+1),"Progress",IF(OR(MAX(AB116,AD116,AF116,AH116,AJ116)&lt;O116,AK116&lt;Q116-1),"Regress","Hold"))))))</x:f>
        <x:v>Not logged</x:v>
      </x:c>
      <x:c r="AT116" s="335" t="n">
        <x:f>IF(OR(Z116=0,AN116&lt;&gt;"Yes",AO116=0,AK116=""),0,IF(AL116&gt;='Setup'!$B$14,-2*'Setup'!$B$11,IF(AND(MAX(AB116,AD116,AF116,AH116,AJ116)&gt;=P116,AK116&gt;=Q116+1),'Setup'!$B$10,IF(OR(MAX(AB116,AD116,AF116,AH116,AJ116)&lt;O116,AK116&lt;Q116-1),-'Setup'!$B$11,0))))</x:f>
        <x:v>0</x:v>
      </x:c>
      <x:c r="AU116" s="333" t="n">
        <x:f>IF(Z116=0,0,IF(AN116&lt;&gt;"Yes",Z116,IF(COUNT(AA116,AC116,AE116,AG116,AI116)=0,Z116,ROUND((MAX(AA116,AC116,AE116,AG116,AI116)*(1+AT116))/'Setup'!$B$9,0)*'Setup'!$B$9)))</x:f>
        <x:v>0</x:v>
      </x:c>
      <x:c r="AV116" s="336"/>
    </x:row>
    <x:row r="117">
      <x:c r="A117" s="310" t="n">
        <x:f>'Setup'!$B$3+(C117-1)*7+(D117-1)</x:f>
        <x:v>46256</x:v>
      </x:c>
      <x:c r="B117" s="311" t="str">
        <x:v>2|6|5</x:v>
      </x:c>
      <x:c r="C117" s="311" t="n">
        <x:v>2</x:v>
      </x:c>
      <x:c r="D117" s="311" t="n">
        <x:v>6</x:v>
      </x:c>
      <x:c r="E117" s="311" t="str">
        <x:v>Accumulation</x:v>
      </x:c>
      <x:c r="F117" s="311" t="str">
        <x:v>Push B</x:v>
      </x:c>
      <x:c r="G117" s="311" t="str">
        <x:v>Upper-body speed + chest volume</x:v>
      </x:c>
      <x:c r="H117" s="311" t="n">
        <x:v>5</x:v>
      </x:c>
      <x:c r="I117" s="311" t="str">
        <x:v>Half-Kneeling Landmine Press</x:v>
      </x:c>
      <x:c r="J117" s="311" t="str">
        <x:v>Hypertrophy</x:v>
      </x:c>
      <x:c r="K117" s="311" t="str">
        <x:v>Shoulders</x:v>
      </x:c>
      <x:c r="L117" s="311" t="str">
        <x:v>Straight sets</x:v>
      </x:c>
      <x:c r="M117" s="311"/>
      <x:c r="N117" s="311" t="n">
        <x:v>4</x:v>
      </x:c>
      <x:c r="O117" s="311" t="n">
        <x:v>8</x:v>
      </x:c>
      <x:c r="P117" s="311" t="n">
        <x:v>12</x:v>
      </x:c>
      <x:c r="Q117" s="311" t="n">
        <x:v>2</x:v>
      </x:c>
      <x:c r="R117" s="311" t="n">
        <x:v>75</x:v>
      </x:c>
      <x:c r="S117" s="311" t="str">
        <x:v>2-0-1</x:v>
      </x:c>
      <x:c r="T117" s="330" t="n">
        <x:v>1</x:v>
      </x:c>
      <x:c r="U117" s="330" t="n">
        <x:v>0</x:v>
      </x:c>
      <x:c r="V117" s="331" t="str">
        <x:v>load × reps</x:v>
      </x:c>
      <x:c r="W117" s="332" t="str">
        <x:f>'Readiness'!K18</x:f>
      </x:c>
      <x:c r="X117" s="314" t="n">
        <x:f>'Readiness'!L18</x:f>
        <x:v>1</x:v>
      </x:c>
      <x:c r="Y117" s="315" t="n">
        <x:f>IF(J117="Mobility",N117,MAX(1,ROUND(N117*X117,0)))</x:f>
        <x:v>4</x:v>
      </x:c>
      <x:c r="Z117" s="333" t="n">
        <x:f>ROUND((IF(AU61&gt;0,AU61,IF(Z61&gt;0,Z61,'Setup'!$D$47))*T117)/'Setup'!$B$9,0)*'Setup'!$B$9</x:f>
        <x:v>0</x:v>
      </x:c>
      <x:c r="AA117" s="334"/>
      <x:c r="AB117" s="334"/>
      <x:c r="AC117" s="334"/>
      <x:c r="AD117" s="334"/>
      <x:c r="AE117" s="334"/>
      <x:c r="AF117" s="334"/>
      <x:c r="AG117" s="334"/>
      <x:c r="AH117" s="334"/>
      <x:c r="AI117" s="334"/>
      <x:c r="AJ117" s="312"/>
      <x:c r="AK117" s="312"/>
      <x:c r="AL117" s="312"/>
      <x:c r="AM117" s="312"/>
      <x:c r="AN117" s="312"/>
      <x:c r="AO117" s="315" t="n">
        <x:f>COUNT(AB117,AD117,AF117,AH117,AJ117)</x:f>
        <x:v>0</x:v>
      </x:c>
      <x:c r="AP117" s="315" t="n">
        <x:f>SUM(AB117,AD117,AF117,AH117,AJ117)</x:f>
        <x:v>0</x:v>
      </x:c>
      <x:c r="AQ117" s="333" t="n">
        <x:f>AA117*AB117+AC117*AD117+AE117*AF117+AG117*AH117+AI117*AJ117</x:f>
        <x:v>0</x:v>
      </x:c>
      <x:c r="AR117" s="333" t="n">
        <x:f>IF(OR(J117="Strength",J117="Hypertrophy"),MAX(IF(AB117&gt;0,AA117*(1+AB117/30),0),IF(AD117&gt;0,AC117*(1+AD117/30),0),IF(AF117&gt;0,AE117*(1+AF117/30),0),IF(AH117&gt;0,AG117*(1+AH117/30),0),IF(AJ117&gt;0,AI117*(1+AJ117/30),0)),0)</x:f>
        <x:v>0</x:v>
      </x:c>
      <x:c r="AS117" s="315" t="str">
        <x:f>IF(AN117&lt;&gt;"Yes","Not logged",IF(AL117&gt;='Setup'!$B$14,"STOP / MODIFY",IF(Z117=0,"Complete",IF(OR(AO117=0,AK117=""),"Add set data + RIR",IF(AND(MAX(AB117,AD117,AF117,AH117,AJ117)&gt;=P117,AK117&gt;=Q117+1),"Progress",IF(OR(MAX(AB117,AD117,AF117,AH117,AJ117)&lt;O117,AK117&lt;Q117-1),"Regress","Hold"))))))</x:f>
        <x:v>Not logged</x:v>
      </x:c>
      <x:c r="AT117" s="335" t="n">
        <x:f>IF(OR(Z117=0,AN117&lt;&gt;"Yes",AO117=0,AK117=""),0,IF(AL117&gt;='Setup'!$B$14,-2*'Setup'!$B$11,IF(AND(MAX(AB117,AD117,AF117,AH117,AJ117)&gt;=P117,AK117&gt;=Q117+1),'Setup'!$B$10,IF(OR(MAX(AB117,AD117,AF117,AH117,AJ117)&lt;O117,AK117&lt;Q117-1),-'Setup'!$B$11,0))))</x:f>
        <x:v>0</x:v>
      </x:c>
      <x:c r="AU117" s="333" t="n">
        <x:f>IF(Z117=0,0,IF(AN117&lt;&gt;"Yes",Z117,IF(COUNT(AA117,AC117,AE117,AG117,AI117)=0,Z117,ROUND((MAX(AA117,AC117,AE117,AG117,AI117)*(1+AT117))/'Setup'!$B$9,0)*'Setup'!$B$9)))</x:f>
        <x:v>0</x:v>
      </x:c>
      <x:c r="AV117" s="336"/>
    </x:row>
    <x:row r="118">
      <x:c r="A118" s="310" t="n">
        <x:f>'Setup'!$B$3+(C118-1)*7+(D118-1)</x:f>
        <x:v>46256</x:v>
      </x:c>
      <x:c r="B118" s="311" t="str">
        <x:v>2|6|6</x:v>
      </x:c>
      <x:c r="C118" s="311" t="n">
        <x:v>2</x:v>
      </x:c>
      <x:c r="D118" s="311" t="n">
        <x:v>6</x:v>
      </x:c>
      <x:c r="E118" s="311" t="str">
        <x:v>Accumulation</x:v>
      </x:c>
      <x:c r="F118" s="311" t="str">
        <x:v>Push B</x:v>
      </x:c>
      <x:c r="G118" s="311" t="str">
        <x:v>Upper-body speed + chest volume</x:v>
      </x:c>
      <x:c r="H118" s="311" t="n">
        <x:v>6</x:v>
      </x:c>
      <x:c r="I118" s="311" t="str">
        <x:v>Dumbbell Lateral Raise</x:v>
      </x:c>
      <x:c r="J118" s="311" t="str">
        <x:v>Hypertrophy</x:v>
      </x:c>
      <x:c r="K118" s="311" t="str">
        <x:v>Shoulders</x:v>
      </x:c>
      <x:c r="L118" s="311" t="str">
        <x:v>Optional mechanical drop on final set</x:v>
      </x:c>
      <x:c r="M118" s="311"/>
      <x:c r="N118" s="311" t="n">
        <x:v>4</x:v>
      </x:c>
      <x:c r="O118" s="311" t="n">
        <x:v>12</x:v>
      </x:c>
      <x:c r="P118" s="311" t="n">
        <x:v>20</x:v>
      </x:c>
      <x:c r="Q118" s="311" t="n">
        <x:v>2</x:v>
      </x:c>
      <x:c r="R118" s="311" t="n">
        <x:v>60</x:v>
      </x:c>
      <x:c r="S118" s="311" t="str">
        <x:v>2-1-2</x:v>
      </x:c>
      <x:c r="T118" s="330" t="n">
        <x:v>1</x:v>
      </x:c>
      <x:c r="U118" s="330" t="n">
        <x:v>0</x:v>
      </x:c>
      <x:c r="V118" s="331" t="str">
        <x:v>load × reps</x:v>
      </x:c>
      <x:c r="W118" s="332" t="str">
        <x:f>'Readiness'!K18</x:f>
      </x:c>
      <x:c r="X118" s="314" t="n">
        <x:f>'Readiness'!L18</x:f>
        <x:v>1</x:v>
      </x:c>
      <x:c r="Y118" s="315" t="n">
        <x:f>IF(J118="Mobility",N118,MAX(1,ROUND(N118*X118,0)))</x:f>
        <x:v>4</x:v>
      </x:c>
      <x:c r="Z118" s="333" t="n">
        <x:f>ROUND((IF(AU62&gt;0,AU62,IF(Z62&gt;0,Z62,'Setup'!$D$39))*T118)/'Setup'!$B$9,0)*'Setup'!$B$9</x:f>
        <x:v>0</x:v>
      </x:c>
      <x:c r="AA118" s="334"/>
      <x:c r="AB118" s="334"/>
      <x:c r="AC118" s="334"/>
      <x:c r="AD118" s="334"/>
      <x:c r="AE118" s="334"/>
      <x:c r="AF118" s="334"/>
      <x:c r="AG118" s="334"/>
      <x:c r="AH118" s="334"/>
      <x:c r="AI118" s="334"/>
      <x:c r="AJ118" s="312"/>
      <x:c r="AK118" s="312"/>
      <x:c r="AL118" s="312"/>
      <x:c r="AM118" s="312"/>
      <x:c r="AN118" s="312"/>
      <x:c r="AO118" s="315" t="n">
        <x:f>COUNT(AB118,AD118,AF118,AH118,AJ118)</x:f>
        <x:v>0</x:v>
      </x:c>
      <x:c r="AP118" s="315" t="n">
        <x:f>SUM(AB118,AD118,AF118,AH118,AJ118)</x:f>
        <x:v>0</x:v>
      </x:c>
      <x:c r="AQ118" s="333" t="n">
        <x:f>AA118*AB118+AC118*AD118+AE118*AF118+AG118*AH118+AI118*AJ118</x:f>
        <x:v>0</x:v>
      </x:c>
      <x:c r="AR118" s="333" t="n">
        <x:f>IF(OR(J118="Strength",J118="Hypertrophy"),MAX(IF(AB118&gt;0,AA118*(1+AB118/30),0),IF(AD118&gt;0,AC118*(1+AD118/30),0),IF(AF118&gt;0,AE118*(1+AF118/30),0),IF(AH118&gt;0,AG118*(1+AH118/30),0),IF(AJ118&gt;0,AI118*(1+AJ118/30),0)),0)</x:f>
        <x:v>0</x:v>
      </x:c>
      <x:c r="AS118" s="315" t="str">
        <x:f>IF(AN118&lt;&gt;"Yes","Not logged",IF(AL118&gt;='Setup'!$B$14,"STOP / MODIFY",IF(Z118=0,"Complete",IF(OR(AO118=0,AK118=""),"Add set data + RIR",IF(AND(MAX(AB118,AD118,AF118,AH118,AJ118)&gt;=P118,AK118&gt;=Q118+1),"Progress",IF(OR(MAX(AB118,AD118,AF118,AH118,AJ118)&lt;O118,AK118&lt;Q118-1),"Regress","Hold"))))))</x:f>
        <x:v>Not logged</x:v>
      </x:c>
      <x:c r="AT118" s="335" t="n">
        <x:f>IF(OR(Z118=0,AN118&lt;&gt;"Yes",AO118=0,AK118=""),0,IF(AL118&gt;='Setup'!$B$14,-2*'Setup'!$B$11,IF(AND(MAX(AB118,AD118,AF118,AH118,AJ118)&gt;=P118,AK118&gt;=Q118+1),'Setup'!$B$10,IF(OR(MAX(AB118,AD118,AF118,AH118,AJ118)&lt;O118,AK118&lt;Q118-1),-'Setup'!$B$11,0))))</x:f>
        <x:v>0</x:v>
      </x:c>
      <x:c r="AU118" s="333" t="n">
        <x:f>IF(Z118=0,0,IF(AN118&lt;&gt;"Yes",Z118,IF(COUNT(AA118,AC118,AE118,AG118,AI118)=0,Z118,ROUND((MAX(AA118,AC118,AE118,AG118,AI118)*(1+AT118))/'Setup'!$B$9,0)*'Setup'!$B$9)))</x:f>
        <x:v>0</x:v>
      </x:c>
      <x:c r="AV118" s="336"/>
    </x:row>
    <x:row r="119">
      <x:c r="A119" s="310" t="n">
        <x:f>'Setup'!$B$3+(C119-1)*7+(D119-1)</x:f>
        <x:v>46256</x:v>
      </x:c>
      <x:c r="B119" s="311" t="str">
        <x:v>2|6|7</x:v>
      </x:c>
      <x:c r="C119" s="311" t="n">
        <x:v>2</x:v>
      </x:c>
      <x:c r="D119" s="311" t="n">
        <x:v>6</x:v>
      </x:c>
      <x:c r="E119" s="311" t="str">
        <x:v>Accumulation</x:v>
      </x:c>
      <x:c r="F119" s="311" t="str">
        <x:v>Push B</x:v>
      </x:c>
      <x:c r="G119" s="311" t="str">
        <x:v>Upper-body speed + chest volume</x:v>
      </x:c>
      <x:c r="H119" s="311" t="n">
        <x:v>7</x:v>
      </x:c>
      <x:c r="I119" s="311" t="str">
        <x:v>Overhead Cable Triceps Extension</x:v>
      </x:c>
      <x:c r="J119" s="311" t="str">
        <x:v>Hypertrophy</x:v>
      </x:c>
      <x:c r="K119" s="311" t="str">
        <x:v>Triceps</x:v>
      </x:c>
      <x:c r="L119" s="311" t="str">
        <x:v>Straight sets</x:v>
      </x:c>
      <x:c r="M119" s="311"/>
      <x:c r="N119" s="311" t="n">
        <x:v>4</x:v>
      </x:c>
      <x:c r="O119" s="311" t="n">
        <x:v>10</x:v>
      </x:c>
      <x:c r="P119" s="311" t="n">
        <x:v>15</x:v>
      </x:c>
      <x:c r="Q119" s="311" t="n">
        <x:v>2</x:v>
      </x:c>
      <x:c r="R119" s="311" t="n">
        <x:v>60</x:v>
      </x:c>
      <x:c r="S119" s="311" t="str">
        <x:v>3-0-1</x:v>
      </x:c>
      <x:c r="T119" s="330" t="n">
        <x:v>1</x:v>
      </x:c>
      <x:c r="U119" s="330" t="n">
        <x:v>0</x:v>
      </x:c>
      <x:c r="V119" s="331" t="str">
        <x:v>load × reps</x:v>
      </x:c>
      <x:c r="W119" s="332" t="str">
        <x:f>'Readiness'!K18</x:f>
      </x:c>
      <x:c r="X119" s="314" t="n">
        <x:f>'Readiness'!L18</x:f>
        <x:v>1</x:v>
      </x:c>
      <x:c r="Y119" s="315" t="n">
        <x:f>IF(J119="Mobility",N119,MAX(1,ROUND(N119*X119,0)))</x:f>
        <x:v>4</x:v>
      </x:c>
      <x:c r="Z119" s="333" t="n">
        <x:f>ROUND((IF(AU63&gt;0,AU63,IF(Z63&gt;0,Z63,'Setup'!$D$69))*T119)/'Setup'!$B$9,0)*'Setup'!$B$9</x:f>
        <x:v>0</x:v>
      </x:c>
      <x:c r="AA119" s="334"/>
      <x:c r="AB119" s="334"/>
      <x:c r="AC119" s="334"/>
      <x:c r="AD119" s="334"/>
      <x:c r="AE119" s="334"/>
      <x:c r="AF119" s="334"/>
      <x:c r="AG119" s="334"/>
      <x:c r="AH119" s="334"/>
      <x:c r="AI119" s="334"/>
      <x:c r="AJ119" s="312"/>
      <x:c r="AK119" s="312"/>
      <x:c r="AL119" s="312"/>
      <x:c r="AM119" s="312"/>
      <x:c r="AN119" s="312"/>
      <x:c r="AO119" s="315" t="n">
        <x:f>COUNT(AB119,AD119,AF119,AH119,AJ119)</x:f>
        <x:v>0</x:v>
      </x:c>
      <x:c r="AP119" s="315" t="n">
        <x:f>SUM(AB119,AD119,AF119,AH119,AJ119)</x:f>
        <x:v>0</x:v>
      </x:c>
      <x:c r="AQ119" s="333" t="n">
        <x:f>AA119*AB119+AC119*AD119+AE119*AF119+AG119*AH119+AI119*AJ119</x:f>
        <x:v>0</x:v>
      </x:c>
      <x:c r="AR119" s="333" t="n">
        <x:f>IF(OR(J119="Strength",J119="Hypertrophy"),MAX(IF(AB119&gt;0,AA119*(1+AB119/30),0),IF(AD119&gt;0,AC119*(1+AD119/30),0),IF(AF119&gt;0,AE119*(1+AF119/30),0),IF(AH119&gt;0,AG119*(1+AH119/30),0),IF(AJ119&gt;0,AI119*(1+AJ119/30),0)),0)</x:f>
        <x:v>0</x:v>
      </x:c>
      <x:c r="AS119" s="315" t="str">
        <x:f>IF(AN119&lt;&gt;"Yes","Not logged",IF(AL119&gt;='Setup'!$B$14,"STOP / MODIFY",IF(Z119=0,"Complete",IF(OR(AO119=0,AK119=""),"Add set data + RIR",IF(AND(MAX(AB119,AD119,AF119,AH119,AJ119)&gt;=P119,AK119&gt;=Q119+1),"Progress",IF(OR(MAX(AB119,AD119,AF119,AH119,AJ119)&lt;O119,AK119&lt;Q119-1),"Regress","Hold"))))))</x:f>
        <x:v>Not logged</x:v>
      </x:c>
      <x:c r="AT119" s="335" t="n">
        <x:f>IF(OR(Z119=0,AN119&lt;&gt;"Yes",AO119=0,AK119=""),0,IF(AL119&gt;='Setup'!$B$14,-2*'Setup'!$B$11,IF(AND(MAX(AB119,AD119,AF119,AH119,AJ119)&gt;=P119,AK119&gt;=Q119+1),'Setup'!$B$10,IF(OR(MAX(AB119,AD119,AF119,AH119,AJ119)&lt;O119,AK119&lt;Q119-1),-'Setup'!$B$11,0))))</x:f>
        <x:v>0</x:v>
      </x:c>
      <x:c r="AU119" s="333" t="n">
        <x:f>IF(Z119=0,0,IF(AN119&lt;&gt;"Yes",Z119,IF(COUNT(AA119,AC119,AE119,AG119,AI119)=0,Z119,ROUND((MAX(AA119,AC119,AE119,AG119,AI119)*(1+AT119))/'Setup'!$B$9,0)*'Setup'!$B$9)))</x:f>
        <x:v>0</x:v>
      </x:c>
      <x:c r="AV119" s="336"/>
    </x:row>
    <x:row r="120">
      <x:c r="A120" s="310" t="n">
        <x:f>'Setup'!$B$3+(C120-1)*7+(D120-1)</x:f>
        <x:v>46256</x:v>
      </x:c>
      <x:c r="B120" s="311" t="str">
        <x:v>2|6|8</x:v>
      </x:c>
      <x:c r="C120" s="311" t="n">
        <x:v>2</x:v>
      </x:c>
      <x:c r="D120" s="311" t="n">
        <x:v>6</x:v>
      </x:c>
      <x:c r="E120" s="311" t="str">
        <x:v>Accumulation</x:v>
      </x:c>
      <x:c r="F120" s="311" t="str">
        <x:v>Push B</x:v>
      </x:c>
      <x:c r="G120" s="311" t="str">
        <x:v>Upper-body speed + chest volume</x:v>
      </x:c>
      <x:c r="H120" s="311" t="n">
        <x:v>8</x:v>
      </x:c>
      <x:c r="I120" s="311" t="str">
        <x:v>Kettlebell Suitcase Carry</x:v>
      </x:c>
      <x:c r="J120" s="311" t="str">
        <x:v>Athletic</x:v>
      </x:c>
      <x:c r="K120" s="311" t="str">
        <x:v>Core</x:v>
      </x:c>
      <x:c r="L120" s="311" t="str">
        <x:v>Tall posture, no side bend</x:v>
      </x:c>
      <x:c r="M120" s="311"/>
      <x:c r="N120" s="311" t="n">
        <x:v>3</x:v>
      </x:c>
      <x:c r="O120" s="311" t="n">
        <x:v>20</x:v>
      </x:c>
      <x:c r="P120" s="311" t="n">
        <x:v>30</x:v>
      </x:c>
      <x:c r="Q120" s="311" t="n">
        <x:v>2</x:v>
      </x:c>
      <x:c r="R120" s="311" t="n">
        <x:v>60</x:v>
      </x:c>
      <x:c r="S120" s="311" t="str">
        <x:v>Controlled</x:v>
      </x:c>
      <x:c r="T120" s="330" t="n">
        <x:v>1</x:v>
      </x:c>
      <x:c r="U120" s="330" t="n">
        <x:v>0</x:v>
      </x:c>
      <x:c r="V120" s="331" t="str">
        <x:v>load + meters</x:v>
      </x:c>
      <x:c r="W120" s="332" t="str">
        <x:f>'Readiness'!K18</x:f>
      </x:c>
      <x:c r="X120" s="314" t="n">
        <x:f>'Readiness'!L18</x:f>
        <x:v>1</x:v>
      </x:c>
      <x:c r="Y120" s="315" t="n">
        <x:f>IF(J120="Mobility",N120,MAX(1,ROUND(N120*X120,0)))</x:f>
        <x:v>3</x:v>
      </x:c>
      <x:c r="Z120" s="333" t="n">
        <x:f>0</x:f>
        <x:v>0</x:v>
      </x:c>
      <x:c r="AA120" s="334"/>
      <x:c r="AB120" s="334"/>
      <x:c r="AC120" s="334"/>
      <x:c r="AD120" s="334"/>
      <x:c r="AE120" s="334"/>
      <x:c r="AF120" s="334"/>
      <x:c r="AG120" s="334"/>
      <x:c r="AH120" s="334"/>
      <x:c r="AI120" s="334"/>
      <x:c r="AJ120" s="312"/>
      <x:c r="AK120" s="312"/>
      <x:c r="AL120" s="312"/>
      <x:c r="AM120" s="312"/>
      <x:c r="AN120" s="312"/>
      <x:c r="AO120" s="315" t="n">
        <x:f>COUNT(AB120,AD120,AF120,AH120,AJ120)</x:f>
        <x:v>0</x:v>
      </x:c>
      <x:c r="AP120" s="315" t="n">
        <x:f>SUM(AB120,AD120,AF120,AH120,AJ120)</x:f>
        <x:v>0</x:v>
      </x:c>
      <x:c r="AQ120" s="333" t="n">
        <x:f>AA120*AB120+AC120*AD120+AE120*AF120+AG120*AH120+AI120*AJ120</x:f>
        <x:v>0</x:v>
      </x:c>
      <x:c r="AR120" s="333" t="n">
        <x:f>IF(OR(J120="Strength",J120="Hypertrophy"),MAX(IF(AB120&gt;0,AA120*(1+AB120/30),0),IF(AD120&gt;0,AC120*(1+AD120/30),0),IF(AF120&gt;0,AE120*(1+AF120/30),0),IF(AH120&gt;0,AG120*(1+AH120/30),0),IF(AJ120&gt;0,AI120*(1+AJ120/30),0)),0)</x:f>
        <x:v>0</x:v>
      </x:c>
      <x:c r="AS120" s="315" t="str">
        <x:f>IF(AN120&lt;&gt;"Yes","Not logged",IF(AL120&gt;='Setup'!$B$14,"STOP / MODIFY",IF(Z120=0,"Complete",IF(OR(AO120=0,AK120=""),"Add set data + RIR",IF(AND(MAX(AB120,AD120,AF120,AH120,AJ120)&gt;=P120,AK120&gt;=Q120+1),"Progress",IF(OR(MAX(AB120,AD120,AF120,AH120,AJ120)&lt;O120,AK120&lt;Q120-1),"Regress","Hold"))))))</x:f>
        <x:v>Not logged</x:v>
      </x:c>
      <x:c r="AT120" s="335" t="n">
        <x:f>IF(OR(Z120=0,AN120&lt;&gt;"Yes",AO120=0,AK120=""),0,IF(AL120&gt;='Setup'!$B$14,-2*'Setup'!$B$11,IF(AND(MAX(AB120,AD120,AF120,AH120,AJ120)&gt;=P120,AK120&gt;=Q120+1),'Setup'!$B$10,IF(OR(MAX(AB120,AD120,AF120,AH120,AJ120)&lt;O120,AK120&lt;Q120-1),-'Setup'!$B$11,0))))</x:f>
        <x:v>0</x:v>
      </x:c>
      <x:c r="AU120" s="333" t="n">
        <x:f>IF(Z120=0,0,IF(AN120&lt;&gt;"Yes",Z120,IF(COUNT(AA120,AC120,AE120,AG120,AI120)=0,Z120,ROUND((MAX(AA120,AC120,AE120,AG120,AI120)*(1+AT120))/'Setup'!$B$9,0)*'Setup'!$B$9)))</x:f>
        <x:v>0</x:v>
      </x:c>
      <x:c r="AV120" s="336"/>
    </x:row>
    <x:row r="121">
      <x:c r="A121" s="310" t="n">
        <x:f>'Setup'!$B$3+(C121-1)*7+(D121-1)</x:f>
        <x:v>46256</x:v>
      </x:c>
      <x:c r="B121" s="311" t="str">
        <x:v>2|6|9</x:v>
      </x:c>
      <x:c r="C121" s="311" t="n">
        <x:v>2</x:v>
      </x:c>
      <x:c r="D121" s="311" t="n">
        <x:v>6</x:v>
      </x:c>
      <x:c r="E121" s="311" t="str">
        <x:v>Accumulation</x:v>
      </x:c>
      <x:c r="F121" s="311" t="str">
        <x:v>Push B</x:v>
      </x:c>
      <x:c r="G121" s="311" t="str">
        <x:v>Upper-body speed + chest volume</x:v>
      </x:c>
      <x:c r="H121" s="311" t="n">
        <x:v>9</x:v>
      </x:c>
      <x:c r="I121" s="311" t="str">
        <x:v>Open-Book Thoracic Rotation</x:v>
      </x:c>
      <x:c r="J121" s="311" t="str">
        <x:v>Mobility</x:v>
      </x:c>
      <x:c r="K121" s="311" t="str">
        <x:v>Thoracic</x:v>
      </x:c>
      <x:c r="L121" s="311" t="str">
        <x:v>Controlled mobility</x:v>
      </x:c>
      <x:c r="M121" s="311"/>
      <x:c r="N121" s="311" t="n">
        <x:v>2</x:v>
      </x:c>
      <x:c r="O121" s="311" t="n">
        <x:v>6</x:v>
      </x:c>
      <x:c r="P121" s="311" t="n">
        <x:v>10</x:v>
      </x:c>
      <x:c r="Q121" s="311"/>
      <x:c r="R121" s="311" t="n">
        <x:v>20</x:v>
      </x:c>
      <x:c r="S121" s="311" t="str">
        <x:v>Slow</x:v>
      </x:c>
      <x:c r="T121" s="330" t="n">
        <x:v>1</x:v>
      </x:c>
      <x:c r="U121" s="330" t="n">
        <x:v>0</x:v>
      </x:c>
      <x:c r="V121" s="331" t="str">
        <x:v>reps</x:v>
      </x:c>
      <x:c r="W121" s="332" t="str">
        <x:f>'Readiness'!K18</x:f>
      </x:c>
      <x:c r="X121" s="314" t="n">
        <x:f>'Readiness'!L18</x:f>
        <x:v>1</x:v>
      </x:c>
      <x:c r="Y121" s="315" t="n">
        <x:f>IF(J121="Mobility",N121,MAX(1,ROUND(N121*X121,0)))</x:f>
        <x:v>2</x:v>
      </x:c>
      <x:c r="Z121" s="333" t="n">
        <x:f>0</x:f>
        <x:v>0</x:v>
      </x:c>
      <x:c r="AA121" s="334"/>
      <x:c r="AB121" s="334"/>
      <x:c r="AC121" s="334"/>
      <x:c r="AD121" s="334"/>
      <x:c r="AE121" s="334"/>
      <x:c r="AF121" s="334"/>
      <x:c r="AG121" s="334"/>
      <x:c r="AH121" s="334"/>
      <x:c r="AI121" s="334"/>
      <x:c r="AJ121" s="312"/>
      <x:c r="AK121" s="312"/>
      <x:c r="AL121" s="312"/>
      <x:c r="AM121" s="312"/>
      <x:c r="AN121" s="312"/>
      <x:c r="AO121" s="315" t="n">
        <x:f>COUNT(AB121,AD121,AF121,AH121,AJ121)</x:f>
        <x:v>0</x:v>
      </x:c>
      <x:c r="AP121" s="315" t="n">
        <x:f>SUM(AB121,AD121,AF121,AH121,AJ121)</x:f>
        <x:v>0</x:v>
      </x:c>
      <x:c r="AQ121" s="333" t="n">
        <x:f>AA121*AB121+AC121*AD121+AE121*AF121+AG121*AH121+AI121*AJ121</x:f>
        <x:v>0</x:v>
      </x:c>
      <x:c r="AR121" s="333" t="n">
        <x:f>IF(OR(J121="Strength",J121="Hypertrophy"),MAX(IF(AB121&gt;0,AA121*(1+AB121/30),0),IF(AD121&gt;0,AC121*(1+AD121/30),0),IF(AF121&gt;0,AE121*(1+AF121/30),0),IF(AH121&gt;0,AG121*(1+AH121/30),0),IF(AJ121&gt;0,AI121*(1+AJ121/30),0)),0)</x:f>
        <x:v>0</x:v>
      </x:c>
      <x:c r="AS121" s="315" t="str">
        <x:f>IF(AN121&lt;&gt;"Yes","Not logged",IF(AL121&gt;='Setup'!$B$14,"STOP / MODIFY",IF(Z121=0,"Complete",IF(OR(AO121=0,AK121=""),"Add set data + RIR",IF(AND(MAX(AB121,AD121,AF121,AH121,AJ121)&gt;=P121,AK121&gt;=Q121+1),"Progress",IF(OR(MAX(AB121,AD121,AF121,AH121,AJ121)&lt;O121,AK121&lt;Q121-1),"Regress","Hold"))))))</x:f>
        <x:v>Not logged</x:v>
      </x:c>
      <x:c r="AT121" s="335" t="n">
        <x:f>IF(OR(Z121=0,AN121&lt;&gt;"Yes",AO121=0,AK121=""),0,IF(AL121&gt;='Setup'!$B$14,-2*'Setup'!$B$11,IF(AND(MAX(AB121,AD121,AF121,AH121,AJ121)&gt;=P121,AK121&gt;=Q121+1),'Setup'!$B$10,IF(OR(MAX(AB121,AD121,AF121,AH121,AJ121)&lt;O121,AK121&lt;Q121-1),-'Setup'!$B$11,0))))</x:f>
        <x:v>0</x:v>
      </x:c>
      <x:c r="AU121" s="333" t="n">
        <x:f>IF(Z121=0,0,IF(AN121&lt;&gt;"Yes",Z121,IF(COUNT(AA121,AC121,AE121,AG121,AI121)=0,Z121,ROUND((MAX(AA121,AC121,AE121,AG121,AI121)*(1+AT121))/'Setup'!$B$9,0)*'Setup'!$B$9)))</x:f>
        <x:v>0</x:v>
      </x:c>
      <x:c r="AV121" s="336"/>
    </x:row>
    <x:row r="122">
      <x:c r="A122" s="310" t="n">
        <x:f>'Setup'!$B$3+(C122-1)*7+(D122-1)</x:f>
        <x:v>46258</x:v>
      </x:c>
      <x:c r="B122" s="311" t="str">
        <x:v>3|1|1</x:v>
      </x:c>
      <x:c r="C122" s="311" t="n">
        <x:v>3</x:v>
      </x:c>
      <x:c r="D122" s="311" t="n">
        <x:v>1</x:v>
      </x:c>
      <x:c r="E122" s="311" t="str">
        <x:v>Accumulation</x:v>
      </x:c>
      <x:c r="F122" s="311" t="str">
        <x:v>Pull A</x:v>
      </x:c>
      <x:c r="G122" s="311" t="str">
        <x:v>Vertical pull strength + back density</x:v>
      </x:c>
      <x:c r="H122" s="311" t="n">
        <x:v>1</x:v>
      </x:c>
      <x:c r="I122" s="311" t="str">
        <x:v>Medicine Ball Rotational Throw</x:v>
      </x:c>
      <x:c r="J122" s="311" t="str">
        <x:v>Power</x:v>
      </x:c>
      <x:c r="K122" s="311" t="str">
        <x:v>Core</x:v>
      </x:c>
      <x:c r="L122" s="311" t="str">
        <x:v>Max intent, full reset</x:v>
      </x:c>
      <x:c r="M122" s="311"/>
      <x:c r="N122" s="311" t="n">
        <x:v>3</x:v>
      </x:c>
      <x:c r="O122" s="311" t="n">
        <x:v>4</x:v>
      </x:c>
      <x:c r="P122" s="311" t="n">
        <x:v>4</x:v>
      </x:c>
      <x:c r="Q122" s="311" t="n">
        <x:v>2</x:v>
      </x:c>
      <x:c r="R122" s="311" t="n">
        <x:v>60</x:v>
      </x:c>
      <x:c r="S122" s="311" t="str">
        <x:v>Explosive</x:v>
      </x:c>
      <x:c r="T122" s="330" t="n">
        <x:v>1</x:v>
      </x:c>
      <x:c r="U122" s="330" t="n">
        <x:v>0</x:v>
      </x:c>
      <x:c r="V122" s="331" t="str">
        <x:v>throw quality</x:v>
      </x:c>
      <x:c r="W122" s="332" t="str">
        <x:f>'Readiness'!K19</x:f>
      </x:c>
      <x:c r="X122" s="314" t="n">
        <x:f>'Readiness'!L19</x:f>
        <x:v>1</x:v>
      </x:c>
      <x:c r="Y122" s="315" t="n">
        <x:f>IF(J122="Mobility",N122,MAX(1,ROUND(N122*X122,0)))</x:f>
        <x:v>3</x:v>
      </x:c>
      <x:c r="Z122" s="333" t="n">
        <x:f>0</x:f>
        <x:v>0</x:v>
      </x:c>
      <x:c r="AA122" s="334"/>
      <x:c r="AB122" s="334"/>
      <x:c r="AC122" s="334"/>
      <x:c r="AD122" s="334"/>
      <x:c r="AE122" s="334"/>
      <x:c r="AF122" s="334"/>
      <x:c r="AG122" s="334"/>
      <x:c r="AH122" s="334"/>
      <x:c r="AI122" s="334"/>
      <x:c r="AJ122" s="312"/>
      <x:c r="AK122" s="312"/>
      <x:c r="AL122" s="312"/>
      <x:c r="AM122" s="312"/>
      <x:c r="AN122" s="312"/>
      <x:c r="AO122" s="315" t="n">
        <x:f>COUNT(AB122,AD122,AF122,AH122,AJ122)</x:f>
        <x:v>0</x:v>
      </x:c>
      <x:c r="AP122" s="315" t="n">
        <x:f>SUM(AB122,AD122,AF122,AH122,AJ122)</x:f>
        <x:v>0</x:v>
      </x:c>
      <x:c r="AQ122" s="333" t="n">
        <x:f>AA122*AB122+AC122*AD122+AE122*AF122+AG122*AH122+AI122*AJ122</x:f>
        <x:v>0</x:v>
      </x:c>
      <x:c r="AR122" s="333" t="n">
        <x:f>IF(OR(J122="Strength",J122="Hypertrophy"),MAX(IF(AB122&gt;0,AA122*(1+AB122/30),0),IF(AD122&gt;0,AC122*(1+AD122/30),0),IF(AF122&gt;0,AE122*(1+AF122/30),0),IF(AH122&gt;0,AG122*(1+AH122/30),0),IF(AJ122&gt;0,AI122*(1+AJ122/30),0)),0)</x:f>
        <x:v>0</x:v>
      </x:c>
      <x:c r="AS122" s="315" t="str">
        <x:f>IF(AN122&lt;&gt;"Yes","Not logged",IF(AL122&gt;='Setup'!$B$14,"STOP / MODIFY",IF(Z122=0,"Complete",IF(OR(AO122=0,AK122=""),"Add set data + RIR",IF(AND(MAX(AB122,AD122,AF122,AH122,AJ122)&gt;=P122,AK122&gt;=Q122+1),"Progress",IF(OR(MAX(AB122,AD122,AF122,AH122,AJ122)&lt;O122,AK122&lt;Q122-1),"Regress","Hold"))))))</x:f>
        <x:v>Not logged</x:v>
      </x:c>
      <x:c r="AT122" s="335" t="n">
        <x:f>IF(OR(Z122=0,AN122&lt;&gt;"Yes",AO122=0,AK122=""),0,IF(AL122&gt;='Setup'!$B$14,-2*'Setup'!$B$11,IF(AND(MAX(AB122,AD122,AF122,AH122,AJ122)&gt;=P122,AK122&gt;=Q122+1),'Setup'!$B$10,IF(OR(MAX(AB122,AD122,AF122,AH122,AJ122)&lt;O122,AK122&lt;Q122-1),-'Setup'!$B$11,0))))</x:f>
        <x:v>0</x:v>
      </x:c>
      <x:c r="AU122" s="333" t="n">
        <x:f>IF(Z122=0,0,IF(AN122&lt;&gt;"Yes",Z122,IF(COUNT(AA122,AC122,AE122,AG122,AI122)=0,Z122,ROUND((MAX(AA122,AC122,AE122,AG122,AI122)*(1+AT122))/'Setup'!$B$9,0)*'Setup'!$B$9)))</x:f>
        <x:v>0</x:v>
      </x:c>
      <x:c r="AV122" s="336"/>
    </x:row>
    <x:row r="123">
      <x:c r="A123" s="310" t="n">
        <x:f>'Setup'!$B$3+(C123-1)*7+(D123-1)</x:f>
        <x:v>46258</x:v>
      </x:c>
      <x:c r="B123" s="311" t="str">
        <x:v>3|1|2</x:v>
      </x:c>
      <x:c r="C123" s="311" t="n">
        <x:v>3</x:v>
      </x:c>
      <x:c r="D123" s="311" t="n">
        <x:v>1</x:v>
      </x:c>
      <x:c r="E123" s="311" t="str">
        <x:v>Accumulation</x:v>
      </x:c>
      <x:c r="F123" s="311" t="str">
        <x:v>Pull A</x:v>
      </x:c>
      <x:c r="G123" s="311" t="str">
        <x:v>Vertical pull strength + back density</x:v>
      </x:c>
      <x:c r="H123" s="311" t="n">
        <x:v>2</x:v>
      </x:c>
      <x:c r="I123" s="311" t="str">
        <x:v>Weighted Pull-Up</x:v>
      </x:c>
      <x:c r="J123" s="311" t="str">
        <x:v>Strength</x:v>
      </x:c>
      <x:c r="K123" s="311" t="str">
        <x:v>Back</x:v>
      </x:c>
      <x:c r="L123" s="311" t="str">
        <x:v>Top set + back-offs</x:v>
      </x:c>
      <x:c r="M123" s="311"/>
      <x:c r="N123" s="311" t="n">
        <x:v>4</x:v>
      </x:c>
      <x:c r="O123" s="311" t="n">
        <x:v>5</x:v>
      </x:c>
      <x:c r="P123" s="311" t="n">
        <x:v>7</x:v>
      </x:c>
      <x:c r="Q123" s="311" t="n">
        <x:v>1</x:v>
      </x:c>
      <x:c r="R123" s="311" t="n">
        <x:v>150</x:v>
      </x:c>
      <x:c r="S123" s="311" t="str">
        <x:v>2-1-X</x:v>
      </x:c>
      <x:c r="T123" s="330" t="n">
        <x:v>1</x:v>
      </x:c>
      <x:c r="U123" s="330" t="n">
        <x:v>0</x:v>
      </x:c>
      <x:c r="V123" s="331" t="str">
        <x:v>load × reps</x:v>
      </x:c>
      <x:c r="W123" s="332" t="str">
        <x:f>'Readiness'!K19</x:f>
      </x:c>
      <x:c r="X123" s="314" t="n">
        <x:f>'Readiness'!L19</x:f>
        <x:v>1</x:v>
      </x:c>
      <x:c r="Y123" s="315" t="n">
        <x:f>IF(J123="Mobility",N123,MAX(1,ROUND(N123*X123,0)))</x:f>
        <x:v>4</x:v>
      </x:c>
      <x:c r="Z123" s="333" t="n">
        <x:f>ROUND((IF(AU67&gt;0,AU67,IF(Z67&gt;0,Z67,'Setup'!$D$94))*T123)/'Setup'!$B$9,0)*'Setup'!$B$9</x:f>
        <x:v>0</x:v>
      </x:c>
      <x:c r="AA123" s="334"/>
      <x:c r="AB123" s="334"/>
      <x:c r="AC123" s="334"/>
      <x:c r="AD123" s="334"/>
      <x:c r="AE123" s="334"/>
      <x:c r="AF123" s="334"/>
      <x:c r="AG123" s="334"/>
      <x:c r="AH123" s="334"/>
      <x:c r="AI123" s="334"/>
      <x:c r="AJ123" s="312"/>
      <x:c r="AK123" s="312"/>
      <x:c r="AL123" s="312"/>
      <x:c r="AM123" s="312"/>
      <x:c r="AN123" s="312"/>
      <x:c r="AO123" s="315" t="n">
        <x:f>COUNT(AB123,AD123,AF123,AH123,AJ123)</x:f>
        <x:v>0</x:v>
      </x:c>
      <x:c r="AP123" s="315" t="n">
        <x:f>SUM(AB123,AD123,AF123,AH123,AJ123)</x:f>
        <x:v>0</x:v>
      </x:c>
      <x:c r="AQ123" s="333" t="n">
        <x:f>AA123*AB123+AC123*AD123+AE123*AF123+AG123*AH123+AI123*AJ123</x:f>
        <x:v>0</x:v>
      </x:c>
      <x:c r="AR123" s="333" t="n">
        <x:f>IF(OR(J123="Strength",J123="Hypertrophy"),MAX(IF(AB123&gt;0,AA123*(1+AB123/30),0),IF(AD123&gt;0,AC123*(1+AD123/30),0),IF(AF123&gt;0,AE123*(1+AF123/30),0),IF(AH123&gt;0,AG123*(1+AH123/30),0),IF(AJ123&gt;0,AI123*(1+AJ123/30),0)),0)</x:f>
        <x:v>0</x:v>
      </x:c>
      <x:c r="AS123" s="315" t="str">
        <x:f>IF(AN123&lt;&gt;"Yes","Not logged",IF(AL123&gt;='Setup'!$B$14,"STOP / MODIFY",IF(Z123=0,"Complete",IF(OR(AO123=0,AK123=""),"Add set data + RIR",IF(AND(MAX(AB123,AD123,AF123,AH123,AJ123)&gt;=P123,AK123&gt;=Q123+1),"Progress",IF(OR(MAX(AB123,AD123,AF123,AH123,AJ123)&lt;O123,AK123&lt;Q123-1),"Regress","Hold"))))))</x:f>
        <x:v>Not logged</x:v>
      </x:c>
      <x:c r="AT123" s="335" t="n">
        <x:f>IF(OR(Z123=0,AN123&lt;&gt;"Yes",AO123=0,AK123=""),0,IF(AL123&gt;='Setup'!$B$14,-2*'Setup'!$B$11,IF(AND(MAX(AB123,AD123,AF123,AH123,AJ123)&gt;=P123,AK123&gt;=Q123+1),'Setup'!$B$10,IF(OR(MAX(AB123,AD123,AF123,AH123,AJ123)&lt;O123,AK123&lt;Q123-1),-'Setup'!$B$11,0))))</x:f>
        <x:v>0</x:v>
      </x:c>
      <x:c r="AU123" s="333" t="n">
        <x:f>IF(Z123=0,0,IF(AN123&lt;&gt;"Yes",Z123,IF(COUNT(AA123,AC123,AE123,AG123,AI123)=0,Z123,ROUND((MAX(AA123,AC123,AE123,AG123,AI123)*(1+AT123))/'Setup'!$B$9,0)*'Setup'!$B$9)))</x:f>
        <x:v>0</x:v>
      </x:c>
      <x:c r="AV123" s="336"/>
    </x:row>
    <x:row r="124">
      <x:c r="A124" s="310" t="n">
        <x:f>'Setup'!$B$3+(C124-1)*7+(D124-1)</x:f>
        <x:v>46258</x:v>
      </x:c>
      <x:c r="B124" s="311" t="str">
        <x:v>3|1|3</x:v>
      </x:c>
      <x:c r="C124" s="311" t="n">
        <x:v>3</x:v>
      </x:c>
      <x:c r="D124" s="311" t="n">
        <x:v>1</x:v>
      </x:c>
      <x:c r="E124" s="311" t="str">
        <x:v>Accumulation</x:v>
      </x:c>
      <x:c r="F124" s="311" t="str">
        <x:v>Pull A</x:v>
      </x:c>
      <x:c r="G124" s="311" t="str">
        <x:v>Vertical pull strength + back density</x:v>
      </x:c>
      <x:c r="H124" s="311" t="n">
        <x:v>3</x:v>
      </x:c>
      <x:c r="I124" s="311" t="str">
        <x:v>Barbell Row</x:v>
      </x:c>
      <x:c r="J124" s="311" t="str">
        <x:v>Strength</x:v>
      </x:c>
      <x:c r="K124" s="311" t="str">
        <x:v>Back</x:v>
      </x:c>
      <x:c r="L124" s="311" t="str">
        <x:v>Straight sets</x:v>
      </x:c>
      <x:c r="M124" s="311"/>
      <x:c r="N124" s="311" t="n">
        <x:v>3</x:v>
      </x:c>
      <x:c r="O124" s="311" t="n">
        <x:v>6</x:v>
      </x:c>
      <x:c r="P124" s="311" t="n">
        <x:v>8</x:v>
      </x:c>
      <x:c r="Q124" s="311" t="n">
        <x:v>1</x:v>
      </x:c>
      <x:c r="R124" s="311" t="n">
        <x:v>120</x:v>
      </x:c>
      <x:c r="S124" s="311" t="str">
        <x:v>2-1-1</x:v>
      </x:c>
      <x:c r="T124" s="330" t="n">
        <x:v>1</x:v>
      </x:c>
      <x:c r="U124" s="330" t="n">
        <x:v>0</x:v>
      </x:c>
      <x:c r="V124" s="331" t="str">
        <x:v>load × reps</x:v>
      </x:c>
      <x:c r="W124" s="332" t="str">
        <x:f>'Readiness'!K19</x:f>
      </x:c>
      <x:c r="X124" s="314" t="n">
        <x:f>'Readiness'!L19</x:f>
        <x:v>1</x:v>
      </x:c>
      <x:c r="Y124" s="315" t="n">
        <x:f>IF(J124="Mobility",N124,MAX(1,ROUND(N124*X124,0)))</x:f>
        <x:v>3</x:v>
      </x:c>
      <x:c r="Z124" s="333" t="n">
        <x:f>ROUND((IF(AU68&gt;0,AU68,IF(Z68&gt;0,Z68,'Setup'!$D$26))*T124)/'Setup'!$B$9,0)*'Setup'!$B$9</x:f>
        <x:v>0</x:v>
      </x:c>
      <x:c r="AA124" s="334"/>
      <x:c r="AB124" s="334"/>
      <x:c r="AC124" s="334"/>
      <x:c r="AD124" s="334"/>
      <x:c r="AE124" s="334"/>
      <x:c r="AF124" s="334"/>
      <x:c r="AG124" s="334"/>
      <x:c r="AH124" s="334"/>
      <x:c r="AI124" s="334"/>
      <x:c r="AJ124" s="312"/>
      <x:c r="AK124" s="312"/>
      <x:c r="AL124" s="312"/>
      <x:c r="AM124" s="312"/>
      <x:c r="AN124" s="312"/>
      <x:c r="AO124" s="315" t="n">
        <x:f>COUNT(AB124,AD124,AF124,AH124,AJ124)</x:f>
        <x:v>0</x:v>
      </x:c>
      <x:c r="AP124" s="315" t="n">
        <x:f>SUM(AB124,AD124,AF124,AH124,AJ124)</x:f>
        <x:v>0</x:v>
      </x:c>
      <x:c r="AQ124" s="333" t="n">
        <x:f>AA124*AB124+AC124*AD124+AE124*AF124+AG124*AH124+AI124*AJ124</x:f>
        <x:v>0</x:v>
      </x:c>
      <x:c r="AR124" s="333" t="n">
        <x:f>IF(OR(J124="Strength",J124="Hypertrophy"),MAX(IF(AB124&gt;0,AA124*(1+AB124/30),0),IF(AD124&gt;0,AC124*(1+AD124/30),0),IF(AF124&gt;0,AE124*(1+AF124/30),0),IF(AH124&gt;0,AG124*(1+AH124/30),0),IF(AJ124&gt;0,AI124*(1+AJ124/30),0)),0)</x:f>
        <x:v>0</x:v>
      </x:c>
      <x:c r="AS124" s="315" t="str">
        <x:f>IF(AN124&lt;&gt;"Yes","Not logged",IF(AL124&gt;='Setup'!$B$14,"STOP / MODIFY",IF(Z124=0,"Complete",IF(OR(AO124=0,AK124=""),"Add set data + RIR",IF(AND(MAX(AB124,AD124,AF124,AH124,AJ124)&gt;=P124,AK124&gt;=Q124+1),"Progress",IF(OR(MAX(AB124,AD124,AF124,AH124,AJ124)&lt;O124,AK124&lt;Q124-1),"Regress","Hold"))))))</x:f>
        <x:v>Not logged</x:v>
      </x:c>
      <x:c r="AT124" s="335" t="n">
        <x:f>IF(OR(Z124=0,AN124&lt;&gt;"Yes",AO124=0,AK124=""),0,IF(AL124&gt;='Setup'!$B$14,-2*'Setup'!$B$11,IF(AND(MAX(AB124,AD124,AF124,AH124,AJ124)&gt;=P124,AK124&gt;=Q124+1),'Setup'!$B$10,IF(OR(MAX(AB124,AD124,AF124,AH124,AJ124)&lt;O124,AK124&lt;Q124-1),-'Setup'!$B$11,0))))</x:f>
        <x:v>0</x:v>
      </x:c>
      <x:c r="AU124" s="333" t="n">
        <x:f>IF(Z124=0,0,IF(AN124&lt;&gt;"Yes",Z124,IF(COUNT(AA124,AC124,AE124,AG124,AI124)=0,Z124,ROUND((MAX(AA124,AC124,AE124,AG124,AI124)*(1+AT124))/'Setup'!$B$9,0)*'Setup'!$B$9)))</x:f>
        <x:v>0</x:v>
      </x:c>
      <x:c r="AV124" s="336"/>
    </x:row>
    <x:row r="125">
      <x:c r="A125" s="310" t="n">
        <x:f>'Setup'!$B$3+(C125-1)*7+(D125-1)</x:f>
        <x:v>46258</x:v>
      </x:c>
      <x:c r="B125" s="311" t="str">
        <x:v>3|1|4</x:v>
      </x:c>
      <x:c r="C125" s="311" t="n">
        <x:v>3</x:v>
      </x:c>
      <x:c r="D125" s="311" t="n">
        <x:v>1</x:v>
      </x:c>
      <x:c r="E125" s="311" t="str">
        <x:v>Accumulation</x:v>
      </x:c>
      <x:c r="F125" s="311" t="str">
        <x:v>Pull A</x:v>
      </x:c>
      <x:c r="G125" s="311" t="str">
        <x:v>Vertical pull strength + back density</x:v>
      </x:c>
      <x:c r="H125" s="311" t="n">
        <x:v>4</x:v>
      </x:c>
      <x:c r="I125" s="311" t="str">
        <x:v>Chest-Supported Dumbbell Row</x:v>
      </x:c>
      <x:c r="J125" s="311" t="str">
        <x:v>Hypertrophy</x:v>
      </x:c>
      <x:c r="K125" s="311" t="str">
        <x:v>Back</x:v>
      </x:c>
      <x:c r="L125" s="311" t="str">
        <x:v>Straight sets</x:v>
      </x:c>
      <x:c r="M125" s="311"/>
      <x:c r="N125" s="311" t="n">
        <x:v>3</x:v>
      </x:c>
      <x:c r="O125" s="311" t="n">
        <x:v>8</x:v>
      </x:c>
      <x:c r="P125" s="311" t="n">
        <x:v>12</x:v>
      </x:c>
      <x:c r="Q125" s="311" t="n">
        <x:v>1</x:v>
      </x:c>
      <x:c r="R125" s="311" t="n">
        <x:v>90</x:v>
      </x:c>
      <x:c r="S125" s="311" t="str">
        <x:v>2-1-1</x:v>
      </x:c>
      <x:c r="T125" s="330" t="n">
        <x:v>1</x:v>
      </x:c>
      <x:c r="U125" s="330" t="n">
        <x:v>0</x:v>
      </x:c>
      <x:c r="V125" s="331" t="str">
        <x:v>load × reps</x:v>
      </x:c>
      <x:c r="W125" s="332" t="str">
        <x:f>'Readiness'!K19</x:f>
      </x:c>
      <x:c r="X125" s="314" t="n">
        <x:f>'Readiness'!L19</x:f>
        <x:v>1</x:v>
      </x:c>
      <x:c r="Y125" s="315" t="n">
        <x:f>IF(J125="Mobility",N125,MAX(1,ROUND(N125*X125,0)))</x:f>
        <x:v>3</x:v>
      </x:c>
      <x:c r="Z125" s="333" t="n">
        <x:f>ROUND((IF(AU69&gt;0,AU69,IF(Z69&gt;0,Z69,'Setup'!$D$34))*T125)/'Setup'!$B$9,0)*'Setup'!$B$9</x:f>
        <x:v>0</x:v>
      </x:c>
      <x:c r="AA125" s="334"/>
      <x:c r="AB125" s="334"/>
      <x:c r="AC125" s="334"/>
      <x:c r="AD125" s="334"/>
      <x:c r="AE125" s="334"/>
      <x:c r="AF125" s="334"/>
      <x:c r="AG125" s="334"/>
      <x:c r="AH125" s="334"/>
      <x:c r="AI125" s="334"/>
      <x:c r="AJ125" s="312"/>
      <x:c r="AK125" s="312"/>
      <x:c r="AL125" s="312"/>
      <x:c r="AM125" s="312"/>
      <x:c r="AN125" s="312"/>
      <x:c r="AO125" s="315" t="n">
        <x:f>COUNT(AB125,AD125,AF125,AH125,AJ125)</x:f>
        <x:v>0</x:v>
      </x:c>
      <x:c r="AP125" s="315" t="n">
        <x:f>SUM(AB125,AD125,AF125,AH125,AJ125)</x:f>
        <x:v>0</x:v>
      </x:c>
      <x:c r="AQ125" s="333" t="n">
        <x:f>AA125*AB125+AC125*AD125+AE125*AF125+AG125*AH125+AI125*AJ125</x:f>
        <x:v>0</x:v>
      </x:c>
      <x:c r="AR125" s="333" t="n">
        <x:f>IF(OR(J125="Strength",J125="Hypertrophy"),MAX(IF(AB125&gt;0,AA125*(1+AB125/30),0),IF(AD125&gt;0,AC125*(1+AD125/30),0),IF(AF125&gt;0,AE125*(1+AF125/30),0),IF(AH125&gt;0,AG125*(1+AH125/30),0),IF(AJ125&gt;0,AI125*(1+AJ125/30),0)),0)</x:f>
        <x:v>0</x:v>
      </x:c>
      <x:c r="AS125" s="315" t="str">
        <x:f>IF(AN125&lt;&gt;"Yes","Not logged",IF(AL125&gt;='Setup'!$B$14,"STOP / MODIFY",IF(Z125=0,"Complete",IF(OR(AO125=0,AK125=""),"Add set data + RIR",IF(AND(MAX(AB125,AD125,AF125,AH125,AJ125)&gt;=P125,AK125&gt;=Q125+1),"Progress",IF(OR(MAX(AB125,AD125,AF125,AH125,AJ125)&lt;O125,AK125&lt;Q125-1),"Regress","Hold"))))))</x:f>
        <x:v>Not logged</x:v>
      </x:c>
      <x:c r="AT125" s="335" t="n">
        <x:f>IF(OR(Z125=0,AN125&lt;&gt;"Yes",AO125=0,AK125=""),0,IF(AL125&gt;='Setup'!$B$14,-2*'Setup'!$B$11,IF(AND(MAX(AB125,AD125,AF125,AH125,AJ125)&gt;=P125,AK125&gt;=Q125+1),'Setup'!$B$10,IF(OR(MAX(AB125,AD125,AF125,AH125,AJ125)&lt;O125,AK125&lt;Q125-1),-'Setup'!$B$11,0))))</x:f>
        <x:v>0</x:v>
      </x:c>
      <x:c r="AU125" s="333" t="n">
        <x:f>IF(Z125=0,0,IF(AN125&lt;&gt;"Yes",Z125,IF(COUNT(AA125,AC125,AE125,AG125,AI125)=0,Z125,ROUND((MAX(AA125,AC125,AE125,AG125,AI125)*(1+AT125))/'Setup'!$B$9,0)*'Setup'!$B$9)))</x:f>
        <x:v>0</x:v>
      </x:c>
      <x:c r="AV125" s="336"/>
    </x:row>
    <x:row r="126">
      <x:c r="A126" s="310" t="n">
        <x:f>'Setup'!$B$3+(C126-1)*7+(D126-1)</x:f>
        <x:v>46258</x:v>
      </x:c>
      <x:c r="B126" s="311" t="str">
        <x:v>3|1|5</x:v>
      </x:c>
      <x:c r="C126" s="311" t="n">
        <x:v>3</x:v>
      </x:c>
      <x:c r="D126" s="311" t="n">
        <x:v>1</x:v>
      </x:c>
      <x:c r="E126" s="311" t="str">
        <x:v>Accumulation</x:v>
      </x:c>
      <x:c r="F126" s="311" t="str">
        <x:v>Pull A</x:v>
      </x:c>
      <x:c r="G126" s="311" t="str">
        <x:v>Vertical pull strength + back density</x:v>
      </x:c>
      <x:c r="H126" s="311" t="n">
        <x:v>5</x:v>
      </x:c>
      <x:c r="I126" s="311" t="str">
        <x:v>Lat Pulldown</x:v>
      </x:c>
      <x:c r="J126" s="311" t="str">
        <x:v>Hypertrophy</x:v>
      </x:c>
      <x:c r="K126" s="311" t="str">
        <x:v>Back</x:v>
      </x:c>
      <x:c r="L126" s="311" t="str">
        <x:v>Straight sets</x:v>
      </x:c>
      <x:c r="M126" s="311"/>
      <x:c r="N126" s="311" t="n">
        <x:v>3</x:v>
      </x:c>
      <x:c r="O126" s="311" t="n">
        <x:v>10</x:v>
      </x:c>
      <x:c r="P126" s="311" t="n">
        <x:v>12</x:v>
      </x:c>
      <x:c r="Q126" s="311" t="n">
        <x:v>1</x:v>
      </x:c>
      <x:c r="R126" s="311" t="n">
        <x:v>75</x:v>
      </x:c>
      <x:c r="S126" s="311" t="str">
        <x:v>2-1-1</x:v>
      </x:c>
      <x:c r="T126" s="330" t="n">
        <x:v>1</x:v>
      </x:c>
      <x:c r="U126" s="330" t="n">
        <x:v>0</x:v>
      </x:c>
      <x:c r="V126" s="331" t="str">
        <x:v>load × reps</x:v>
      </x:c>
      <x:c r="W126" s="332" t="str">
        <x:f>'Readiness'!K19</x:f>
      </x:c>
      <x:c r="X126" s="314" t="n">
        <x:f>'Readiness'!L19</x:f>
        <x:v>1</x:v>
      </x:c>
      <x:c r="Y126" s="315" t="n">
        <x:f>IF(J126="Mobility",N126,MAX(1,ROUND(N126*X126,0)))</x:f>
        <x:v>3</x:v>
      </x:c>
      <x:c r="Z126" s="333" t="n">
        <x:f>ROUND((IF(AU70&gt;0,AU70,IF(Z70&gt;0,Z70,'Setup'!$D$55))*T126)/'Setup'!$B$9,0)*'Setup'!$B$9</x:f>
        <x:v>0</x:v>
      </x:c>
      <x:c r="AA126" s="334"/>
      <x:c r="AB126" s="334"/>
      <x:c r="AC126" s="334"/>
      <x:c r="AD126" s="334"/>
      <x:c r="AE126" s="334"/>
      <x:c r="AF126" s="334"/>
      <x:c r="AG126" s="334"/>
      <x:c r="AH126" s="334"/>
      <x:c r="AI126" s="334"/>
      <x:c r="AJ126" s="312"/>
      <x:c r="AK126" s="312"/>
      <x:c r="AL126" s="312"/>
      <x:c r="AM126" s="312"/>
      <x:c r="AN126" s="312"/>
      <x:c r="AO126" s="315" t="n">
        <x:f>COUNT(AB126,AD126,AF126,AH126,AJ126)</x:f>
        <x:v>0</x:v>
      </x:c>
      <x:c r="AP126" s="315" t="n">
        <x:f>SUM(AB126,AD126,AF126,AH126,AJ126)</x:f>
        <x:v>0</x:v>
      </x:c>
      <x:c r="AQ126" s="333" t="n">
        <x:f>AA126*AB126+AC126*AD126+AE126*AF126+AG126*AH126+AI126*AJ126</x:f>
        <x:v>0</x:v>
      </x:c>
      <x:c r="AR126" s="333" t="n">
        <x:f>IF(OR(J126="Strength",J126="Hypertrophy"),MAX(IF(AB126&gt;0,AA126*(1+AB126/30),0),IF(AD126&gt;0,AC126*(1+AD126/30),0),IF(AF126&gt;0,AE126*(1+AF126/30),0),IF(AH126&gt;0,AG126*(1+AH126/30),0),IF(AJ126&gt;0,AI126*(1+AJ126/30),0)),0)</x:f>
        <x:v>0</x:v>
      </x:c>
      <x:c r="AS126" s="315" t="str">
        <x:f>IF(AN126&lt;&gt;"Yes","Not logged",IF(AL126&gt;='Setup'!$B$14,"STOP / MODIFY",IF(Z126=0,"Complete",IF(OR(AO126=0,AK126=""),"Add set data + RIR",IF(AND(MAX(AB126,AD126,AF126,AH126,AJ126)&gt;=P126,AK126&gt;=Q126+1),"Progress",IF(OR(MAX(AB126,AD126,AF126,AH126,AJ126)&lt;O126,AK126&lt;Q126-1),"Regress","Hold"))))))</x:f>
        <x:v>Not logged</x:v>
      </x:c>
      <x:c r="AT126" s="335" t="n">
        <x:f>IF(OR(Z126=0,AN126&lt;&gt;"Yes",AO126=0,AK126=""),0,IF(AL126&gt;='Setup'!$B$14,-2*'Setup'!$B$11,IF(AND(MAX(AB126,AD126,AF126,AH126,AJ126)&gt;=P126,AK126&gt;=Q126+1),'Setup'!$B$10,IF(OR(MAX(AB126,AD126,AF126,AH126,AJ126)&lt;O126,AK126&lt;Q126-1),-'Setup'!$B$11,0))))</x:f>
        <x:v>0</x:v>
      </x:c>
      <x:c r="AU126" s="333" t="n">
        <x:f>IF(Z126=0,0,IF(AN126&lt;&gt;"Yes",Z126,IF(COUNT(AA126,AC126,AE126,AG126,AI126)=0,Z126,ROUND((MAX(AA126,AC126,AE126,AG126,AI126)*(1+AT126))/'Setup'!$B$9,0)*'Setup'!$B$9)))</x:f>
        <x:v>0</x:v>
      </x:c>
      <x:c r="AV126" s="336"/>
    </x:row>
    <x:row r="127">
      <x:c r="A127" s="310" t="n">
        <x:f>'Setup'!$B$3+(C127-1)*7+(D127-1)</x:f>
        <x:v>46258</x:v>
      </x:c>
      <x:c r="B127" s="311" t="str">
        <x:v>3|1|6</x:v>
      </x:c>
      <x:c r="C127" s="311" t="n">
        <x:v>3</x:v>
      </x:c>
      <x:c r="D127" s="311" t="n">
        <x:v>1</x:v>
      </x:c>
      <x:c r="E127" s="311" t="str">
        <x:v>Accumulation</x:v>
      </x:c>
      <x:c r="F127" s="311" t="str">
        <x:v>Pull A</x:v>
      </x:c>
      <x:c r="G127" s="311" t="str">
        <x:v>Vertical pull strength + back density</x:v>
      </x:c>
      <x:c r="H127" s="311" t="n">
        <x:v>6</x:v>
      </x:c>
      <x:c r="I127" s="311" t="str">
        <x:v>Rear Delt Cable Fly</x:v>
      </x:c>
      <x:c r="J127" s="311" t="str">
        <x:v>Hypertrophy</x:v>
      </x:c>
      <x:c r="K127" s="311" t="str">
        <x:v>Rear Delts</x:v>
      </x:c>
      <x:c r="L127" s="311" t="str">
        <x:v>Superset</x:v>
      </x:c>
      <x:c r="M127" s="311" t="str">
        <x:v>A1</x:v>
      </x:c>
      <x:c r="N127" s="311" t="n">
        <x:v>3</x:v>
      </x:c>
      <x:c r="O127" s="311" t="n">
        <x:v>12</x:v>
      </x:c>
      <x:c r="P127" s="311" t="n">
        <x:v>20</x:v>
      </x:c>
      <x:c r="Q127" s="311" t="n">
        <x:v>1</x:v>
      </x:c>
      <x:c r="R127" s="311" t="n">
        <x:v>30</x:v>
      </x:c>
      <x:c r="S127" s="311" t="str">
        <x:v>2-1-2</x:v>
      </x:c>
      <x:c r="T127" s="330" t="n">
        <x:v>1</x:v>
      </x:c>
      <x:c r="U127" s="330" t="n">
        <x:v>0</x:v>
      </x:c>
      <x:c r="V127" s="331" t="str">
        <x:v>load × reps</x:v>
      </x:c>
      <x:c r="W127" s="332" t="str">
        <x:f>'Readiness'!K19</x:f>
      </x:c>
      <x:c r="X127" s="314" t="n">
        <x:f>'Readiness'!L19</x:f>
        <x:v>1</x:v>
      </x:c>
      <x:c r="Y127" s="315" t="n">
        <x:f>IF(J127="Mobility",N127,MAX(1,ROUND(N127*X127,0)))</x:f>
        <x:v>3</x:v>
      </x:c>
      <x:c r="Z127" s="333" t="n">
        <x:f>ROUND((IF(AU71&gt;0,AU71,IF(Z71&gt;0,Z71,'Setup'!$D$78))*T127)/'Setup'!$B$9,0)*'Setup'!$B$9</x:f>
        <x:v>0</x:v>
      </x:c>
      <x:c r="AA127" s="334"/>
      <x:c r="AB127" s="334"/>
      <x:c r="AC127" s="334"/>
      <x:c r="AD127" s="334"/>
      <x:c r="AE127" s="334"/>
      <x:c r="AF127" s="334"/>
      <x:c r="AG127" s="334"/>
      <x:c r="AH127" s="334"/>
      <x:c r="AI127" s="334"/>
      <x:c r="AJ127" s="312"/>
      <x:c r="AK127" s="312"/>
      <x:c r="AL127" s="312"/>
      <x:c r="AM127" s="312"/>
      <x:c r="AN127" s="312"/>
      <x:c r="AO127" s="315" t="n">
        <x:f>COUNT(AB127,AD127,AF127,AH127,AJ127)</x:f>
        <x:v>0</x:v>
      </x:c>
      <x:c r="AP127" s="315" t="n">
        <x:f>SUM(AB127,AD127,AF127,AH127,AJ127)</x:f>
        <x:v>0</x:v>
      </x:c>
      <x:c r="AQ127" s="333" t="n">
        <x:f>AA127*AB127+AC127*AD127+AE127*AF127+AG127*AH127+AI127*AJ127</x:f>
        <x:v>0</x:v>
      </x:c>
      <x:c r="AR127" s="333" t="n">
        <x:f>IF(OR(J127="Strength",J127="Hypertrophy"),MAX(IF(AB127&gt;0,AA127*(1+AB127/30),0),IF(AD127&gt;0,AC127*(1+AD127/30),0),IF(AF127&gt;0,AE127*(1+AF127/30),0),IF(AH127&gt;0,AG127*(1+AH127/30),0),IF(AJ127&gt;0,AI127*(1+AJ127/30),0)),0)</x:f>
        <x:v>0</x:v>
      </x:c>
      <x:c r="AS127" s="315" t="str">
        <x:f>IF(AN127&lt;&gt;"Yes","Not logged",IF(AL127&gt;='Setup'!$B$14,"STOP / MODIFY",IF(Z127=0,"Complete",IF(OR(AO127=0,AK127=""),"Add set data + RIR",IF(AND(MAX(AB127,AD127,AF127,AH127,AJ127)&gt;=P127,AK127&gt;=Q127+1),"Progress",IF(OR(MAX(AB127,AD127,AF127,AH127,AJ127)&lt;O127,AK127&lt;Q127-1),"Regress","Hold"))))))</x:f>
        <x:v>Not logged</x:v>
      </x:c>
      <x:c r="AT127" s="335" t="n">
        <x:f>IF(OR(Z127=0,AN127&lt;&gt;"Yes",AO127=0,AK127=""),0,IF(AL127&gt;='Setup'!$B$14,-2*'Setup'!$B$11,IF(AND(MAX(AB127,AD127,AF127,AH127,AJ127)&gt;=P127,AK127&gt;=Q127+1),'Setup'!$B$10,IF(OR(MAX(AB127,AD127,AF127,AH127,AJ127)&lt;O127,AK127&lt;Q127-1),-'Setup'!$B$11,0))))</x:f>
        <x:v>0</x:v>
      </x:c>
      <x:c r="AU127" s="333" t="n">
        <x:f>IF(Z127=0,0,IF(AN127&lt;&gt;"Yes",Z127,IF(COUNT(AA127,AC127,AE127,AG127,AI127)=0,Z127,ROUND((MAX(AA127,AC127,AE127,AG127,AI127)*(1+AT127))/'Setup'!$B$9,0)*'Setup'!$B$9)))</x:f>
        <x:v>0</x:v>
      </x:c>
      <x:c r="AV127" s="336"/>
    </x:row>
    <x:row r="128">
      <x:c r="A128" s="310" t="n">
        <x:f>'Setup'!$B$3+(C128-1)*7+(D128-1)</x:f>
        <x:v>46258</x:v>
      </x:c>
      <x:c r="B128" s="311" t="str">
        <x:v>3|1|7</x:v>
      </x:c>
      <x:c r="C128" s="311" t="n">
        <x:v>3</x:v>
      </x:c>
      <x:c r="D128" s="311" t="n">
        <x:v>1</x:v>
      </x:c>
      <x:c r="E128" s="311" t="str">
        <x:v>Accumulation</x:v>
      </x:c>
      <x:c r="F128" s="311" t="str">
        <x:v>Pull A</x:v>
      </x:c>
      <x:c r="G128" s="311" t="str">
        <x:v>Vertical pull strength + back density</x:v>
      </x:c>
      <x:c r="H128" s="311" t="n">
        <x:v>7</x:v>
      </x:c>
      <x:c r="I128" s="311" t="str">
        <x:v>EZ-Bar Curl</x:v>
      </x:c>
      <x:c r="J128" s="311" t="str">
        <x:v>Hypertrophy</x:v>
      </x:c>
      <x:c r="K128" s="311" t="str">
        <x:v>Biceps</x:v>
      </x:c>
      <x:c r="L128" s="311" t="str">
        <x:v>Superset</x:v>
      </x:c>
      <x:c r="M128" s="311" t="str">
        <x:v>A2</x:v>
      </x:c>
      <x:c r="N128" s="311" t="n">
        <x:v>3</x:v>
      </x:c>
      <x:c r="O128" s="311" t="n">
        <x:v>8</x:v>
      </x:c>
      <x:c r="P128" s="311" t="n">
        <x:v>12</x:v>
      </x:c>
      <x:c r="Q128" s="311" t="n">
        <x:v>1</x:v>
      </x:c>
      <x:c r="R128" s="311" t="n">
        <x:v>45</x:v>
      </x:c>
      <x:c r="S128" s="311" t="str">
        <x:v>3-0-1</x:v>
      </x:c>
      <x:c r="T128" s="330" t="n">
        <x:v>1</x:v>
      </x:c>
      <x:c r="U128" s="330" t="n">
        <x:v>0</x:v>
      </x:c>
      <x:c r="V128" s="331" t="str">
        <x:v>load × reps</x:v>
      </x:c>
      <x:c r="W128" s="332" t="str">
        <x:f>'Readiness'!K19</x:f>
      </x:c>
      <x:c r="X128" s="314" t="n">
        <x:f>'Readiness'!L19</x:f>
        <x:v>1</x:v>
      </x:c>
      <x:c r="Y128" s="315" t="n">
        <x:f>IF(J128="Mobility",N128,MAX(1,ROUND(N128*X128,0)))</x:f>
        <x:v>3</x:v>
      </x:c>
      <x:c r="Z128" s="333" t="n">
        <x:f>ROUND((IF(AU72&gt;0,AU72,IF(Z72&gt;0,Z72,'Setup'!$D$40))*T128)/'Setup'!$B$9,0)*'Setup'!$B$9</x:f>
        <x:v>0</x:v>
      </x:c>
      <x:c r="AA128" s="334"/>
      <x:c r="AB128" s="334"/>
      <x:c r="AC128" s="334"/>
      <x:c r="AD128" s="334"/>
      <x:c r="AE128" s="334"/>
      <x:c r="AF128" s="334"/>
      <x:c r="AG128" s="334"/>
      <x:c r="AH128" s="334"/>
      <x:c r="AI128" s="334"/>
      <x:c r="AJ128" s="312"/>
      <x:c r="AK128" s="312"/>
      <x:c r="AL128" s="312"/>
      <x:c r="AM128" s="312"/>
      <x:c r="AN128" s="312"/>
      <x:c r="AO128" s="315" t="n">
        <x:f>COUNT(AB128,AD128,AF128,AH128,AJ128)</x:f>
        <x:v>0</x:v>
      </x:c>
      <x:c r="AP128" s="315" t="n">
        <x:f>SUM(AB128,AD128,AF128,AH128,AJ128)</x:f>
        <x:v>0</x:v>
      </x:c>
      <x:c r="AQ128" s="333" t="n">
        <x:f>AA128*AB128+AC128*AD128+AE128*AF128+AG128*AH128+AI128*AJ128</x:f>
        <x:v>0</x:v>
      </x:c>
      <x:c r="AR128" s="333" t="n">
        <x:f>IF(OR(J128="Strength",J128="Hypertrophy"),MAX(IF(AB128&gt;0,AA128*(1+AB128/30),0),IF(AD128&gt;0,AC128*(1+AD128/30),0),IF(AF128&gt;0,AE128*(1+AF128/30),0),IF(AH128&gt;0,AG128*(1+AH128/30),0),IF(AJ128&gt;0,AI128*(1+AJ128/30),0)),0)</x:f>
        <x:v>0</x:v>
      </x:c>
      <x:c r="AS128" s="315" t="str">
        <x:f>IF(AN128&lt;&gt;"Yes","Not logged",IF(AL128&gt;='Setup'!$B$14,"STOP / MODIFY",IF(Z128=0,"Complete",IF(OR(AO128=0,AK128=""),"Add set data + RIR",IF(AND(MAX(AB128,AD128,AF128,AH128,AJ128)&gt;=P128,AK128&gt;=Q128+1),"Progress",IF(OR(MAX(AB128,AD128,AF128,AH128,AJ128)&lt;O128,AK128&lt;Q128-1),"Regress","Hold"))))))</x:f>
        <x:v>Not logged</x:v>
      </x:c>
      <x:c r="AT128" s="335" t="n">
        <x:f>IF(OR(Z128=0,AN128&lt;&gt;"Yes",AO128=0,AK128=""),0,IF(AL128&gt;='Setup'!$B$14,-2*'Setup'!$B$11,IF(AND(MAX(AB128,AD128,AF128,AH128,AJ128)&gt;=P128,AK128&gt;=Q128+1),'Setup'!$B$10,IF(OR(MAX(AB128,AD128,AF128,AH128,AJ128)&lt;O128,AK128&lt;Q128-1),-'Setup'!$B$11,0))))</x:f>
        <x:v>0</x:v>
      </x:c>
      <x:c r="AU128" s="333" t="n">
        <x:f>IF(Z128=0,0,IF(AN128&lt;&gt;"Yes",Z128,IF(COUNT(AA128,AC128,AE128,AG128,AI128)=0,Z128,ROUND((MAX(AA128,AC128,AE128,AG128,AI128)*(1+AT128))/'Setup'!$B$9,0)*'Setup'!$B$9)))</x:f>
        <x:v>0</x:v>
      </x:c>
      <x:c r="AV128" s="336"/>
    </x:row>
    <x:row r="129">
      <x:c r="A129" s="310" t="n">
        <x:f>'Setup'!$B$3+(C129-1)*7+(D129-1)</x:f>
        <x:v>46258</x:v>
      </x:c>
      <x:c r="B129" s="311" t="str">
        <x:v>3|1|8</x:v>
      </x:c>
      <x:c r="C129" s="311" t="n">
        <x:v>3</x:v>
      </x:c>
      <x:c r="D129" s="311" t="n">
        <x:v>1</x:v>
      </x:c>
      <x:c r="E129" s="311" t="str">
        <x:v>Accumulation</x:v>
      </x:c>
      <x:c r="F129" s="311" t="str">
        <x:v>Pull A</x:v>
      </x:c>
      <x:c r="G129" s="311" t="str">
        <x:v>Vertical pull strength + back density</x:v>
      </x:c>
      <x:c r="H129" s="311" t="n">
        <x:v>8</x:v>
      </x:c>
      <x:c r="I129" s="311" t="str">
        <x:v>SkiErg Power Intervals</x:v>
      </x:c>
      <x:c r="J129" s="311" t="str">
        <x:v>Athletic</x:v>
      </x:c>
      <x:c r="K129" s="311" t="str">
        <x:v>Full Body</x:v>
      </x:c>
      <x:c r="L129" s="311" t="str">
        <x:v>15 s hard / 45 s easy</x:v>
      </x:c>
      <x:c r="M129" s="311"/>
      <x:c r="N129" s="311" t="n">
        <x:v>6</x:v>
      </x:c>
      <x:c r="O129" s="311" t="n">
        <x:v>15</x:v>
      </x:c>
      <x:c r="P129" s="311" t="n">
        <x:v>15</x:v>
      </x:c>
      <x:c r="Q129" s="311" t="n">
        <x:v>2</x:v>
      </x:c>
      <x:c r="R129" s="311" t="n">
        <x:v>45</x:v>
      </x:c>
      <x:c r="S129" s="311" t="str">
        <x:v>Powerful</x:v>
      </x:c>
      <x:c r="T129" s="330" t="n">
        <x:v>1</x:v>
      </x:c>
      <x:c r="U129" s="330" t="n">
        <x:v>0</x:v>
      </x:c>
      <x:c r="V129" s="331" t="str">
        <x:v>watts / meters</x:v>
      </x:c>
      <x:c r="W129" s="332" t="str">
        <x:f>'Readiness'!K19</x:f>
      </x:c>
      <x:c r="X129" s="314" t="n">
        <x:f>'Readiness'!L19</x:f>
        <x:v>1</x:v>
      </x:c>
      <x:c r="Y129" s="315" t="n">
        <x:f>IF(J129="Mobility",N129,MAX(1,ROUND(N129*X129,0)))</x:f>
        <x:v>6</x:v>
      </x:c>
      <x:c r="Z129" s="333" t="n">
        <x:f>0</x:f>
        <x:v>0</x:v>
      </x:c>
      <x:c r="AA129" s="334"/>
      <x:c r="AB129" s="334"/>
      <x:c r="AC129" s="334"/>
      <x:c r="AD129" s="334"/>
      <x:c r="AE129" s="334"/>
      <x:c r="AF129" s="334"/>
      <x:c r="AG129" s="334"/>
      <x:c r="AH129" s="334"/>
      <x:c r="AI129" s="334"/>
      <x:c r="AJ129" s="312"/>
      <x:c r="AK129" s="312"/>
      <x:c r="AL129" s="312"/>
      <x:c r="AM129" s="312"/>
      <x:c r="AN129" s="312"/>
      <x:c r="AO129" s="315" t="n">
        <x:f>COUNT(AB129,AD129,AF129,AH129,AJ129)</x:f>
        <x:v>0</x:v>
      </x:c>
      <x:c r="AP129" s="315" t="n">
        <x:f>SUM(AB129,AD129,AF129,AH129,AJ129)</x:f>
        <x:v>0</x:v>
      </x:c>
      <x:c r="AQ129" s="333" t="n">
        <x:f>AA129*AB129+AC129*AD129+AE129*AF129+AG129*AH129+AI129*AJ129</x:f>
        <x:v>0</x:v>
      </x:c>
      <x:c r="AR129" s="333" t="n">
        <x:f>IF(OR(J129="Strength",J129="Hypertrophy"),MAX(IF(AB129&gt;0,AA129*(1+AB129/30),0),IF(AD129&gt;0,AC129*(1+AD129/30),0),IF(AF129&gt;0,AE129*(1+AF129/30),0),IF(AH129&gt;0,AG129*(1+AH129/30),0),IF(AJ129&gt;0,AI129*(1+AJ129/30),0)),0)</x:f>
        <x:v>0</x:v>
      </x:c>
      <x:c r="AS129" s="315" t="str">
        <x:f>IF(AN129&lt;&gt;"Yes","Not logged",IF(AL129&gt;='Setup'!$B$14,"STOP / MODIFY",IF(Z129=0,"Complete",IF(OR(AO129=0,AK129=""),"Add set data + RIR",IF(AND(MAX(AB129,AD129,AF129,AH129,AJ129)&gt;=P129,AK129&gt;=Q129+1),"Progress",IF(OR(MAX(AB129,AD129,AF129,AH129,AJ129)&lt;O129,AK129&lt;Q129-1),"Regress","Hold"))))))</x:f>
        <x:v>Not logged</x:v>
      </x:c>
      <x:c r="AT129" s="335" t="n">
        <x:f>IF(OR(Z129=0,AN129&lt;&gt;"Yes",AO129=0,AK129=""),0,IF(AL129&gt;='Setup'!$B$14,-2*'Setup'!$B$11,IF(AND(MAX(AB129,AD129,AF129,AH129,AJ129)&gt;=P129,AK129&gt;=Q129+1),'Setup'!$B$10,IF(OR(MAX(AB129,AD129,AF129,AH129,AJ129)&lt;O129,AK129&lt;Q129-1),-'Setup'!$B$11,0))))</x:f>
        <x:v>0</x:v>
      </x:c>
      <x:c r="AU129" s="333" t="n">
        <x:f>IF(Z129=0,0,IF(AN129&lt;&gt;"Yes",Z129,IF(COUNT(AA129,AC129,AE129,AG129,AI129)=0,Z129,ROUND((MAX(AA129,AC129,AE129,AG129,AI129)*(1+AT129))/'Setup'!$B$9,0)*'Setup'!$B$9)))</x:f>
        <x:v>0</x:v>
      </x:c>
      <x:c r="AV129" s="336"/>
    </x:row>
    <x:row r="130">
      <x:c r="A130" s="310" t="n">
        <x:f>'Setup'!$B$3+(C130-1)*7+(D130-1)</x:f>
        <x:v>46258</x:v>
      </x:c>
      <x:c r="B130" s="311" t="str">
        <x:v>3|1|9</x:v>
      </x:c>
      <x:c r="C130" s="311" t="n">
        <x:v>3</x:v>
      </x:c>
      <x:c r="D130" s="311" t="n">
        <x:v>1</x:v>
      </x:c>
      <x:c r="E130" s="311" t="str">
        <x:v>Accumulation</x:v>
      </x:c>
      <x:c r="F130" s="311" t="str">
        <x:v>Pull A</x:v>
      </x:c>
      <x:c r="G130" s="311" t="str">
        <x:v>Vertical pull strength + back density</x:v>
      </x:c>
      <x:c r="H130" s="311" t="n">
        <x:v>9</x:v>
      </x:c>
      <x:c r="I130" s="311" t="str">
        <x:v>Passive Hang</x:v>
      </x:c>
      <x:c r="J130" s="311" t="str">
        <x:v>Mobility</x:v>
      </x:c>
      <x:c r="K130" s="311" t="str">
        <x:v>Shoulders</x:v>
      </x:c>
      <x:c r="L130" s="311" t="str">
        <x:v>Relaxed breathing</x:v>
      </x:c>
      <x:c r="M130" s="311"/>
      <x:c r="N130" s="311" t="n">
        <x:v>2</x:v>
      </x:c>
      <x:c r="O130" s="311" t="n">
        <x:v>20</x:v>
      </x:c>
      <x:c r="P130" s="311" t="n">
        <x:v>40</x:v>
      </x:c>
      <x:c r="Q130" s="311"/>
      <x:c r="R130" s="311" t="n">
        <x:v>30</x:v>
      </x:c>
      <x:c r="S130" s="311" t="str">
        <x:v>Hold</x:v>
      </x:c>
      <x:c r="T130" s="330" t="n">
        <x:v>1</x:v>
      </x:c>
      <x:c r="U130" s="330" t="n">
        <x:v>0</x:v>
      </x:c>
      <x:c r="V130" s="331" t="str">
        <x:v>seconds</x:v>
      </x:c>
      <x:c r="W130" s="332" t="str">
        <x:f>'Readiness'!K19</x:f>
      </x:c>
      <x:c r="X130" s="314" t="n">
        <x:f>'Readiness'!L19</x:f>
        <x:v>1</x:v>
      </x:c>
      <x:c r="Y130" s="315" t="n">
        <x:f>IF(J130="Mobility",N130,MAX(1,ROUND(N130*X130,0)))</x:f>
        <x:v>2</x:v>
      </x:c>
      <x:c r="Z130" s="333" t="n">
        <x:f>0</x:f>
        <x:v>0</x:v>
      </x:c>
      <x:c r="AA130" s="334"/>
      <x:c r="AB130" s="334"/>
      <x:c r="AC130" s="334"/>
      <x:c r="AD130" s="334"/>
      <x:c r="AE130" s="334"/>
      <x:c r="AF130" s="334"/>
      <x:c r="AG130" s="334"/>
      <x:c r="AH130" s="334"/>
      <x:c r="AI130" s="334"/>
      <x:c r="AJ130" s="312"/>
      <x:c r="AK130" s="312"/>
      <x:c r="AL130" s="312"/>
      <x:c r="AM130" s="312"/>
      <x:c r="AN130" s="312"/>
      <x:c r="AO130" s="315" t="n">
        <x:f>COUNT(AB130,AD130,AF130,AH130,AJ130)</x:f>
        <x:v>0</x:v>
      </x:c>
      <x:c r="AP130" s="315" t="n">
        <x:f>SUM(AB130,AD130,AF130,AH130,AJ130)</x:f>
        <x:v>0</x:v>
      </x:c>
      <x:c r="AQ130" s="333" t="n">
        <x:f>AA130*AB130+AC130*AD130+AE130*AF130+AG130*AH130+AI130*AJ130</x:f>
        <x:v>0</x:v>
      </x:c>
      <x:c r="AR130" s="333" t="n">
        <x:f>IF(OR(J130="Strength",J130="Hypertrophy"),MAX(IF(AB130&gt;0,AA130*(1+AB130/30),0),IF(AD130&gt;0,AC130*(1+AD130/30),0),IF(AF130&gt;0,AE130*(1+AF130/30),0),IF(AH130&gt;0,AG130*(1+AH130/30),0),IF(AJ130&gt;0,AI130*(1+AJ130/30),0)),0)</x:f>
        <x:v>0</x:v>
      </x:c>
      <x:c r="AS130" s="315" t="str">
        <x:f>IF(AN130&lt;&gt;"Yes","Not logged",IF(AL130&gt;='Setup'!$B$14,"STOP / MODIFY",IF(Z130=0,"Complete",IF(OR(AO130=0,AK130=""),"Add set data + RIR",IF(AND(MAX(AB130,AD130,AF130,AH130,AJ130)&gt;=P130,AK130&gt;=Q130+1),"Progress",IF(OR(MAX(AB130,AD130,AF130,AH130,AJ130)&lt;O130,AK130&lt;Q130-1),"Regress","Hold"))))))</x:f>
        <x:v>Not logged</x:v>
      </x:c>
      <x:c r="AT130" s="335" t="n">
        <x:f>IF(OR(Z130=0,AN130&lt;&gt;"Yes",AO130=0,AK130=""),0,IF(AL130&gt;='Setup'!$B$14,-2*'Setup'!$B$11,IF(AND(MAX(AB130,AD130,AF130,AH130,AJ130)&gt;=P130,AK130&gt;=Q130+1),'Setup'!$B$10,IF(OR(MAX(AB130,AD130,AF130,AH130,AJ130)&lt;O130,AK130&lt;Q130-1),-'Setup'!$B$11,0))))</x:f>
        <x:v>0</x:v>
      </x:c>
      <x:c r="AU130" s="333" t="n">
        <x:f>IF(Z130=0,0,IF(AN130&lt;&gt;"Yes",Z130,IF(COUNT(AA130,AC130,AE130,AG130,AI130)=0,Z130,ROUND((MAX(AA130,AC130,AE130,AG130,AI130)*(1+AT130))/'Setup'!$B$9,0)*'Setup'!$B$9)))</x:f>
        <x:v>0</x:v>
      </x:c>
      <x:c r="AV130" s="336"/>
    </x:row>
    <x:row r="131">
      <x:c r="A131" s="310" t="n">
        <x:f>'Setup'!$B$3+(C131-1)*7+(D131-1)</x:f>
        <x:v>46259</x:v>
      </x:c>
      <x:c r="B131" s="311" t="str">
        <x:v>3|2|1</x:v>
      </x:c>
      <x:c r="C131" s="311" t="n">
        <x:v>3</x:v>
      </x:c>
      <x:c r="D131" s="311" t="n">
        <x:v>2</x:v>
      </x:c>
      <x:c r="E131" s="311" t="str">
        <x:v>Accumulation</x:v>
      </x:c>
      <x:c r="F131" s="311" t="str">
        <x:v>Legs A</x:v>
      </x:c>
      <x:c r="G131" s="311" t="str">
        <x:v>Squat strength + lower-body power</x:v>
      </x:c>
      <x:c r="H131" s="311" t="n">
        <x:v>1</x:v>
      </x:c>
      <x:c r="I131" s="311" t="str">
        <x:v>Pogo Jump</x:v>
      </x:c>
      <x:c r="J131" s="311" t="str">
        <x:v>Power</x:v>
      </x:c>
      <x:c r="K131" s="311" t="str">
        <x:v>Calves</x:v>
      </x:c>
      <x:c r="L131" s="311" t="str">
        <x:v>Stiff, quick contacts</x:v>
      </x:c>
      <x:c r="M131" s="311"/>
      <x:c r="N131" s="311" t="n">
        <x:v>3</x:v>
      </x:c>
      <x:c r="O131" s="311" t="n">
        <x:v>15</x:v>
      </x:c>
      <x:c r="P131" s="311" t="n">
        <x:v>20</x:v>
      </x:c>
      <x:c r="Q131" s="311" t="n">
        <x:v>2</x:v>
      </x:c>
      <x:c r="R131" s="311" t="n">
        <x:v>45</x:v>
      </x:c>
      <x:c r="S131" s="311" t="str">
        <x:v>Explosive</x:v>
      </x:c>
      <x:c r="T131" s="330" t="n">
        <x:v>1</x:v>
      </x:c>
      <x:c r="U131" s="330" t="n">
        <x:v>0</x:v>
      </x:c>
      <x:c r="V131" s="331" t="str">
        <x:v>contacts</x:v>
      </x:c>
      <x:c r="W131" s="332" t="str">
        <x:f>'Readiness'!K20</x:f>
      </x:c>
      <x:c r="X131" s="314" t="n">
        <x:f>'Readiness'!L20</x:f>
        <x:v>1</x:v>
      </x:c>
      <x:c r="Y131" s="315" t="n">
        <x:f>IF(J131="Mobility",N131,MAX(1,ROUND(N131*X131,0)))</x:f>
        <x:v>3</x:v>
      </x:c>
      <x:c r="Z131" s="333" t="n">
        <x:f>0</x:f>
        <x:v>0</x:v>
      </x:c>
      <x:c r="AA131" s="334"/>
      <x:c r="AB131" s="334"/>
      <x:c r="AC131" s="334"/>
      <x:c r="AD131" s="334"/>
      <x:c r="AE131" s="334"/>
      <x:c r="AF131" s="334"/>
      <x:c r="AG131" s="334"/>
      <x:c r="AH131" s="334"/>
      <x:c r="AI131" s="334"/>
      <x:c r="AJ131" s="312"/>
      <x:c r="AK131" s="312"/>
      <x:c r="AL131" s="312"/>
      <x:c r="AM131" s="312"/>
      <x:c r="AN131" s="312"/>
      <x:c r="AO131" s="315" t="n">
        <x:f>COUNT(AB131,AD131,AF131,AH131,AJ131)</x:f>
        <x:v>0</x:v>
      </x:c>
      <x:c r="AP131" s="315" t="n">
        <x:f>SUM(AB131,AD131,AF131,AH131,AJ131)</x:f>
        <x:v>0</x:v>
      </x:c>
      <x:c r="AQ131" s="333" t="n">
        <x:f>AA131*AB131+AC131*AD131+AE131*AF131+AG131*AH131+AI131*AJ131</x:f>
        <x:v>0</x:v>
      </x:c>
      <x:c r="AR131" s="333" t="n">
        <x:f>IF(OR(J131="Strength",J131="Hypertrophy"),MAX(IF(AB131&gt;0,AA131*(1+AB131/30),0),IF(AD131&gt;0,AC131*(1+AD131/30),0),IF(AF131&gt;0,AE131*(1+AF131/30),0),IF(AH131&gt;0,AG131*(1+AH131/30),0),IF(AJ131&gt;0,AI131*(1+AJ131/30),0)),0)</x:f>
        <x:v>0</x:v>
      </x:c>
      <x:c r="AS131" s="315" t="str">
        <x:f>IF(AN131&lt;&gt;"Yes","Not logged",IF(AL131&gt;='Setup'!$B$14,"STOP / MODIFY",IF(Z131=0,"Complete",IF(OR(AO131=0,AK131=""),"Add set data + RIR",IF(AND(MAX(AB131,AD131,AF131,AH131,AJ131)&gt;=P131,AK131&gt;=Q131+1),"Progress",IF(OR(MAX(AB131,AD131,AF131,AH131,AJ131)&lt;O131,AK131&lt;Q131-1),"Regress","Hold"))))))</x:f>
        <x:v>Not logged</x:v>
      </x:c>
      <x:c r="AT131" s="335" t="n">
        <x:f>IF(OR(Z131=0,AN131&lt;&gt;"Yes",AO131=0,AK131=""),0,IF(AL131&gt;='Setup'!$B$14,-2*'Setup'!$B$11,IF(AND(MAX(AB131,AD131,AF131,AH131,AJ131)&gt;=P131,AK131&gt;=Q131+1),'Setup'!$B$10,IF(OR(MAX(AB131,AD131,AF131,AH131,AJ131)&lt;O131,AK131&lt;Q131-1),-'Setup'!$B$11,0))))</x:f>
        <x:v>0</x:v>
      </x:c>
      <x:c r="AU131" s="333" t="n">
        <x:f>IF(Z131=0,0,IF(AN131&lt;&gt;"Yes",Z131,IF(COUNT(AA131,AC131,AE131,AG131,AI131)=0,Z131,ROUND((MAX(AA131,AC131,AE131,AG131,AI131)*(1+AT131))/'Setup'!$B$9,0)*'Setup'!$B$9)))</x:f>
        <x:v>0</x:v>
      </x:c>
      <x:c r="AV131" s="336"/>
    </x:row>
    <x:row r="132">
      <x:c r="A132" s="310" t="n">
        <x:f>'Setup'!$B$3+(C132-1)*7+(D132-1)</x:f>
        <x:v>46259</x:v>
      </x:c>
      <x:c r="B132" s="311" t="str">
        <x:v>3|2|2</x:v>
      </x:c>
      <x:c r="C132" s="311" t="n">
        <x:v>3</x:v>
      </x:c>
      <x:c r="D132" s="311" t="n">
        <x:v>2</x:v>
      </x:c>
      <x:c r="E132" s="311" t="str">
        <x:v>Accumulation</x:v>
      </x:c>
      <x:c r="F132" s="311" t="str">
        <x:v>Legs A</x:v>
      </x:c>
      <x:c r="G132" s="311" t="str">
        <x:v>Squat strength + lower-body power</x:v>
      </x:c>
      <x:c r="H132" s="311" t="n">
        <x:v>2</x:v>
      </x:c>
      <x:c r="I132" s="311" t="str">
        <x:v>Box Jump</x:v>
      </x:c>
      <x:c r="J132" s="311" t="str">
        <x:v>Power</x:v>
      </x:c>
      <x:c r="K132" s="311" t="str">
        <x:v>Quads</x:v>
      </x:c>
      <x:c r="L132" s="311" t="str">
        <x:v>Full reset, stop if height drops</x:v>
      </x:c>
      <x:c r="M132" s="311"/>
      <x:c r="N132" s="311" t="n">
        <x:v>4</x:v>
      </x:c>
      <x:c r="O132" s="311" t="n">
        <x:v>3</x:v>
      </x:c>
      <x:c r="P132" s="311" t="n">
        <x:v>3</x:v>
      </x:c>
      <x:c r="Q132" s="311" t="n">
        <x:v>2</x:v>
      </x:c>
      <x:c r="R132" s="311" t="n">
        <x:v>75</x:v>
      </x:c>
      <x:c r="S132" s="311" t="str">
        <x:v>Explosive</x:v>
      </x:c>
      <x:c r="T132" s="330" t="n">
        <x:v>1</x:v>
      </x:c>
      <x:c r="U132" s="330" t="n">
        <x:v>0</x:v>
      </x:c>
      <x:c r="V132" s="331" t="str">
        <x:v>height</x:v>
      </x:c>
      <x:c r="W132" s="332" t="str">
        <x:f>'Readiness'!K20</x:f>
      </x:c>
      <x:c r="X132" s="314" t="n">
        <x:f>'Readiness'!L20</x:f>
        <x:v>1</x:v>
      </x:c>
      <x:c r="Y132" s="315" t="n">
        <x:f>IF(J132="Mobility",N132,MAX(1,ROUND(N132*X132,0)))</x:f>
        <x:v>4</x:v>
      </x:c>
      <x:c r="Z132" s="333" t="n">
        <x:f>0</x:f>
        <x:v>0</x:v>
      </x:c>
      <x:c r="AA132" s="334"/>
      <x:c r="AB132" s="334"/>
      <x:c r="AC132" s="334"/>
      <x:c r="AD132" s="334"/>
      <x:c r="AE132" s="334"/>
      <x:c r="AF132" s="334"/>
      <x:c r="AG132" s="334"/>
      <x:c r="AH132" s="334"/>
      <x:c r="AI132" s="334"/>
      <x:c r="AJ132" s="312"/>
      <x:c r="AK132" s="312"/>
      <x:c r="AL132" s="312"/>
      <x:c r="AM132" s="312"/>
      <x:c r="AN132" s="312"/>
      <x:c r="AO132" s="315" t="n">
        <x:f>COUNT(AB132,AD132,AF132,AH132,AJ132)</x:f>
        <x:v>0</x:v>
      </x:c>
      <x:c r="AP132" s="315" t="n">
        <x:f>SUM(AB132,AD132,AF132,AH132,AJ132)</x:f>
        <x:v>0</x:v>
      </x:c>
      <x:c r="AQ132" s="333" t="n">
        <x:f>AA132*AB132+AC132*AD132+AE132*AF132+AG132*AH132+AI132*AJ132</x:f>
        <x:v>0</x:v>
      </x:c>
      <x:c r="AR132" s="333" t="n">
        <x:f>IF(OR(J132="Strength",J132="Hypertrophy"),MAX(IF(AB132&gt;0,AA132*(1+AB132/30),0),IF(AD132&gt;0,AC132*(1+AD132/30),0),IF(AF132&gt;0,AE132*(1+AF132/30),0),IF(AH132&gt;0,AG132*(1+AH132/30),0),IF(AJ132&gt;0,AI132*(1+AJ132/30),0)),0)</x:f>
        <x:v>0</x:v>
      </x:c>
      <x:c r="AS132" s="315" t="str">
        <x:f>IF(AN132&lt;&gt;"Yes","Not logged",IF(AL132&gt;='Setup'!$B$14,"STOP / MODIFY",IF(Z132=0,"Complete",IF(OR(AO132=0,AK132=""),"Add set data + RIR",IF(AND(MAX(AB132,AD132,AF132,AH132,AJ132)&gt;=P132,AK132&gt;=Q132+1),"Progress",IF(OR(MAX(AB132,AD132,AF132,AH132,AJ132)&lt;O132,AK132&lt;Q132-1),"Regress","Hold"))))))</x:f>
        <x:v>Not logged</x:v>
      </x:c>
      <x:c r="AT132" s="335" t="n">
        <x:f>IF(OR(Z132=0,AN132&lt;&gt;"Yes",AO132=0,AK132=""),0,IF(AL132&gt;='Setup'!$B$14,-2*'Setup'!$B$11,IF(AND(MAX(AB132,AD132,AF132,AH132,AJ132)&gt;=P132,AK132&gt;=Q132+1),'Setup'!$B$10,IF(OR(MAX(AB132,AD132,AF132,AH132,AJ132)&lt;O132,AK132&lt;Q132-1),-'Setup'!$B$11,0))))</x:f>
        <x:v>0</x:v>
      </x:c>
      <x:c r="AU132" s="333" t="n">
        <x:f>IF(Z132=0,0,IF(AN132&lt;&gt;"Yes",Z132,IF(COUNT(AA132,AC132,AE132,AG132,AI132)=0,Z132,ROUND((MAX(AA132,AC132,AE132,AG132,AI132)*(1+AT132))/'Setup'!$B$9,0)*'Setup'!$B$9)))</x:f>
        <x:v>0</x:v>
      </x:c>
      <x:c r="AV132" s="336"/>
    </x:row>
    <x:row r="133">
      <x:c r="A133" s="310" t="n">
        <x:f>'Setup'!$B$3+(C133-1)*7+(D133-1)</x:f>
        <x:v>46259</x:v>
      </x:c>
      <x:c r="B133" s="311" t="str">
        <x:v>3|2|3</x:v>
      </x:c>
      <x:c r="C133" s="311" t="n">
        <x:v>3</x:v>
      </x:c>
      <x:c r="D133" s="311" t="n">
        <x:v>2</x:v>
      </x:c>
      <x:c r="E133" s="311" t="str">
        <x:v>Accumulation</x:v>
      </x:c>
      <x:c r="F133" s="311" t="str">
        <x:v>Legs A</x:v>
      </x:c>
      <x:c r="G133" s="311" t="str">
        <x:v>Squat strength + lower-body power</x:v>
      </x:c>
      <x:c r="H133" s="311" t="n">
        <x:v>3</x:v>
      </x:c>
      <x:c r="I133" s="311" t="str">
        <x:v>Back Squat</x:v>
      </x:c>
      <x:c r="J133" s="311" t="str">
        <x:v>Strength</x:v>
      </x:c>
      <x:c r="K133" s="311" t="str">
        <x:v>Quads</x:v>
      </x:c>
      <x:c r="L133" s="311" t="str">
        <x:v>Top set + back-offs</x:v>
      </x:c>
      <x:c r="M133" s="311"/>
      <x:c r="N133" s="311" t="n">
        <x:v>4</x:v>
      </x:c>
      <x:c r="O133" s="311" t="n">
        <x:v>5</x:v>
      </x:c>
      <x:c r="P133" s="311" t="n">
        <x:v>7</x:v>
      </x:c>
      <x:c r="Q133" s="311" t="n">
        <x:v>1</x:v>
      </x:c>
      <x:c r="R133" s="311" t="n">
        <x:v>180</x:v>
      </x:c>
      <x:c r="S133" s="311" t="str">
        <x:v>3-1-X</x:v>
      </x:c>
      <x:c r="T133" s="330" t="n">
        <x:v>1</x:v>
      </x:c>
      <x:c r="U133" s="330" t="n">
        <x:v>0.7</x:v>
      </x:c>
      <x:c r="V133" s="331" t="str">
        <x:v>load × reps</x:v>
      </x:c>
      <x:c r="W133" s="332" t="str">
        <x:f>'Readiness'!K20</x:f>
      </x:c>
      <x:c r="X133" s="314" t="n">
        <x:f>'Readiness'!L20</x:f>
        <x:v>1</x:v>
      </x:c>
      <x:c r="Y133" s="315" t="n">
        <x:f>IF(J133="Mobility",N133,MAX(1,ROUND(N133*X133,0)))</x:f>
        <x:v>4</x:v>
      </x:c>
      <x:c r="Z133" s="333" t="n">
        <x:f>ROUND((IF(AU77&gt;0,AU77,IF(Z77&gt;0,Z77,'Setup'!$D$23))*T133)/'Setup'!$B$9,0)*'Setup'!$B$9</x:f>
        <x:v>0</x:v>
      </x:c>
      <x:c r="AA133" s="334"/>
      <x:c r="AB133" s="334"/>
      <x:c r="AC133" s="334"/>
      <x:c r="AD133" s="334"/>
      <x:c r="AE133" s="334"/>
      <x:c r="AF133" s="334"/>
      <x:c r="AG133" s="334"/>
      <x:c r="AH133" s="334"/>
      <x:c r="AI133" s="334"/>
      <x:c r="AJ133" s="312"/>
      <x:c r="AK133" s="312"/>
      <x:c r="AL133" s="312"/>
      <x:c r="AM133" s="312"/>
      <x:c r="AN133" s="312"/>
      <x:c r="AO133" s="315" t="n">
        <x:f>COUNT(AB133,AD133,AF133,AH133,AJ133)</x:f>
        <x:v>0</x:v>
      </x:c>
      <x:c r="AP133" s="315" t="n">
        <x:f>SUM(AB133,AD133,AF133,AH133,AJ133)</x:f>
        <x:v>0</x:v>
      </x:c>
      <x:c r="AQ133" s="333" t="n">
        <x:f>AA133*AB133+AC133*AD133+AE133*AF133+AG133*AH133+AI133*AJ133</x:f>
        <x:v>0</x:v>
      </x:c>
      <x:c r="AR133" s="333" t="n">
        <x:f>IF(OR(J133="Strength",J133="Hypertrophy"),MAX(IF(AB133&gt;0,AA133*(1+AB133/30),0),IF(AD133&gt;0,AC133*(1+AD133/30),0),IF(AF133&gt;0,AE133*(1+AF133/30),0),IF(AH133&gt;0,AG133*(1+AH133/30),0),IF(AJ133&gt;0,AI133*(1+AJ133/30),0)),0)</x:f>
        <x:v>0</x:v>
      </x:c>
      <x:c r="AS133" s="315" t="str">
        <x:f>IF(AN133&lt;&gt;"Yes","Not logged",IF(AL133&gt;='Setup'!$B$14,"STOP / MODIFY",IF(Z133=0,"Complete",IF(OR(AO133=0,AK133=""),"Add set data + RIR",IF(AND(MAX(AB133,AD133,AF133,AH133,AJ133)&gt;=P133,AK133&gt;=Q133+1),"Progress",IF(OR(MAX(AB133,AD133,AF133,AH133,AJ133)&lt;O133,AK133&lt;Q133-1),"Regress","Hold"))))))</x:f>
        <x:v>Not logged</x:v>
      </x:c>
      <x:c r="AT133" s="335" t="n">
        <x:f>IF(OR(Z133=0,AN133&lt;&gt;"Yes",AO133=0,AK133=""),0,IF(AL133&gt;='Setup'!$B$14,-2*'Setup'!$B$11,IF(AND(MAX(AB133,AD133,AF133,AH133,AJ133)&gt;=P133,AK133&gt;=Q133+1),'Setup'!$B$10,IF(OR(MAX(AB133,AD133,AF133,AH133,AJ133)&lt;O133,AK133&lt;Q133-1),-'Setup'!$B$11,0))))</x:f>
        <x:v>0</x:v>
      </x:c>
      <x:c r="AU133" s="333" t="n">
        <x:f>IF(Z133=0,0,IF(AN133&lt;&gt;"Yes",Z133,IF(COUNT(AA133,AC133,AE133,AG133,AI133)=0,Z133,ROUND((MAX(AA133,AC133,AE133,AG133,AI133)*(1+AT133))/'Setup'!$B$9,0)*'Setup'!$B$9)))</x:f>
        <x:v>0</x:v>
      </x:c>
      <x:c r="AV133" s="336"/>
    </x:row>
    <x:row r="134">
      <x:c r="A134" s="310" t="n">
        <x:f>'Setup'!$B$3+(C134-1)*7+(D134-1)</x:f>
        <x:v>46259</x:v>
      </x:c>
      <x:c r="B134" s="311" t="str">
        <x:v>3|2|4</x:v>
      </x:c>
      <x:c r="C134" s="311" t="n">
        <x:v>3</x:v>
      </x:c>
      <x:c r="D134" s="311" t="n">
        <x:v>2</x:v>
      </x:c>
      <x:c r="E134" s="311" t="str">
        <x:v>Accumulation</x:v>
      </x:c>
      <x:c r="F134" s="311" t="str">
        <x:v>Legs A</x:v>
      </x:c>
      <x:c r="G134" s="311" t="str">
        <x:v>Squat strength + lower-body power</x:v>
      </x:c>
      <x:c r="H134" s="311" t="n">
        <x:v>4</x:v>
      </x:c>
      <x:c r="I134" s="311" t="str">
        <x:v>Romanian Deadlift</x:v>
      </x:c>
      <x:c r="J134" s="311" t="str">
        <x:v>Strength</x:v>
      </x:c>
      <x:c r="K134" s="311" t="str">
        <x:v>Hamstrings</x:v>
      </x:c>
      <x:c r="L134" s="311" t="str">
        <x:v>Straight sets</x:v>
      </x:c>
      <x:c r="M134" s="311"/>
      <x:c r="N134" s="311" t="n">
        <x:v>3</x:v>
      </x:c>
      <x:c r="O134" s="311" t="n">
        <x:v>6</x:v>
      </x:c>
      <x:c r="P134" s="311" t="n">
        <x:v>8</x:v>
      </x:c>
      <x:c r="Q134" s="311" t="n">
        <x:v>1</x:v>
      </x:c>
      <x:c r="R134" s="311" t="n">
        <x:v>150</x:v>
      </x:c>
      <x:c r="S134" s="311" t="str">
        <x:v>3-1-1</x:v>
      </x:c>
      <x:c r="T134" s="330" t="n">
        <x:v>1</x:v>
      </x:c>
      <x:c r="U134" s="330" t="n">
        <x:v>0.55</x:v>
      </x:c>
      <x:c r="V134" s="331" t="str">
        <x:v>load × reps</x:v>
      </x:c>
      <x:c r="W134" s="332" t="str">
        <x:f>'Readiness'!K20</x:f>
      </x:c>
      <x:c r="X134" s="314" t="n">
        <x:f>'Readiness'!L20</x:f>
        <x:v>1</x:v>
      </x:c>
      <x:c r="Y134" s="315" t="n">
        <x:f>IF(J134="Mobility",N134,MAX(1,ROUND(N134*X134,0)))</x:f>
        <x:v>3</x:v>
      </x:c>
      <x:c r="Z134" s="333" t="n">
        <x:f>ROUND((IF(AU78&gt;0,AU78,IF(Z78&gt;0,Z78,'Setup'!$D$79))*T134)/'Setup'!$B$9,0)*'Setup'!$B$9</x:f>
        <x:v>0</x:v>
      </x:c>
      <x:c r="AA134" s="334"/>
      <x:c r="AB134" s="334"/>
      <x:c r="AC134" s="334"/>
      <x:c r="AD134" s="334"/>
      <x:c r="AE134" s="334"/>
      <x:c r="AF134" s="334"/>
      <x:c r="AG134" s="334"/>
      <x:c r="AH134" s="334"/>
      <x:c r="AI134" s="334"/>
      <x:c r="AJ134" s="312"/>
      <x:c r="AK134" s="312"/>
      <x:c r="AL134" s="312"/>
      <x:c r="AM134" s="312"/>
      <x:c r="AN134" s="312"/>
      <x:c r="AO134" s="315" t="n">
        <x:f>COUNT(AB134,AD134,AF134,AH134,AJ134)</x:f>
        <x:v>0</x:v>
      </x:c>
      <x:c r="AP134" s="315" t="n">
        <x:f>SUM(AB134,AD134,AF134,AH134,AJ134)</x:f>
        <x:v>0</x:v>
      </x:c>
      <x:c r="AQ134" s="333" t="n">
        <x:f>AA134*AB134+AC134*AD134+AE134*AF134+AG134*AH134+AI134*AJ134</x:f>
        <x:v>0</x:v>
      </x:c>
      <x:c r="AR134" s="333" t="n">
        <x:f>IF(OR(J134="Strength",J134="Hypertrophy"),MAX(IF(AB134&gt;0,AA134*(1+AB134/30),0),IF(AD134&gt;0,AC134*(1+AD134/30),0),IF(AF134&gt;0,AE134*(1+AF134/30),0),IF(AH134&gt;0,AG134*(1+AH134/30),0),IF(AJ134&gt;0,AI134*(1+AJ134/30),0)),0)</x:f>
        <x:v>0</x:v>
      </x:c>
      <x:c r="AS134" s="315" t="str">
        <x:f>IF(AN134&lt;&gt;"Yes","Not logged",IF(AL134&gt;='Setup'!$B$14,"STOP / MODIFY",IF(Z134=0,"Complete",IF(OR(AO134=0,AK134=""),"Add set data + RIR",IF(AND(MAX(AB134,AD134,AF134,AH134,AJ134)&gt;=P134,AK134&gt;=Q134+1),"Progress",IF(OR(MAX(AB134,AD134,AF134,AH134,AJ134)&lt;O134,AK134&lt;Q134-1),"Regress","Hold"))))))</x:f>
        <x:v>Not logged</x:v>
      </x:c>
      <x:c r="AT134" s="335" t="n">
        <x:f>IF(OR(Z134=0,AN134&lt;&gt;"Yes",AO134=0,AK134=""),0,IF(AL134&gt;='Setup'!$B$14,-2*'Setup'!$B$11,IF(AND(MAX(AB134,AD134,AF134,AH134,AJ134)&gt;=P134,AK134&gt;=Q134+1),'Setup'!$B$10,IF(OR(MAX(AB134,AD134,AF134,AH134,AJ134)&lt;O134,AK134&lt;Q134-1),-'Setup'!$B$11,0))))</x:f>
        <x:v>0</x:v>
      </x:c>
      <x:c r="AU134" s="333" t="n">
        <x:f>IF(Z134=0,0,IF(AN134&lt;&gt;"Yes",Z134,IF(COUNT(AA134,AC134,AE134,AG134,AI134)=0,Z134,ROUND((MAX(AA134,AC134,AE134,AG134,AI134)*(1+AT134))/'Setup'!$B$9,0)*'Setup'!$B$9)))</x:f>
        <x:v>0</x:v>
      </x:c>
      <x:c r="AV134" s="336"/>
    </x:row>
    <x:row r="135">
      <x:c r="A135" s="310" t="n">
        <x:f>'Setup'!$B$3+(C135-1)*7+(D135-1)</x:f>
        <x:v>46259</x:v>
      </x:c>
      <x:c r="B135" s="311" t="str">
        <x:v>3|2|5</x:v>
      </x:c>
      <x:c r="C135" s="311" t="n">
        <x:v>3</x:v>
      </x:c>
      <x:c r="D135" s="311" t="n">
        <x:v>2</x:v>
      </x:c>
      <x:c r="E135" s="311" t="str">
        <x:v>Accumulation</x:v>
      </x:c>
      <x:c r="F135" s="311" t="str">
        <x:v>Legs A</x:v>
      </x:c>
      <x:c r="G135" s="311" t="str">
        <x:v>Squat strength + lower-body power</x:v>
      </x:c>
      <x:c r="H135" s="311" t="n">
        <x:v>5</x:v>
      </x:c>
      <x:c r="I135" s="311" t="str">
        <x:v>Bulgarian Split Squat</x:v>
      </x:c>
      <x:c r="J135" s="311" t="str">
        <x:v>Hypertrophy</x:v>
      </x:c>
      <x:c r="K135" s="311" t="str">
        <x:v>Quads</x:v>
      </x:c>
      <x:c r="L135" s="311" t="str">
        <x:v>Straight sets</x:v>
      </x:c>
      <x:c r="M135" s="311"/>
      <x:c r="N135" s="311" t="n">
        <x:v>3</x:v>
      </x:c>
      <x:c r="O135" s="311" t="n">
        <x:v>8</x:v>
      </x:c>
      <x:c r="P135" s="311" t="n">
        <x:v>10</x:v>
      </x:c>
      <x:c r="Q135" s="311" t="n">
        <x:v>1</x:v>
      </x:c>
      <x:c r="R135" s="311" t="n">
        <x:v>90</x:v>
      </x:c>
      <x:c r="S135" s="311" t="str">
        <x:v>3-0-1</x:v>
      </x:c>
      <x:c r="T135" s="330" t="n">
        <x:v>1</x:v>
      </x:c>
      <x:c r="U135" s="330" t="n">
        <x:v>0</x:v>
      </x:c>
      <x:c r="V135" s="331" t="str">
        <x:v>load × reps</x:v>
      </x:c>
      <x:c r="W135" s="332" t="str">
        <x:f>'Readiness'!K20</x:f>
      </x:c>
      <x:c r="X135" s="314" t="n">
        <x:f>'Readiness'!L20</x:f>
        <x:v>1</x:v>
      </x:c>
      <x:c r="Y135" s="315" t="n">
        <x:f>IF(J135="Mobility",N135,MAX(1,ROUND(N135*X135,0)))</x:f>
        <x:v>3</x:v>
      </x:c>
      <x:c r="Z135" s="333" t="n">
        <x:f>ROUND((IF(AU79&gt;0,AU79,IF(Z79&gt;0,Z79,'Setup'!$D$30))*T135)/'Setup'!$B$9,0)*'Setup'!$B$9</x:f>
        <x:v>0</x:v>
      </x:c>
      <x:c r="AA135" s="334"/>
      <x:c r="AB135" s="334"/>
      <x:c r="AC135" s="334"/>
      <x:c r="AD135" s="334"/>
      <x:c r="AE135" s="334"/>
      <x:c r="AF135" s="334"/>
      <x:c r="AG135" s="334"/>
      <x:c r="AH135" s="334"/>
      <x:c r="AI135" s="334"/>
      <x:c r="AJ135" s="312"/>
      <x:c r="AK135" s="312"/>
      <x:c r="AL135" s="312"/>
      <x:c r="AM135" s="312"/>
      <x:c r="AN135" s="312"/>
      <x:c r="AO135" s="315" t="n">
        <x:f>COUNT(AB135,AD135,AF135,AH135,AJ135)</x:f>
        <x:v>0</x:v>
      </x:c>
      <x:c r="AP135" s="315" t="n">
        <x:f>SUM(AB135,AD135,AF135,AH135,AJ135)</x:f>
        <x:v>0</x:v>
      </x:c>
      <x:c r="AQ135" s="333" t="n">
        <x:f>AA135*AB135+AC135*AD135+AE135*AF135+AG135*AH135+AI135*AJ135</x:f>
        <x:v>0</x:v>
      </x:c>
      <x:c r="AR135" s="333" t="n">
        <x:f>IF(OR(J135="Strength",J135="Hypertrophy"),MAX(IF(AB135&gt;0,AA135*(1+AB135/30),0),IF(AD135&gt;0,AC135*(1+AD135/30),0),IF(AF135&gt;0,AE135*(1+AF135/30),0),IF(AH135&gt;0,AG135*(1+AH135/30),0),IF(AJ135&gt;0,AI135*(1+AJ135/30),0)),0)</x:f>
        <x:v>0</x:v>
      </x:c>
      <x:c r="AS135" s="315" t="str">
        <x:f>IF(AN135&lt;&gt;"Yes","Not logged",IF(AL135&gt;='Setup'!$B$14,"STOP / MODIFY",IF(Z135=0,"Complete",IF(OR(AO135=0,AK135=""),"Add set data + RIR",IF(AND(MAX(AB135,AD135,AF135,AH135,AJ135)&gt;=P135,AK135&gt;=Q135+1),"Progress",IF(OR(MAX(AB135,AD135,AF135,AH135,AJ135)&lt;O135,AK135&lt;Q135-1),"Regress","Hold"))))))</x:f>
        <x:v>Not logged</x:v>
      </x:c>
      <x:c r="AT135" s="335" t="n">
        <x:f>IF(OR(Z135=0,AN135&lt;&gt;"Yes",AO135=0,AK135=""),0,IF(AL135&gt;='Setup'!$B$14,-2*'Setup'!$B$11,IF(AND(MAX(AB135,AD135,AF135,AH135,AJ135)&gt;=P135,AK135&gt;=Q135+1),'Setup'!$B$10,IF(OR(MAX(AB135,AD135,AF135,AH135,AJ135)&lt;O135,AK135&lt;Q135-1),-'Setup'!$B$11,0))))</x:f>
        <x:v>0</x:v>
      </x:c>
      <x:c r="AU135" s="333" t="n">
        <x:f>IF(Z135=0,0,IF(AN135&lt;&gt;"Yes",Z135,IF(COUNT(AA135,AC135,AE135,AG135,AI135)=0,Z135,ROUND((MAX(AA135,AC135,AE135,AG135,AI135)*(1+AT135))/'Setup'!$B$9,0)*'Setup'!$B$9)))</x:f>
        <x:v>0</x:v>
      </x:c>
      <x:c r="AV135" s="336"/>
    </x:row>
    <x:row r="136">
      <x:c r="A136" s="310" t="n">
        <x:f>'Setup'!$B$3+(C136-1)*7+(D136-1)</x:f>
        <x:v>46259</x:v>
      </x:c>
      <x:c r="B136" s="311" t="str">
        <x:v>3|2|6</x:v>
      </x:c>
      <x:c r="C136" s="311" t="n">
        <x:v>3</x:v>
      </x:c>
      <x:c r="D136" s="311" t="n">
        <x:v>2</x:v>
      </x:c>
      <x:c r="E136" s="311" t="str">
        <x:v>Accumulation</x:v>
      </x:c>
      <x:c r="F136" s="311" t="str">
        <x:v>Legs A</x:v>
      </x:c>
      <x:c r="G136" s="311" t="str">
        <x:v>Squat strength + lower-body power</x:v>
      </x:c>
      <x:c r="H136" s="311" t="n">
        <x:v>6</x:v>
      </x:c>
      <x:c r="I136" s="311" t="str">
        <x:v>Lying Leg Curl</x:v>
      </x:c>
      <x:c r="J136" s="311" t="str">
        <x:v>Hypertrophy</x:v>
      </x:c>
      <x:c r="K136" s="311" t="str">
        <x:v>Hamstrings</x:v>
      </x:c>
      <x:c r="L136" s="311" t="str">
        <x:v>Straight sets</x:v>
      </x:c>
      <x:c r="M136" s="311"/>
      <x:c r="N136" s="311" t="n">
        <x:v>3</x:v>
      </x:c>
      <x:c r="O136" s="311" t="n">
        <x:v>10</x:v>
      </x:c>
      <x:c r="P136" s="311" t="n">
        <x:v>15</x:v>
      </x:c>
      <x:c r="Q136" s="311" t="n">
        <x:v>1</x:v>
      </x:c>
      <x:c r="R136" s="311" t="n">
        <x:v>60</x:v>
      </x:c>
      <x:c r="S136" s="311" t="str">
        <x:v>2-1-2</x:v>
      </x:c>
      <x:c r="T136" s="330" t="n">
        <x:v>1</x:v>
      </x:c>
      <x:c r="U136" s="330" t="n">
        <x:v>0</x:v>
      </x:c>
      <x:c r="V136" s="331" t="str">
        <x:v>load × reps</x:v>
      </x:c>
      <x:c r="W136" s="332" t="str">
        <x:f>'Readiness'!K20</x:f>
      </x:c>
      <x:c r="X136" s="314" t="n">
        <x:f>'Readiness'!L20</x:f>
        <x:v>1</x:v>
      </x:c>
      <x:c r="Y136" s="315" t="n">
        <x:f>IF(J136="Mobility",N136,MAX(1,ROUND(N136*X136,0)))</x:f>
        <x:v>3</x:v>
      </x:c>
      <x:c r="Z136" s="333" t="n">
        <x:f>ROUND((IF(AU80&gt;0,AU80,IF(Z80&gt;0,Z80,'Setup'!$D$59))*T136)/'Setup'!$B$9,0)*'Setup'!$B$9</x:f>
        <x:v>0</x:v>
      </x:c>
      <x:c r="AA136" s="334"/>
      <x:c r="AB136" s="334"/>
      <x:c r="AC136" s="334"/>
      <x:c r="AD136" s="334"/>
      <x:c r="AE136" s="334"/>
      <x:c r="AF136" s="334"/>
      <x:c r="AG136" s="334"/>
      <x:c r="AH136" s="334"/>
      <x:c r="AI136" s="334"/>
      <x:c r="AJ136" s="312"/>
      <x:c r="AK136" s="312"/>
      <x:c r="AL136" s="312"/>
      <x:c r="AM136" s="312"/>
      <x:c r="AN136" s="312"/>
      <x:c r="AO136" s="315" t="n">
        <x:f>COUNT(AB136,AD136,AF136,AH136,AJ136)</x:f>
        <x:v>0</x:v>
      </x:c>
      <x:c r="AP136" s="315" t="n">
        <x:f>SUM(AB136,AD136,AF136,AH136,AJ136)</x:f>
        <x:v>0</x:v>
      </x:c>
      <x:c r="AQ136" s="333" t="n">
        <x:f>AA136*AB136+AC136*AD136+AE136*AF136+AG136*AH136+AI136*AJ136</x:f>
        <x:v>0</x:v>
      </x:c>
      <x:c r="AR136" s="333" t="n">
        <x:f>IF(OR(J136="Strength",J136="Hypertrophy"),MAX(IF(AB136&gt;0,AA136*(1+AB136/30),0),IF(AD136&gt;0,AC136*(1+AD136/30),0),IF(AF136&gt;0,AE136*(1+AF136/30),0),IF(AH136&gt;0,AG136*(1+AH136/30),0),IF(AJ136&gt;0,AI136*(1+AJ136/30),0)),0)</x:f>
        <x:v>0</x:v>
      </x:c>
      <x:c r="AS136" s="315" t="str">
        <x:f>IF(AN136&lt;&gt;"Yes","Not logged",IF(AL136&gt;='Setup'!$B$14,"STOP / MODIFY",IF(Z136=0,"Complete",IF(OR(AO136=0,AK136=""),"Add set data + RIR",IF(AND(MAX(AB136,AD136,AF136,AH136,AJ136)&gt;=P136,AK136&gt;=Q136+1),"Progress",IF(OR(MAX(AB136,AD136,AF136,AH136,AJ136)&lt;O136,AK136&lt;Q136-1),"Regress","Hold"))))))</x:f>
        <x:v>Not logged</x:v>
      </x:c>
      <x:c r="AT136" s="335" t="n">
        <x:f>IF(OR(Z136=0,AN136&lt;&gt;"Yes",AO136=0,AK136=""),0,IF(AL136&gt;='Setup'!$B$14,-2*'Setup'!$B$11,IF(AND(MAX(AB136,AD136,AF136,AH136,AJ136)&gt;=P136,AK136&gt;=Q136+1),'Setup'!$B$10,IF(OR(MAX(AB136,AD136,AF136,AH136,AJ136)&lt;O136,AK136&lt;Q136-1),-'Setup'!$B$11,0))))</x:f>
        <x:v>0</x:v>
      </x:c>
      <x:c r="AU136" s="333" t="n">
        <x:f>IF(Z136=0,0,IF(AN136&lt;&gt;"Yes",Z136,IF(COUNT(AA136,AC136,AE136,AG136,AI136)=0,Z136,ROUND((MAX(AA136,AC136,AE136,AG136,AI136)*(1+AT136))/'Setup'!$B$9,0)*'Setup'!$B$9)))</x:f>
        <x:v>0</x:v>
      </x:c>
      <x:c r="AV136" s="336"/>
    </x:row>
    <x:row r="137">
      <x:c r="A137" s="310" t="n">
        <x:f>'Setup'!$B$3+(C137-1)*7+(D137-1)</x:f>
        <x:v>46259</x:v>
      </x:c>
      <x:c r="B137" s="311" t="str">
        <x:v>3|2|7</x:v>
      </x:c>
      <x:c r="C137" s="311" t="n">
        <x:v>3</x:v>
      </x:c>
      <x:c r="D137" s="311" t="n">
        <x:v>2</x:v>
      </x:c>
      <x:c r="E137" s="311" t="str">
        <x:v>Accumulation</x:v>
      </x:c>
      <x:c r="F137" s="311" t="str">
        <x:v>Legs A</x:v>
      </x:c>
      <x:c r="G137" s="311" t="str">
        <x:v>Squat strength + lower-body power</x:v>
      </x:c>
      <x:c r="H137" s="311" t="n">
        <x:v>7</x:v>
      </x:c>
      <x:c r="I137" s="311" t="str">
        <x:v>Standing Calf Raise</x:v>
      </x:c>
      <x:c r="J137" s="311" t="str">
        <x:v>Hypertrophy</x:v>
      </x:c>
      <x:c r="K137" s="311" t="str">
        <x:v>Calves</x:v>
      </x:c>
      <x:c r="L137" s="311" t="str">
        <x:v>Final-set drop, reduce 20–25% once</x:v>
      </x:c>
      <x:c r="M137" s="311"/>
      <x:c r="N137" s="311" t="n">
        <x:v>3</x:v>
      </x:c>
      <x:c r="O137" s="311" t="n">
        <x:v>10</x:v>
      </x:c>
      <x:c r="P137" s="311" t="n">
        <x:v>15</x:v>
      </x:c>
      <x:c r="Q137" s="311" t="n">
        <x:v>1</x:v>
      </x:c>
      <x:c r="R137" s="311" t="n">
        <x:v>60</x:v>
      </x:c>
      <x:c r="S137" s="311" t="str">
        <x:v>2-2-1</x:v>
      </x:c>
      <x:c r="T137" s="330" t="n">
        <x:v>1</x:v>
      </x:c>
      <x:c r="U137" s="330" t="n">
        <x:v>0</x:v>
      </x:c>
      <x:c r="V137" s="331" t="str">
        <x:v>load × reps</x:v>
      </x:c>
      <x:c r="W137" s="332" t="str">
        <x:f>'Readiness'!K20</x:f>
      </x:c>
      <x:c r="X137" s="314" t="n">
        <x:f>'Readiness'!L20</x:f>
        <x:v>1</x:v>
      </x:c>
      <x:c r="Y137" s="315" t="n">
        <x:f>IF(J137="Mobility",N137,MAX(1,ROUND(N137*X137,0)))</x:f>
        <x:v>3</x:v>
      </x:c>
      <x:c r="Z137" s="333" t="n">
        <x:f>ROUND((IF(AU81&gt;0,AU81,IF(Z81&gt;0,Z81,'Setup'!$D$90))*T137)/'Setup'!$B$9,0)*'Setup'!$B$9</x:f>
        <x:v>0</x:v>
      </x:c>
      <x:c r="AA137" s="334"/>
      <x:c r="AB137" s="334"/>
      <x:c r="AC137" s="334"/>
      <x:c r="AD137" s="334"/>
      <x:c r="AE137" s="334"/>
      <x:c r="AF137" s="334"/>
      <x:c r="AG137" s="334"/>
      <x:c r="AH137" s="334"/>
      <x:c r="AI137" s="334"/>
      <x:c r="AJ137" s="312"/>
      <x:c r="AK137" s="312"/>
      <x:c r="AL137" s="312"/>
      <x:c r="AM137" s="312"/>
      <x:c r="AN137" s="312"/>
      <x:c r="AO137" s="315" t="n">
        <x:f>COUNT(AB137,AD137,AF137,AH137,AJ137)</x:f>
        <x:v>0</x:v>
      </x:c>
      <x:c r="AP137" s="315" t="n">
        <x:f>SUM(AB137,AD137,AF137,AH137,AJ137)</x:f>
        <x:v>0</x:v>
      </x:c>
      <x:c r="AQ137" s="333" t="n">
        <x:f>AA137*AB137+AC137*AD137+AE137*AF137+AG137*AH137+AI137*AJ137</x:f>
        <x:v>0</x:v>
      </x:c>
      <x:c r="AR137" s="333" t="n">
        <x:f>IF(OR(J137="Strength",J137="Hypertrophy"),MAX(IF(AB137&gt;0,AA137*(1+AB137/30),0),IF(AD137&gt;0,AC137*(1+AD137/30),0),IF(AF137&gt;0,AE137*(1+AF137/30),0),IF(AH137&gt;0,AG137*(1+AH137/30),0),IF(AJ137&gt;0,AI137*(1+AJ137/30),0)),0)</x:f>
        <x:v>0</x:v>
      </x:c>
      <x:c r="AS137" s="315" t="str">
        <x:f>IF(AN137&lt;&gt;"Yes","Not logged",IF(AL137&gt;='Setup'!$B$14,"STOP / MODIFY",IF(Z137=0,"Complete",IF(OR(AO137=0,AK137=""),"Add set data + RIR",IF(AND(MAX(AB137,AD137,AF137,AH137,AJ137)&gt;=P137,AK137&gt;=Q137+1),"Progress",IF(OR(MAX(AB137,AD137,AF137,AH137,AJ137)&lt;O137,AK137&lt;Q137-1),"Regress","Hold"))))))</x:f>
        <x:v>Not logged</x:v>
      </x:c>
      <x:c r="AT137" s="335" t="n">
        <x:f>IF(OR(Z137=0,AN137&lt;&gt;"Yes",AO137=0,AK137=""),0,IF(AL137&gt;='Setup'!$B$14,-2*'Setup'!$B$11,IF(AND(MAX(AB137,AD137,AF137,AH137,AJ137)&gt;=P137,AK137&gt;=Q137+1),'Setup'!$B$10,IF(OR(MAX(AB137,AD137,AF137,AH137,AJ137)&lt;O137,AK137&lt;Q137-1),-'Setup'!$B$11,0))))</x:f>
        <x:v>0</x:v>
      </x:c>
      <x:c r="AU137" s="333" t="n">
        <x:f>IF(Z137=0,0,IF(AN137&lt;&gt;"Yes",Z137,IF(COUNT(AA137,AC137,AE137,AG137,AI137)=0,Z137,ROUND((MAX(AA137,AC137,AE137,AG137,AI137)*(1+AT137))/'Setup'!$B$9,0)*'Setup'!$B$9)))</x:f>
        <x:v>0</x:v>
      </x:c>
      <x:c r="AV137" s="336"/>
    </x:row>
    <x:row r="138">
      <x:c r="A138" s="310" t="n">
        <x:f>'Setup'!$B$3+(C138-1)*7+(D138-1)</x:f>
        <x:v>46259</x:v>
      </x:c>
      <x:c r="B138" s="311" t="str">
        <x:v>3|2|8</x:v>
      </x:c>
      <x:c r="C138" s="311" t="n">
        <x:v>3</x:v>
      </x:c>
      <x:c r="D138" s="311" t="n">
        <x:v>2</x:v>
      </x:c>
      <x:c r="E138" s="311" t="str">
        <x:v>Accumulation</x:v>
      </x:c>
      <x:c r="F138" s="311" t="str">
        <x:v>Legs A</x:v>
      </x:c>
      <x:c r="G138" s="311" t="str">
        <x:v>Squat strength + lower-body power</x:v>
      </x:c>
      <x:c r="H138" s="311" t="n">
        <x:v>8</x:v>
      </x:c>
      <x:c r="I138" s="311" t="str">
        <x:v>Backward Sled Drag</x:v>
      </x:c>
      <x:c r="J138" s="311" t="str">
        <x:v>Athletic</x:v>
      </x:c>
      <x:c r="K138" s="311" t="str">
        <x:v>Quads</x:v>
      </x:c>
      <x:c r="L138" s="311" t="str">
        <x:v>Continuous strong steps</x:v>
      </x:c>
      <x:c r="M138" s="311"/>
      <x:c r="N138" s="311" t="n">
        <x:v>5</x:v>
      </x:c>
      <x:c r="O138" s="311" t="n">
        <x:v>20</x:v>
      </x:c>
      <x:c r="P138" s="311" t="n">
        <x:v>25</x:v>
      </x:c>
      <x:c r="Q138" s="311" t="n">
        <x:v>2</x:v>
      </x:c>
      <x:c r="R138" s="311" t="n">
        <x:v>60</x:v>
      </x:c>
      <x:c r="S138" s="311" t="str">
        <x:v>Controlled</x:v>
      </x:c>
      <x:c r="T138" s="330" t="n">
        <x:v>1</x:v>
      </x:c>
      <x:c r="U138" s="330" t="n">
        <x:v>0</x:v>
      </x:c>
      <x:c r="V138" s="331" t="str">
        <x:v>load + meters</x:v>
      </x:c>
      <x:c r="W138" s="332" t="str">
        <x:f>'Readiness'!K20</x:f>
      </x:c>
      <x:c r="X138" s="314" t="n">
        <x:f>'Readiness'!L20</x:f>
        <x:v>1</x:v>
      </x:c>
      <x:c r="Y138" s="315" t="n">
        <x:f>IF(J138="Mobility",N138,MAX(1,ROUND(N138*X138,0)))</x:f>
        <x:v>5</x:v>
      </x:c>
      <x:c r="Z138" s="333" t="n">
        <x:f>0</x:f>
        <x:v>0</x:v>
      </x:c>
      <x:c r="AA138" s="334"/>
      <x:c r="AB138" s="334"/>
      <x:c r="AC138" s="334"/>
      <x:c r="AD138" s="334"/>
      <x:c r="AE138" s="334"/>
      <x:c r="AF138" s="334"/>
      <x:c r="AG138" s="334"/>
      <x:c r="AH138" s="334"/>
      <x:c r="AI138" s="334"/>
      <x:c r="AJ138" s="312"/>
      <x:c r="AK138" s="312"/>
      <x:c r="AL138" s="312"/>
      <x:c r="AM138" s="312"/>
      <x:c r="AN138" s="312"/>
      <x:c r="AO138" s="315" t="n">
        <x:f>COUNT(AB138,AD138,AF138,AH138,AJ138)</x:f>
        <x:v>0</x:v>
      </x:c>
      <x:c r="AP138" s="315" t="n">
        <x:f>SUM(AB138,AD138,AF138,AH138,AJ138)</x:f>
        <x:v>0</x:v>
      </x:c>
      <x:c r="AQ138" s="333" t="n">
        <x:f>AA138*AB138+AC138*AD138+AE138*AF138+AG138*AH138+AI138*AJ138</x:f>
        <x:v>0</x:v>
      </x:c>
      <x:c r="AR138" s="333" t="n">
        <x:f>IF(OR(J138="Strength",J138="Hypertrophy"),MAX(IF(AB138&gt;0,AA138*(1+AB138/30),0),IF(AD138&gt;0,AC138*(1+AD138/30),0),IF(AF138&gt;0,AE138*(1+AF138/30),0),IF(AH138&gt;0,AG138*(1+AH138/30),0),IF(AJ138&gt;0,AI138*(1+AJ138/30),0)),0)</x:f>
        <x:v>0</x:v>
      </x:c>
      <x:c r="AS138" s="315" t="str">
        <x:f>IF(AN138&lt;&gt;"Yes","Not logged",IF(AL138&gt;='Setup'!$B$14,"STOP / MODIFY",IF(Z138=0,"Complete",IF(OR(AO138=0,AK138=""),"Add set data + RIR",IF(AND(MAX(AB138,AD138,AF138,AH138,AJ138)&gt;=P138,AK138&gt;=Q138+1),"Progress",IF(OR(MAX(AB138,AD138,AF138,AH138,AJ138)&lt;O138,AK138&lt;Q138-1),"Regress","Hold"))))))</x:f>
        <x:v>Not logged</x:v>
      </x:c>
      <x:c r="AT138" s="335" t="n">
        <x:f>IF(OR(Z138=0,AN138&lt;&gt;"Yes",AO138=0,AK138=""),0,IF(AL138&gt;='Setup'!$B$14,-2*'Setup'!$B$11,IF(AND(MAX(AB138,AD138,AF138,AH138,AJ138)&gt;=P138,AK138&gt;=Q138+1),'Setup'!$B$10,IF(OR(MAX(AB138,AD138,AF138,AH138,AJ138)&lt;O138,AK138&lt;Q138-1),-'Setup'!$B$11,0))))</x:f>
        <x:v>0</x:v>
      </x:c>
      <x:c r="AU138" s="333" t="n">
        <x:f>IF(Z138=0,0,IF(AN138&lt;&gt;"Yes",Z138,IF(COUNT(AA138,AC138,AE138,AG138,AI138)=0,Z138,ROUND((MAX(AA138,AC138,AE138,AG138,AI138)*(1+AT138))/'Setup'!$B$9,0)*'Setup'!$B$9)))</x:f>
        <x:v>0</x:v>
      </x:c>
      <x:c r="AV138" s="336"/>
    </x:row>
    <x:row r="139">
      <x:c r="A139" s="310" t="n">
        <x:f>'Setup'!$B$3+(C139-1)*7+(D139-1)</x:f>
        <x:v>46259</x:v>
      </x:c>
      <x:c r="B139" s="311" t="str">
        <x:v>3|2|9</x:v>
      </x:c>
      <x:c r="C139" s="311" t="n">
        <x:v>3</x:v>
      </x:c>
      <x:c r="D139" s="311" t="n">
        <x:v>2</x:v>
      </x:c>
      <x:c r="E139" s="311" t="str">
        <x:v>Accumulation</x:v>
      </x:c>
      <x:c r="F139" s="311" t="str">
        <x:v>Legs A</x:v>
      </x:c>
      <x:c r="G139" s="311" t="str">
        <x:v>Squat strength + lower-body power</x:v>
      </x:c>
      <x:c r="H139" s="311" t="n">
        <x:v>9</x:v>
      </x:c>
      <x:c r="I139" s="311" t="str">
        <x:v>Ankle Dorsiflexion Mobilization</x:v>
      </x:c>
      <x:c r="J139" s="311" t="str">
        <x:v>Mobility</x:v>
      </x:c>
      <x:c r="K139" s="311" t="str">
        <x:v>Ankles</x:v>
      </x:c>
      <x:c r="L139" s="311" t="str">
        <x:v>Controlled mobility</x:v>
      </x:c>
      <x:c r="M139" s="311"/>
      <x:c r="N139" s="311" t="n">
        <x:v>2</x:v>
      </x:c>
      <x:c r="O139" s="311" t="n">
        <x:v>8</x:v>
      </x:c>
      <x:c r="P139" s="311" t="n">
        <x:v>12</x:v>
      </x:c>
      <x:c r="Q139" s="311"/>
      <x:c r="R139" s="311" t="n">
        <x:v>20</x:v>
      </x:c>
      <x:c r="S139" s="311" t="str">
        <x:v>Slow</x:v>
      </x:c>
      <x:c r="T139" s="330" t="n">
        <x:v>1</x:v>
      </x:c>
      <x:c r="U139" s="330" t="n">
        <x:v>0</x:v>
      </x:c>
      <x:c r="V139" s="331" t="str">
        <x:v>reps</x:v>
      </x:c>
      <x:c r="W139" s="332" t="str">
        <x:f>'Readiness'!K20</x:f>
      </x:c>
      <x:c r="X139" s="314" t="n">
        <x:f>'Readiness'!L20</x:f>
        <x:v>1</x:v>
      </x:c>
      <x:c r="Y139" s="315" t="n">
        <x:f>IF(J139="Mobility",N139,MAX(1,ROUND(N139*X139,0)))</x:f>
        <x:v>2</x:v>
      </x:c>
      <x:c r="Z139" s="333" t="n">
        <x:f>0</x:f>
        <x:v>0</x:v>
      </x:c>
      <x:c r="AA139" s="334"/>
      <x:c r="AB139" s="334"/>
      <x:c r="AC139" s="334"/>
      <x:c r="AD139" s="334"/>
      <x:c r="AE139" s="334"/>
      <x:c r="AF139" s="334"/>
      <x:c r="AG139" s="334"/>
      <x:c r="AH139" s="334"/>
      <x:c r="AI139" s="334"/>
      <x:c r="AJ139" s="312"/>
      <x:c r="AK139" s="312"/>
      <x:c r="AL139" s="312"/>
      <x:c r="AM139" s="312"/>
      <x:c r="AN139" s="312"/>
      <x:c r="AO139" s="315" t="n">
        <x:f>COUNT(AB139,AD139,AF139,AH139,AJ139)</x:f>
        <x:v>0</x:v>
      </x:c>
      <x:c r="AP139" s="315" t="n">
        <x:f>SUM(AB139,AD139,AF139,AH139,AJ139)</x:f>
        <x:v>0</x:v>
      </x:c>
      <x:c r="AQ139" s="333" t="n">
        <x:f>AA139*AB139+AC139*AD139+AE139*AF139+AG139*AH139+AI139*AJ139</x:f>
        <x:v>0</x:v>
      </x:c>
      <x:c r="AR139" s="333" t="n">
        <x:f>IF(OR(J139="Strength",J139="Hypertrophy"),MAX(IF(AB139&gt;0,AA139*(1+AB139/30),0),IF(AD139&gt;0,AC139*(1+AD139/30),0),IF(AF139&gt;0,AE139*(1+AF139/30),0),IF(AH139&gt;0,AG139*(1+AH139/30),0),IF(AJ139&gt;0,AI139*(1+AJ139/30),0)),0)</x:f>
        <x:v>0</x:v>
      </x:c>
      <x:c r="AS139" s="315" t="str">
        <x:f>IF(AN139&lt;&gt;"Yes","Not logged",IF(AL139&gt;='Setup'!$B$14,"STOP / MODIFY",IF(Z139=0,"Complete",IF(OR(AO139=0,AK139=""),"Add set data + RIR",IF(AND(MAX(AB139,AD139,AF139,AH139,AJ139)&gt;=P139,AK139&gt;=Q139+1),"Progress",IF(OR(MAX(AB139,AD139,AF139,AH139,AJ139)&lt;O139,AK139&lt;Q139-1),"Regress","Hold"))))))</x:f>
        <x:v>Not logged</x:v>
      </x:c>
      <x:c r="AT139" s="335" t="n">
        <x:f>IF(OR(Z139=0,AN139&lt;&gt;"Yes",AO139=0,AK139=""),0,IF(AL139&gt;='Setup'!$B$14,-2*'Setup'!$B$11,IF(AND(MAX(AB139,AD139,AF139,AH139,AJ139)&gt;=P139,AK139&gt;=Q139+1),'Setup'!$B$10,IF(OR(MAX(AB139,AD139,AF139,AH139,AJ139)&lt;O139,AK139&lt;Q139-1),-'Setup'!$B$11,0))))</x:f>
        <x:v>0</x:v>
      </x:c>
      <x:c r="AU139" s="333" t="n">
        <x:f>IF(Z139=0,0,IF(AN139&lt;&gt;"Yes",Z139,IF(COUNT(AA139,AC139,AE139,AG139,AI139)=0,Z139,ROUND((MAX(AA139,AC139,AE139,AG139,AI139)*(1+AT139))/'Setup'!$B$9,0)*'Setup'!$B$9)))</x:f>
        <x:v>0</x:v>
      </x:c>
      <x:c r="AV139" s="336"/>
    </x:row>
    <x:row r="140">
      <x:c r="A140" s="310" t="n">
        <x:f>'Setup'!$B$3+(C140-1)*7+(D140-1)</x:f>
        <x:v>46259</x:v>
      </x:c>
      <x:c r="B140" s="311" t="str">
        <x:v>3|2|10</x:v>
      </x:c>
      <x:c r="C140" s="311" t="n">
        <x:v>3</x:v>
      </x:c>
      <x:c r="D140" s="311" t="n">
        <x:v>2</x:v>
      </x:c>
      <x:c r="E140" s="311" t="str">
        <x:v>Accumulation</x:v>
      </x:c>
      <x:c r="F140" s="311" t="str">
        <x:v>Legs A</x:v>
      </x:c>
      <x:c r="G140" s="311" t="str">
        <x:v>Squat strength + lower-body power</x:v>
      </x:c>
      <x:c r="H140" s="311" t="n">
        <x:v>10</x:v>
      </x:c>
      <x:c r="I140" s="311" t="str">
        <x:v>90/90 Hip Switch</x:v>
      </x:c>
      <x:c r="J140" s="311" t="str">
        <x:v>Mobility</x:v>
      </x:c>
      <x:c r="K140" s="311" t="str">
        <x:v>Hips</x:v>
      </x:c>
      <x:c r="L140" s="311" t="str">
        <x:v>Controlled mobility</x:v>
      </x:c>
      <x:c r="M140" s="311"/>
      <x:c r="N140" s="311" t="n">
        <x:v>2</x:v>
      </x:c>
      <x:c r="O140" s="311" t="n">
        <x:v>6</x:v>
      </x:c>
      <x:c r="P140" s="311" t="n">
        <x:v>10</x:v>
      </x:c>
      <x:c r="Q140" s="311"/>
      <x:c r="R140" s="311" t="n">
        <x:v>20</x:v>
      </x:c>
      <x:c r="S140" s="311" t="str">
        <x:v>Slow</x:v>
      </x:c>
      <x:c r="T140" s="330" t="n">
        <x:v>1</x:v>
      </x:c>
      <x:c r="U140" s="330" t="n">
        <x:v>0</x:v>
      </x:c>
      <x:c r="V140" s="331" t="str">
        <x:v>reps</x:v>
      </x:c>
      <x:c r="W140" s="332" t="str">
        <x:f>'Readiness'!K20</x:f>
      </x:c>
      <x:c r="X140" s="314" t="n">
        <x:f>'Readiness'!L20</x:f>
        <x:v>1</x:v>
      </x:c>
      <x:c r="Y140" s="315" t="n">
        <x:f>IF(J140="Mobility",N140,MAX(1,ROUND(N140*X140,0)))</x:f>
        <x:v>2</x:v>
      </x:c>
      <x:c r="Z140" s="333" t="n">
        <x:f>0</x:f>
        <x:v>0</x:v>
      </x:c>
      <x:c r="AA140" s="334"/>
      <x:c r="AB140" s="334"/>
      <x:c r="AC140" s="334"/>
      <x:c r="AD140" s="334"/>
      <x:c r="AE140" s="334"/>
      <x:c r="AF140" s="334"/>
      <x:c r="AG140" s="334"/>
      <x:c r="AH140" s="334"/>
      <x:c r="AI140" s="334"/>
      <x:c r="AJ140" s="312"/>
      <x:c r="AK140" s="312"/>
      <x:c r="AL140" s="312"/>
      <x:c r="AM140" s="312"/>
      <x:c r="AN140" s="312"/>
      <x:c r="AO140" s="315" t="n">
        <x:f>COUNT(AB140,AD140,AF140,AH140,AJ140)</x:f>
        <x:v>0</x:v>
      </x:c>
      <x:c r="AP140" s="315" t="n">
        <x:f>SUM(AB140,AD140,AF140,AH140,AJ140)</x:f>
        <x:v>0</x:v>
      </x:c>
      <x:c r="AQ140" s="333" t="n">
        <x:f>AA140*AB140+AC140*AD140+AE140*AF140+AG140*AH140+AI140*AJ140</x:f>
        <x:v>0</x:v>
      </x:c>
      <x:c r="AR140" s="333" t="n">
        <x:f>IF(OR(J140="Strength",J140="Hypertrophy"),MAX(IF(AB140&gt;0,AA140*(1+AB140/30),0),IF(AD140&gt;0,AC140*(1+AD140/30),0),IF(AF140&gt;0,AE140*(1+AF140/30),0),IF(AH140&gt;0,AG140*(1+AH140/30),0),IF(AJ140&gt;0,AI140*(1+AJ140/30),0)),0)</x:f>
        <x:v>0</x:v>
      </x:c>
      <x:c r="AS140" s="315" t="str">
        <x:f>IF(AN140&lt;&gt;"Yes","Not logged",IF(AL140&gt;='Setup'!$B$14,"STOP / MODIFY",IF(Z140=0,"Complete",IF(OR(AO140=0,AK140=""),"Add set data + RIR",IF(AND(MAX(AB140,AD140,AF140,AH140,AJ140)&gt;=P140,AK140&gt;=Q140+1),"Progress",IF(OR(MAX(AB140,AD140,AF140,AH140,AJ140)&lt;O140,AK140&lt;Q140-1),"Regress","Hold"))))))</x:f>
        <x:v>Not logged</x:v>
      </x:c>
      <x:c r="AT140" s="335" t="n">
        <x:f>IF(OR(Z140=0,AN140&lt;&gt;"Yes",AO140=0,AK140=""),0,IF(AL140&gt;='Setup'!$B$14,-2*'Setup'!$B$11,IF(AND(MAX(AB140,AD140,AF140,AH140,AJ140)&gt;=P140,AK140&gt;=Q140+1),'Setup'!$B$10,IF(OR(MAX(AB140,AD140,AF140,AH140,AJ140)&lt;O140,AK140&lt;Q140-1),-'Setup'!$B$11,0))))</x:f>
        <x:v>0</x:v>
      </x:c>
      <x:c r="AU140" s="333" t="n">
        <x:f>IF(Z140=0,0,IF(AN140&lt;&gt;"Yes",Z140,IF(COUNT(AA140,AC140,AE140,AG140,AI140)=0,Z140,ROUND((MAX(AA140,AC140,AE140,AG140,AI140)*(1+AT140))/'Setup'!$B$9,0)*'Setup'!$B$9)))</x:f>
        <x:v>0</x:v>
      </x:c>
      <x:c r="AV140" s="336"/>
    </x:row>
    <x:row r="141">
      <x:c r="A141" s="310" t="n">
        <x:f>'Setup'!$B$3+(C141-1)*7+(D141-1)</x:f>
        <x:v>46260</x:v>
      </x:c>
      <x:c r="B141" s="311" t="str">
        <x:v>3|3|1</x:v>
      </x:c>
      <x:c r="C141" s="311" t="n">
        <x:v>3</x:v>
      </x:c>
      <x:c r="D141" s="311" t="n">
        <x:v>3</x:v>
      </x:c>
      <x:c r="E141" s="311" t="str">
        <x:v>Accumulation</x:v>
      </x:c>
      <x:c r="F141" s="311" t="str">
        <x:v>Push A</x:v>
      </x:c>
      <x:c r="G141" s="311" t="str">
        <x:v>Chest strength + shoulder hypertrophy</x:v>
      </x:c>
      <x:c r="H141" s="311" t="n">
        <x:v>1</x:v>
      </x:c>
      <x:c r="I141" s="311" t="str">
        <x:v>Medicine Ball Chest Pass</x:v>
      </x:c>
      <x:c r="J141" s="311" t="str">
        <x:v>Power</x:v>
      </x:c>
      <x:c r="K141" s="311" t="str">
        <x:v>Chest</x:v>
      </x:c>
      <x:c r="L141" s="311" t="str">
        <x:v>Max intent, full reset</x:v>
      </x:c>
      <x:c r="M141" s="311"/>
      <x:c r="N141" s="311" t="n">
        <x:v>4</x:v>
      </x:c>
      <x:c r="O141" s="311" t="n">
        <x:v>3</x:v>
      </x:c>
      <x:c r="P141" s="311" t="n">
        <x:v>3</x:v>
      </x:c>
      <x:c r="Q141" s="311" t="n">
        <x:v>2</x:v>
      </x:c>
      <x:c r="R141" s="311" t="n">
        <x:v>60</x:v>
      </x:c>
      <x:c r="S141" s="311" t="str">
        <x:v>Explosive</x:v>
      </x:c>
      <x:c r="T141" s="330" t="n">
        <x:v>1</x:v>
      </x:c>
      <x:c r="U141" s="330" t="n">
        <x:v>0</x:v>
      </x:c>
      <x:c r="V141" s="331" t="str">
        <x:v>throw quality</x:v>
      </x:c>
      <x:c r="W141" s="332" t="str">
        <x:f>'Readiness'!K21</x:f>
      </x:c>
      <x:c r="X141" s="314" t="n">
        <x:f>'Readiness'!L21</x:f>
        <x:v>1</x:v>
      </x:c>
      <x:c r="Y141" s="315" t="n">
        <x:f>IF(J141="Mobility",N141,MAX(1,ROUND(N141*X141,0)))</x:f>
        <x:v>4</x:v>
      </x:c>
      <x:c r="Z141" s="333" t="n">
        <x:f>0</x:f>
        <x:v>0</x:v>
      </x:c>
      <x:c r="AA141" s="334"/>
      <x:c r="AB141" s="334"/>
      <x:c r="AC141" s="334"/>
      <x:c r="AD141" s="334"/>
      <x:c r="AE141" s="334"/>
      <x:c r="AF141" s="334"/>
      <x:c r="AG141" s="334"/>
      <x:c r="AH141" s="334"/>
      <x:c r="AI141" s="334"/>
      <x:c r="AJ141" s="312"/>
      <x:c r="AK141" s="312"/>
      <x:c r="AL141" s="312"/>
      <x:c r="AM141" s="312"/>
      <x:c r="AN141" s="312"/>
      <x:c r="AO141" s="315" t="n">
        <x:f>COUNT(AB141,AD141,AF141,AH141,AJ141)</x:f>
        <x:v>0</x:v>
      </x:c>
      <x:c r="AP141" s="315" t="n">
        <x:f>SUM(AB141,AD141,AF141,AH141,AJ141)</x:f>
        <x:v>0</x:v>
      </x:c>
      <x:c r="AQ141" s="333" t="n">
        <x:f>AA141*AB141+AC141*AD141+AE141*AF141+AG141*AH141+AI141*AJ141</x:f>
        <x:v>0</x:v>
      </x:c>
      <x:c r="AR141" s="333" t="n">
        <x:f>IF(OR(J141="Strength",J141="Hypertrophy"),MAX(IF(AB141&gt;0,AA141*(1+AB141/30),0),IF(AD141&gt;0,AC141*(1+AD141/30),0),IF(AF141&gt;0,AE141*(1+AF141/30),0),IF(AH141&gt;0,AG141*(1+AH141/30),0),IF(AJ141&gt;0,AI141*(1+AJ141/30),0)),0)</x:f>
        <x:v>0</x:v>
      </x:c>
      <x:c r="AS141" s="315" t="str">
        <x:f>IF(AN141&lt;&gt;"Yes","Not logged",IF(AL141&gt;='Setup'!$B$14,"STOP / MODIFY",IF(Z141=0,"Complete",IF(OR(AO141=0,AK141=""),"Add set data + RIR",IF(AND(MAX(AB141,AD141,AF141,AH141,AJ141)&gt;=P141,AK141&gt;=Q141+1),"Progress",IF(OR(MAX(AB141,AD141,AF141,AH141,AJ141)&lt;O141,AK141&lt;Q141-1),"Regress","Hold"))))))</x:f>
        <x:v>Not logged</x:v>
      </x:c>
      <x:c r="AT141" s="335" t="n">
        <x:f>IF(OR(Z141=0,AN141&lt;&gt;"Yes",AO141=0,AK141=""),0,IF(AL141&gt;='Setup'!$B$14,-2*'Setup'!$B$11,IF(AND(MAX(AB141,AD141,AF141,AH141,AJ141)&gt;=P141,AK141&gt;=Q141+1),'Setup'!$B$10,IF(OR(MAX(AB141,AD141,AF141,AH141,AJ141)&lt;O141,AK141&lt;Q141-1),-'Setup'!$B$11,0))))</x:f>
        <x:v>0</x:v>
      </x:c>
      <x:c r="AU141" s="333" t="n">
        <x:f>IF(Z141=0,0,IF(AN141&lt;&gt;"Yes",Z141,IF(COUNT(AA141,AC141,AE141,AG141,AI141)=0,Z141,ROUND((MAX(AA141,AC141,AE141,AG141,AI141)*(1+AT141))/'Setup'!$B$9,0)*'Setup'!$B$9)))</x:f>
        <x:v>0</x:v>
      </x:c>
      <x:c r="AV141" s="336"/>
    </x:row>
    <x:row r="142">
      <x:c r="A142" s="310" t="n">
        <x:f>'Setup'!$B$3+(C142-1)*7+(D142-1)</x:f>
        <x:v>46260</x:v>
      </x:c>
      <x:c r="B142" s="311" t="str">
        <x:v>3|3|2</x:v>
      </x:c>
      <x:c r="C142" s="311" t="n">
        <x:v>3</x:v>
      </x:c>
      <x:c r="D142" s="311" t="n">
        <x:v>3</x:v>
      </x:c>
      <x:c r="E142" s="311" t="str">
        <x:v>Accumulation</x:v>
      </x:c>
      <x:c r="F142" s="311" t="str">
        <x:v>Push A</x:v>
      </x:c>
      <x:c r="G142" s="311" t="str">
        <x:v>Chest strength + shoulder hypertrophy</x:v>
      </x:c>
      <x:c r="H142" s="311" t="n">
        <x:v>2</x:v>
      </x:c>
      <x:c r="I142" s="311" t="str">
        <x:v>Bench Press</x:v>
      </x:c>
      <x:c r="J142" s="311" t="str">
        <x:v>Strength</x:v>
      </x:c>
      <x:c r="K142" s="311" t="str">
        <x:v>Chest</x:v>
      </x:c>
      <x:c r="L142" s="311" t="str">
        <x:v>Top set + back-offs</x:v>
      </x:c>
      <x:c r="M142" s="311"/>
      <x:c r="N142" s="311" t="n">
        <x:v>4</x:v>
      </x:c>
      <x:c r="O142" s="311" t="n">
        <x:v>5</x:v>
      </x:c>
      <x:c r="P142" s="311" t="n">
        <x:v>7</x:v>
      </x:c>
      <x:c r="Q142" s="311" t="n">
        <x:v>1</x:v>
      </x:c>
      <x:c r="R142" s="311" t="n">
        <x:v>180</x:v>
      </x:c>
      <x:c r="S142" s="311" t="str">
        <x:v>2-0-X</x:v>
      </x:c>
      <x:c r="T142" s="330" t="n">
        <x:v>1</x:v>
      </x:c>
      <x:c r="U142" s="330" t="n">
        <x:v>0.7</x:v>
      </x:c>
      <x:c r="V142" s="331" t="str">
        <x:v>load × reps</x:v>
      </x:c>
      <x:c r="W142" s="332" t="str">
        <x:f>'Readiness'!K21</x:f>
      </x:c>
      <x:c r="X142" s="314" t="n">
        <x:f>'Readiness'!L21</x:f>
        <x:v>1</x:v>
      </x:c>
      <x:c r="Y142" s="315" t="n">
        <x:f>IF(J142="Mobility",N142,MAX(1,ROUND(N142*X142,0)))</x:f>
        <x:v>4</x:v>
      </x:c>
      <x:c r="Z142" s="333" t="n">
        <x:f>ROUND((IF(AU86&gt;0,AU86,IF(Z86&gt;0,Z86,'Setup'!$D$27))*T142)/'Setup'!$B$9,0)*'Setup'!$B$9</x:f>
        <x:v>0</x:v>
      </x:c>
      <x:c r="AA142" s="334"/>
      <x:c r="AB142" s="334"/>
      <x:c r="AC142" s="334"/>
      <x:c r="AD142" s="334"/>
      <x:c r="AE142" s="334"/>
      <x:c r="AF142" s="334"/>
      <x:c r="AG142" s="334"/>
      <x:c r="AH142" s="334"/>
      <x:c r="AI142" s="334"/>
      <x:c r="AJ142" s="312"/>
      <x:c r="AK142" s="312"/>
      <x:c r="AL142" s="312"/>
      <x:c r="AM142" s="312"/>
      <x:c r="AN142" s="312"/>
      <x:c r="AO142" s="315" t="n">
        <x:f>COUNT(AB142,AD142,AF142,AH142,AJ142)</x:f>
        <x:v>0</x:v>
      </x:c>
      <x:c r="AP142" s="315" t="n">
        <x:f>SUM(AB142,AD142,AF142,AH142,AJ142)</x:f>
        <x:v>0</x:v>
      </x:c>
      <x:c r="AQ142" s="333" t="n">
        <x:f>AA142*AB142+AC142*AD142+AE142*AF142+AG142*AH142+AI142*AJ142</x:f>
        <x:v>0</x:v>
      </x:c>
      <x:c r="AR142" s="333" t="n">
        <x:f>IF(OR(J142="Strength",J142="Hypertrophy"),MAX(IF(AB142&gt;0,AA142*(1+AB142/30),0),IF(AD142&gt;0,AC142*(1+AD142/30),0),IF(AF142&gt;0,AE142*(1+AF142/30),0),IF(AH142&gt;0,AG142*(1+AH142/30),0),IF(AJ142&gt;0,AI142*(1+AJ142/30),0)),0)</x:f>
        <x:v>0</x:v>
      </x:c>
      <x:c r="AS142" s="315" t="str">
        <x:f>IF(AN142&lt;&gt;"Yes","Not logged",IF(AL142&gt;='Setup'!$B$14,"STOP / MODIFY",IF(Z142=0,"Complete",IF(OR(AO142=0,AK142=""),"Add set data + RIR",IF(AND(MAX(AB142,AD142,AF142,AH142,AJ142)&gt;=P142,AK142&gt;=Q142+1),"Progress",IF(OR(MAX(AB142,AD142,AF142,AH142,AJ142)&lt;O142,AK142&lt;Q142-1),"Regress","Hold"))))))</x:f>
        <x:v>Not logged</x:v>
      </x:c>
      <x:c r="AT142" s="335" t="n">
        <x:f>IF(OR(Z142=0,AN142&lt;&gt;"Yes",AO142=0,AK142=""),0,IF(AL142&gt;='Setup'!$B$14,-2*'Setup'!$B$11,IF(AND(MAX(AB142,AD142,AF142,AH142,AJ142)&gt;=P142,AK142&gt;=Q142+1),'Setup'!$B$10,IF(OR(MAX(AB142,AD142,AF142,AH142,AJ142)&lt;O142,AK142&lt;Q142-1),-'Setup'!$B$11,0))))</x:f>
        <x:v>0</x:v>
      </x:c>
      <x:c r="AU142" s="333" t="n">
        <x:f>IF(Z142=0,0,IF(AN142&lt;&gt;"Yes",Z142,IF(COUNT(AA142,AC142,AE142,AG142,AI142)=0,Z142,ROUND((MAX(AA142,AC142,AE142,AG142,AI142)*(1+AT142))/'Setup'!$B$9,0)*'Setup'!$B$9)))</x:f>
        <x:v>0</x:v>
      </x:c>
      <x:c r="AV142" s="336"/>
    </x:row>
    <x:row r="143">
      <x:c r="A143" s="310" t="n">
        <x:f>'Setup'!$B$3+(C143-1)*7+(D143-1)</x:f>
        <x:v>46260</x:v>
      </x:c>
      <x:c r="B143" s="311" t="str">
        <x:v>3|3|3</x:v>
      </x:c>
      <x:c r="C143" s="311" t="n">
        <x:v>3</x:v>
      </x:c>
      <x:c r="D143" s="311" t="n">
        <x:v>3</x:v>
      </x:c>
      <x:c r="E143" s="311" t="str">
        <x:v>Accumulation</x:v>
      </x:c>
      <x:c r="F143" s="311" t="str">
        <x:v>Push A</x:v>
      </x:c>
      <x:c r="G143" s="311" t="str">
        <x:v>Chest strength + shoulder hypertrophy</x:v>
      </x:c>
      <x:c r="H143" s="311" t="n">
        <x:v>3</x:v>
      </x:c>
      <x:c r="I143" s="311" t="str">
        <x:v>Incline Dumbbell Bench Press</x:v>
      </x:c>
      <x:c r="J143" s="311" t="str">
        <x:v>Hypertrophy</x:v>
      </x:c>
      <x:c r="K143" s="311" t="str">
        <x:v>Chest</x:v>
      </x:c>
      <x:c r="L143" s="311" t="str">
        <x:v>Straight sets</x:v>
      </x:c>
      <x:c r="M143" s="311"/>
      <x:c r="N143" s="311" t="n">
        <x:v>3</x:v>
      </x:c>
      <x:c r="O143" s="311" t="n">
        <x:v>8</x:v>
      </x:c>
      <x:c r="P143" s="311" t="n">
        <x:v>10</x:v>
      </x:c>
      <x:c r="Q143" s="311" t="n">
        <x:v>1</x:v>
      </x:c>
      <x:c r="R143" s="311" t="n">
        <x:v>90</x:v>
      </x:c>
      <x:c r="S143" s="311" t="str">
        <x:v>3-0-1</x:v>
      </x:c>
      <x:c r="T143" s="330" t="n">
        <x:v>1</x:v>
      </x:c>
      <x:c r="U143" s="330" t="n">
        <x:v>0</x:v>
      </x:c>
      <x:c r="V143" s="331" t="str">
        <x:v>load × reps</x:v>
      </x:c>
      <x:c r="W143" s="332" t="str">
        <x:f>'Readiness'!K21</x:f>
      </x:c>
      <x:c r="X143" s="314" t="n">
        <x:f>'Readiness'!L21</x:f>
        <x:v>1</x:v>
      </x:c>
      <x:c r="Y143" s="315" t="n">
        <x:f>IF(J143="Mobility",N143,MAX(1,ROUND(N143*X143,0)))</x:f>
        <x:v>3</x:v>
      </x:c>
      <x:c r="Z143" s="333" t="n">
        <x:f>ROUND((IF(AU87&gt;0,AU87,IF(Z87&gt;0,Z87,'Setup'!$D$50))*T143)/'Setup'!$B$9,0)*'Setup'!$B$9</x:f>
        <x:v>0</x:v>
      </x:c>
      <x:c r="AA143" s="334"/>
      <x:c r="AB143" s="334"/>
      <x:c r="AC143" s="334"/>
      <x:c r="AD143" s="334"/>
      <x:c r="AE143" s="334"/>
      <x:c r="AF143" s="334"/>
      <x:c r="AG143" s="334"/>
      <x:c r="AH143" s="334"/>
      <x:c r="AI143" s="334"/>
      <x:c r="AJ143" s="312"/>
      <x:c r="AK143" s="312"/>
      <x:c r="AL143" s="312"/>
      <x:c r="AM143" s="312"/>
      <x:c r="AN143" s="312"/>
      <x:c r="AO143" s="315" t="n">
        <x:f>COUNT(AB143,AD143,AF143,AH143,AJ143)</x:f>
        <x:v>0</x:v>
      </x:c>
      <x:c r="AP143" s="315" t="n">
        <x:f>SUM(AB143,AD143,AF143,AH143,AJ143)</x:f>
        <x:v>0</x:v>
      </x:c>
      <x:c r="AQ143" s="333" t="n">
        <x:f>AA143*AB143+AC143*AD143+AE143*AF143+AG143*AH143+AI143*AJ143</x:f>
        <x:v>0</x:v>
      </x:c>
      <x:c r="AR143" s="333" t="n">
        <x:f>IF(OR(J143="Strength",J143="Hypertrophy"),MAX(IF(AB143&gt;0,AA143*(1+AB143/30),0),IF(AD143&gt;0,AC143*(1+AD143/30),0),IF(AF143&gt;0,AE143*(1+AF143/30),0),IF(AH143&gt;0,AG143*(1+AH143/30),0),IF(AJ143&gt;0,AI143*(1+AJ143/30),0)),0)</x:f>
        <x:v>0</x:v>
      </x:c>
      <x:c r="AS143" s="315" t="str">
        <x:f>IF(AN143&lt;&gt;"Yes","Not logged",IF(AL143&gt;='Setup'!$B$14,"STOP / MODIFY",IF(Z143=0,"Complete",IF(OR(AO143=0,AK143=""),"Add set data + RIR",IF(AND(MAX(AB143,AD143,AF143,AH143,AJ143)&gt;=P143,AK143&gt;=Q143+1),"Progress",IF(OR(MAX(AB143,AD143,AF143,AH143,AJ143)&lt;O143,AK143&lt;Q143-1),"Regress","Hold"))))))</x:f>
        <x:v>Not logged</x:v>
      </x:c>
      <x:c r="AT143" s="335" t="n">
        <x:f>IF(OR(Z143=0,AN143&lt;&gt;"Yes",AO143=0,AK143=""),0,IF(AL143&gt;='Setup'!$B$14,-2*'Setup'!$B$11,IF(AND(MAX(AB143,AD143,AF143,AH143,AJ143)&gt;=P143,AK143&gt;=Q143+1),'Setup'!$B$10,IF(OR(MAX(AB143,AD143,AF143,AH143,AJ143)&lt;O143,AK143&lt;Q143-1),-'Setup'!$B$11,0))))</x:f>
        <x:v>0</x:v>
      </x:c>
      <x:c r="AU143" s="333" t="n">
        <x:f>IF(Z143=0,0,IF(AN143&lt;&gt;"Yes",Z143,IF(COUNT(AA143,AC143,AE143,AG143,AI143)=0,Z143,ROUND((MAX(AA143,AC143,AE143,AG143,AI143)*(1+AT143))/'Setup'!$B$9,0)*'Setup'!$B$9)))</x:f>
        <x:v>0</x:v>
      </x:c>
      <x:c r="AV143" s="336"/>
    </x:row>
    <x:row r="144">
      <x:c r="A144" s="310" t="n">
        <x:f>'Setup'!$B$3+(C144-1)*7+(D144-1)</x:f>
        <x:v>46260</x:v>
      </x:c>
      <x:c r="B144" s="311" t="str">
        <x:v>3|3|4</x:v>
      </x:c>
      <x:c r="C144" s="311" t="n">
        <x:v>3</x:v>
      </x:c>
      <x:c r="D144" s="311" t="n">
        <x:v>3</x:v>
      </x:c>
      <x:c r="E144" s="311" t="str">
        <x:v>Accumulation</x:v>
      </x:c>
      <x:c r="F144" s="311" t="str">
        <x:v>Push A</x:v>
      </x:c>
      <x:c r="G144" s="311" t="str">
        <x:v>Chest strength + shoulder hypertrophy</x:v>
      </x:c>
      <x:c r="H144" s="311" t="n">
        <x:v>4</x:v>
      </x:c>
      <x:c r="I144" s="311" t="str">
        <x:v>Seated Dumbbell Shoulder Press</x:v>
      </x:c>
      <x:c r="J144" s="311" t="str">
        <x:v>Hypertrophy</x:v>
      </x:c>
      <x:c r="K144" s="311" t="str">
        <x:v>Shoulders</x:v>
      </x:c>
      <x:c r="L144" s="311" t="str">
        <x:v>Straight sets</x:v>
      </x:c>
      <x:c r="M144" s="311"/>
      <x:c r="N144" s="311" t="n">
        <x:v>3</x:v>
      </x:c>
      <x:c r="O144" s="311" t="n">
        <x:v>8</x:v>
      </x:c>
      <x:c r="P144" s="311" t="n">
        <x:v>10</x:v>
      </x:c>
      <x:c r="Q144" s="311" t="n">
        <x:v>1</x:v>
      </x:c>
      <x:c r="R144" s="311" t="n">
        <x:v>90</x:v>
      </x:c>
      <x:c r="S144" s="311" t="str">
        <x:v>2-0-1</x:v>
      </x:c>
      <x:c r="T144" s="330" t="n">
        <x:v>1</x:v>
      </x:c>
      <x:c r="U144" s="330" t="n">
        <x:v>0</x:v>
      </x:c>
      <x:c r="V144" s="331" t="str">
        <x:v>load × reps</x:v>
      </x:c>
      <x:c r="W144" s="332" t="str">
        <x:f>'Readiness'!K21</x:f>
      </x:c>
      <x:c r="X144" s="314" t="n">
        <x:f>'Readiness'!L21</x:f>
        <x:v>1</x:v>
      </x:c>
      <x:c r="Y144" s="315" t="n">
        <x:f>IF(J144="Mobility",N144,MAX(1,ROUND(N144*X144,0)))</x:f>
        <x:v>3</x:v>
      </x:c>
      <x:c r="Z144" s="333" t="n">
        <x:f>ROUND((IF(AU88&gt;0,AU88,IF(Z88&gt;0,Z88,'Setup'!$D$83))*T144)/'Setup'!$B$9,0)*'Setup'!$B$9</x:f>
        <x:v>0</x:v>
      </x:c>
      <x:c r="AA144" s="334"/>
      <x:c r="AB144" s="334"/>
      <x:c r="AC144" s="334"/>
      <x:c r="AD144" s="334"/>
      <x:c r="AE144" s="334"/>
      <x:c r="AF144" s="334"/>
      <x:c r="AG144" s="334"/>
      <x:c r="AH144" s="334"/>
      <x:c r="AI144" s="334"/>
      <x:c r="AJ144" s="312"/>
      <x:c r="AK144" s="312"/>
      <x:c r="AL144" s="312"/>
      <x:c r="AM144" s="312"/>
      <x:c r="AN144" s="312"/>
      <x:c r="AO144" s="315" t="n">
        <x:f>COUNT(AB144,AD144,AF144,AH144,AJ144)</x:f>
        <x:v>0</x:v>
      </x:c>
      <x:c r="AP144" s="315" t="n">
        <x:f>SUM(AB144,AD144,AF144,AH144,AJ144)</x:f>
        <x:v>0</x:v>
      </x:c>
      <x:c r="AQ144" s="333" t="n">
        <x:f>AA144*AB144+AC144*AD144+AE144*AF144+AG144*AH144+AI144*AJ144</x:f>
        <x:v>0</x:v>
      </x:c>
      <x:c r="AR144" s="333" t="n">
        <x:f>IF(OR(J144="Strength",J144="Hypertrophy"),MAX(IF(AB144&gt;0,AA144*(1+AB144/30),0),IF(AD144&gt;0,AC144*(1+AD144/30),0),IF(AF144&gt;0,AE144*(1+AF144/30),0),IF(AH144&gt;0,AG144*(1+AH144/30),0),IF(AJ144&gt;0,AI144*(1+AJ144/30),0)),0)</x:f>
        <x:v>0</x:v>
      </x:c>
      <x:c r="AS144" s="315" t="str">
        <x:f>IF(AN144&lt;&gt;"Yes","Not logged",IF(AL144&gt;='Setup'!$B$14,"STOP / MODIFY",IF(Z144=0,"Complete",IF(OR(AO144=0,AK144=""),"Add set data + RIR",IF(AND(MAX(AB144,AD144,AF144,AH144,AJ144)&gt;=P144,AK144&gt;=Q144+1),"Progress",IF(OR(MAX(AB144,AD144,AF144,AH144,AJ144)&lt;O144,AK144&lt;Q144-1),"Regress","Hold"))))))</x:f>
        <x:v>Not logged</x:v>
      </x:c>
      <x:c r="AT144" s="335" t="n">
        <x:f>IF(OR(Z144=0,AN144&lt;&gt;"Yes",AO144=0,AK144=""),0,IF(AL144&gt;='Setup'!$B$14,-2*'Setup'!$B$11,IF(AND(MAX(AB144,AD144,AF144,AH144,AJ144)&gt;=P144,AK144&gt;=Q144+1),'Setup'!$B$10,IF(OR(MAX(AB144,AD144,AF144,AH144,AJ144)&lt;O144,AK144&lt;Q144-1),-'Setup'!$B$11,0))))</x:f>
        <x:v>0</x:v>
      </x:c>
      <x:c r="AU144" s="333" t="n">
        <x:f>IF(Z144=0,0,IF(AN144&lt;&gt;"Yes",Z144,IF(COUNT(AA144,AC144,AE144,AG144,AI144)=0,Z144,ROUND((MAX(AA144,AC144,AE144,AG144,AI144)*(1+AT144))/'Setup'!$B$9,0)*'Setup'!$B$9)))</x:f>
        <x:v>0</x:v>
      </x:c>
      <x:c r="AV144" s="336"/>
    </x:row>
    <x:row r="145">
      <x:c r="A145" s="310" t="n">
        <x:f>'Setup'!$B$3+(C145-1)*7+(D145-1)</x:f>
        <x:v>46260</x:v>
      </x:c>
      <x:c r="B145" s="311" t="str">
        <x:v>3|3|5</x:v>
      </x:c>
      <x:c r="C145" s="311" t="n">
        <x:v>3</x:v>
      </x:c>
      <x:c r="D145" s="311" t="n">
        <x:v>3</x:v>
      </x:c>
      <x:c r="E145" s="311" t="str">
        <x:v>Accumulation</x:v>
      </x:c>
      <x:c r="F145" s="311" t="str">
        <x:v>Push A</x:v>
      </x:c>
      <x:c r="G145" s="311" t="str">
        <x:v>Chest strength + shoulder hypertrophy</x:v>
      </x:c>
      <x:c r="H145" s="311" t="n">
        <x:v>5</x:v>
      </x:c>
      <x:c r="I145" s="311" t="str">
        <x:v>Cable Fly</x:v>
      </x:c>
      <x:c r="J145" s="311" t="str">
        <x:v>Hypertrophy</x:v>
      </x:c>
      <x:c r="K145" s="311" t="str">
        <x:v>Chest</x:v>
      </x:c>
      <x:c r="L145" s="311" t="str">
        <x:v>Superset</x:v>
      </x:c>
      <x:c r="M145" s="311" t="str">
        <x:v>A1</x:v>
      </x:c>
      <x:c r="N145" s="311" t="n">
        <x:v>3</x:v>
      </x:c>
      <x:c r="O145" s="311" t="n">
        <x:v>12</x:v>
      </x:c>
      <x:c r="P145" s="311" t="n">
        <x:v>15</x:v>
      </x:c>
      <x:c r="Q145" s="311" t="n">
        <x:v>1</x:v>
      </x:c>
      <x:c r="R145" s="311" t="n">
        <x:v>30</x:v>
      </x:c>
      <x:c r="S145" s="311" t="str">
        <x:v>2-1-2</x:v>
      </x:c>
      <x:c r="T145" s="330" t="n">
        <x:v>1</x:v>
      </x:c>
      <x:c r="U145" s="330" t="n">
        <x:v>0</x:v>
      </x:c>
      <x:c r="V145" s="331" t="str">
        <x:v>load × reps</x:v>
      </x:c>
      <x:c r="W145" s="332" t="str">
        <x:f>'Readiness'!K21</x:f>
      </x:c>
      <x:c r="X145" s="314" t="n">
        <x:f>'Readiness'!L21</x:f>
        <x:v>1</x:v>
      </x:c>
      <x:c r="Y145" s="315" t="n">
        <x:f>IF(J145="Mobility",N145,MAX(1,ROUND(N145*X145,0)))</x:f>
        <x:v>3</x:v>
      </x:c>
      <x:c r="Z145" s="333" t="n">
        <x:f>ROUND((IF(AU89&gt;0,AU89,IF(Z89&gt;0,Z89,'Setup'!$D$31))*T145)/'Setup'!$B$9,0)*'Setup'!$B$9</x:f>
        <x:v>0</x:v>
      </x:c>
      <x:c r="AA145" s="334"/>
      <x:c r="AB145" s="334"/>
      <x:c r="AC145" s="334"/>
      <x:c r="AD145" s="334"/>
      <x:c r="AE145" s="334"/>
      <x:c r="AF145" s="334"/>
      <x:c r="AG145" s="334"/>
      <x:c r="AH145" s="334"/>
      <x:c r="AI145" s="334"/>
      <x:c r="AJ145" s="312"/>
      <x:c r="AK145" s="312"/>
      <x:c r="AL145" s="312"/>
      <x:c r="AM145" s="312"/>
      <x:c r="AN145" s="312"/>
      <x:c r="AO145" s="315" t="n">
        <x:f>COUNT(AB145,AD145,AF145,AH145,AJ145)</x:f>
        <x:v>0</x:v>
      </x:c>
      <x:c r="AP145" s="315" t="n">
        <x:f>SUM(AB145,AD145,AF145,AH145,AJ145)</x:f>
        <x:v>0</x:v>
      </x:c>
      <x:c r="AQ145" s="333" t="n">
        <x:f>AA145*AB145+AC145*AD145+AE145*AF145+AG145*AH145+AI145*AJ145</x:f>
        <x:v>0</x:v>
      </x:c>
      <x:c r="AR145" s="333" t="n">
        <x:f>IF(OR(J145="Strength",J145="Hypertrophy"),MAX(IF(AB145&gt;0,AA145*(1+AB145/30),0),IF(AD145&gt;0,AC145*(1+AD145/30),0),IF(AF145&gt;0,AE145*(1+AF145/30),0),IF(AH145&gt;0,AG145*(1+AH145/30),0),IF(AJ145&gt;0,AI145*(1+AJ145/30),0)),0)</x:f>
        <x:v>0</x:v>
      </x:c>
      <x:c r="AS145" s="315" t="str">
        <x:f>IF(AN145&lt;&gt;"Yes","Not logged",IF(AL145&gt;='Setup'!$B$14,"STOP / MODIFY",IF(Z145=0,"Complete",IF(OR(AO145=0,AK145=""),"Add set data + RIR",IF(AND(MAX(AB145,AD145,AF145,AH145,AJ145)&gt;=P145,AK145&gt;=Q145+1),"Progress",IF(OR(MAX(AB145,AD145,AF145,AH145,AJ145)&lt;O145,AK145&lt;Q145-1),"Regress","Hold"))))))</x:f>
        <x:v>Not logged</x:v>
      </x:c>
      <x:c r="AT145" s="335" t="n">
        <x:f>IF(OR(Z145=0,AN145&lt;&gt;"Yes",AO145=0,AK145=""),0,IF(AL145&gt;='Setup'!$B$14,-2*'Setup'!$B$11,IF(AND(MAX(AB145,AD145,AF145,AH145,AJ145)&gt;=P145,AK145&gt;=Q145+1),'Setup'!$B$10,IF(OR(MAX(AB145,AD145,AF145,AH145,AJ145)&lt;O145,AK145&lt;Q145-1),-'Setup'!$B$11,0))))</x:f>
        <x:v>0</x:v>
      </x:c>
      <x:c r="AU145" s="333" t="n">
        <x:f>IF(Z145=0,0,IF(AN145&lt;&gt;"Yes",Z145,IF(COUNT(AA145,AC145,AE145,AG145,AI145)=0,Z145,ROUND((MAX(AA145,AC145,AE145,AG145,AI145)*(1+AT145))/'Setup'!$B$9,0)*'Setup'!$B$9)))</x:f>
        <x:v>0</x:v>
      </x:c>
      <x:c r="AV145" s="336"/>
    </x:row>
    <x:row r="146">
      <x:c r="A146" s="310" t="n">
        <x:f>'Setup'!$B$3+(C146-1)*7+(D146-1)</x:f>
        <x:v>46260</x:v>
      </x:c>
      <x:c r="B146" s="311" t="str">
        <x:v>3|3|6</x:v>
      </x:c>
      <x:c r="C146" s="311" t="n">
        <x:v>3</x:v>
      </x:c>
      <x:c r="D146" s="311" t="n">
        <x:v>3</x:v>
      </x:c>
      <x:c r="E146" s="311" t="str">
        <x:v>Accumulation</x:v>
      </x:c>
      <x:c r="F146" s="311" t="str">
        <x:v>Push A</x:v>
      </x:c>
      <x:c r="G146" s="311" t="str">
        <x:v>Chest strength + shoulder hypertrophy</x:v>
      </x:c>
      <x:c r="H146" s="311" t="n">
        <x:v>6</x:v>
      </x:c>
      <x:c r="I146" s="311" t="str">
        <x:v>Cable Lateral Raise</x:v>
      </x:c>
      <x:c r="J146" s="311" t="str">
        <x:v>Hypertrophy</x:v>
      </x:c>
      <x:c r="K146" s="311" t="str">
        <x:v>Shoulders</x:v>
      </x:c>
      <x:c r="L146" s="311" t="str">
        <x:v>Superset</x:v>
      </x:c>
      <x:c r="M146" s="311" t="str">
        <x:v>A2</x:v>
      </x:c>
      <x:c r="N146" s="311" t="n">
        <x:v>3</x:v>
      </x:c>
      <x:c r="O146" s="311" t="n">
        <x:v>12</x:v>
      </x:c>
      <x:c r="P146" s="311" t="n">
        <x:v>20</x:v>
      </x:c>
      <x:c r="Q146" s="311" t="n">
        <x:v>1</x:v>
      </x:c>
      <x:c r="R146" s="311" t="n">
        <x:v>30</x:v>
      </x:c>
      <x:c r="S146" s="311" t="str">
        <x:v>2-1-2</x:v>
      </x:c>
      <x:c r="T146" s="330" t="n">
        <x:v>1</x:v>
      </x:c>
      <x:c r="U146" s="330" t="n">
        <x:v>0</x:v>
      </x:c>
      <x:c r="V146" s="331" t="str">
        <x:v>load × reps</x:v>
      </x:c>
      <x:c r="W146" s="332" t="str">
        <x:f>'Readiness'!K21</x:f>
      </x:c>
      <x:c r="X146" s="314" t="n">
        <x:f>'Readiness'!L21</x:f>
        <x:v>1</x:v>
      </x:c>
      <x:c r="Y146" s="315" t="n">
        <x:f>IF(J146="Mobility",N146,MAX(1,ROUND(N146*X146,0)))</x:f>
        <x:v>3</x:v>
      </x:c>
      <x:c r="Z146" s="333" t="n">
        <x:f>ROUND((IF(AU90&gt;0,AU90,IF(Z90&gt;0,Z90,'Setup'!$D$33))*T146)/'Setup'!$B$9,0)*'Setup'!$B$9</x:f>
        <x:v>0</x:v>
      </x:c>
      <x:c r="AA146" s="334"/>
      <x:c r="AB146" s="334"/>
      <x:c r="AC146" s="334"/>
      <x:c r="AD146" s="334"/>
      <x:c r="AE146" s="334"/>
      <x:c r="AF146" s="334"/>
      <x:c r="AG146" s="334"/>
      <x:c r="AH146" s="334"/>
      <x:c r="AI146" s="334"/>
      <x:c r="AJ146" s="312"/>
      <x:c r="AK146" s="312"/>
      <x:c r="AL146" s="312"/>
      <x:c r="AM146" s="312"/>
      <x:c r="AN146" s="312"/>
      <x:c r="AO146" s="315" t="n">
        <x:f>COUNT(AB146,AD146,AF146,AH146,AJ146)</x:f>
        <x:v>0</x:v>
      </x:c>
      <x:c r="AP146" s="315" t="n">
        <x:f>SUM(AB146,AD146,AF146,AH146,AJ146)</x:f>
        <x:v>0</x:v>
      </x:c>
      <x:c r="AQ146" s="333" t="n">
        <x:f>AA146*AB146+AC146*AD146+AE146*AF146+AG146*AH146+AI146*AJ146</x:f>
        <x:v>0</x:v>
      </x:c>
      <x:c r="AR146" s="333" t="n">
        <x:f>IF(OR(J146="Strength",J146="Hypertrophy"),MAX(IF(AB146&gt;0,AA146*(1+AB146/30),0),IF(AD146&gt;0,AC146*(1+AD146/30),0),IF(AF146&gt;0,AE146*(1+AF146/30),0),IF(AH146&gt;0,AG146*(1+AH146/30),0),IF(AJ146&gt;0,AI146*(1+AJ146/30),0)),0)</x:f>
        <x:v>0</x:v>
      </x:c>
      <x:c r="AS146" s="315" t="str">
        <x:f>IF(AN146&lt;&gt;"Yes","Not logged",IF(AL146&gt;='Setup'!$B$14,"STOP / MODIFY",IF(Z146=0,"Complete",IF(OR(AO146=0,AK146=""),"Add set data + RIR",IF(AND(MAX(AB146,AD146,AF146,AH146,AJ146)&gt;=P146,AK146&gt;=Q146+1),"Progress",IF(OR(MAX(AB146,AD146,AF146,AH146,AJ146)&lt;O146,AK146&lt;Q146-1),"Regress","Hold"))))))</x:f>
        <x:v>Not logged</x:v>
      </x:c>
      <x:c r="AT146" s="335" t="n">
        <x:f>IF(OR(Z146=0,AN146&lt;&gt;"Yes",AO146=0,AK146=""),0,IF(AL146&gt;='Setup'!$B$14,-2*'Setup'!$B$11,IF(AND(MAX(AB146,AD146,AF146,AH146,AJ146)&gt;=P146,AK146&gt;=Q146+1),'Setup'!$B$10,IF(OR(MAX(AB146,AD146,AF146,AH146,AJ146)&lt;O146,AK146&lt;Q146-1),-'Setup'!$B$11,0))))</x:f>
        <x:v>0</x:v>
      </x:c>
      <x:c r="AU146" s="333" t="n">
        <x:f>IF(Z146=0,0,IF(AN146&lt;&gt;"Yes",Z146,IF(COUNT(AA146,AC146,AE146,AG146,AI146)=0,Z146,ROUND((MAX(AA146,AC146,AE146,AG146,AI146)*(1+AT146))/'Setup'!$B$9,0)*'Setup'!$B$9)))</x:f>
        <x:v>0</x:v>
      </x:c>
      <x:c r="AV146" s="336"/>
    </x:row>
    <x:row r="147">
      <x:c r="A147" s="310" t="n">
        <x:f>'Setup'!$B$3+(C147-1)*7+(D147-1)</x:f>
        <x:v>46260</x:v>
      </x:c>
      <x:c r="B147" s="311" t="str">
        <x:v>3|3|7</x:v>
      </x:c>
      <x:c r="C147" s="311" t="n">
        <x:v>3</x:v>
      </x:c>
      <x:c r="D147" s="311" t="n">
        <x:v>3</x:v>
      </x:c>
      <x:c r="E147" s="311" t="str">
        <x:v>Accumulation</x:v>
      </x:c>
      <x:c r="F147" s="311" t="str">
        <x:v>Push A</x:v>
      </x:c>
      <x:c r="G147" s="311" t="str">
        <x:v>Chest strength + shoulder hypertrophy</x:v>
      </x:c>
      <x:c r="H147" s="311" t="n">
        <x:v>7</x:v>
      </x:c>
      <x:c r="I147" s="311" t="str">
        <x:v>Triceps Pressdown</x:v>
      </x:c>
      <x:c r="J147" s="311" t="str">
        <x:v>Hypertrophy</x:v>
      </x:c>
      <x:c r="K147" s="311" t="str">
        <x:v>Triceps</x:v>
      </x:c>
      <x:c r="L147" s="311" t="str">
        <x:v>Final-set drop, reduce 20–25% once</x:v>
      </x:c>
      <x:c r="M147" s="311"/>
      <x:c r="N147" s="311" t="n">
        <x:v>3</x:v>
      </x:c>
      <x:c r="O147" s="311" t="n">
        <x:v>10</x:v>
      </x:c>
      <x:c r="P147" s="311" t="n">
        <x:v>15</x:v>
      </x:c>
      <x:c r="Q147" s="311" t="n">
        <x:v>1</x:v>
      </x:c>
      <x:c r="R147" s="311" t="n">
        <x:v>60</x:v>
      </x:c>
      <x:c r="S147" s="311" t="str">
        <x:v>2-1-1</x:v>
      </x:c>
      <x:c r="T147" s="330" t="n">
        <x:v>1</x:v>
      </x:c>
      <x:c r="U147" s="330" t="n">
        <x:v>0</x:v>
      </x:c>
      <x:c r="V147" s="331" t="str">
        <x:v>load × reps</x:v>
      </x:c>
      <x:c r="W147" s="332" t="str">
        <x:f>'Readiness'!K21</x:f>
      </x:c>
      <x:c r="X147" s="314" t="n">
        <x:f>'Readiness'!L21</x:f>
        <x:v>1</x:v>
      </x:c>
      <x:c r="Y147" s="315" t="n">
        <x:f>IF(J147="Mobility",N147,MAX(1,ROUND(N147*X147,0)))</x:f>
        <x:v>3</x:v>
      </x:c>
      <x:c r="Z147" s="333" t="n">
        <x:f>ROUND((IF(AU91&gt;0,AU91,IF(Z91&gt;0,Z91,'Setup'!$D$92))*T147)/'Setup'!$B$9,0)*'Setup'!$B$9</x:f>
        <x:v>0</x:v>
      </x:c>
      <x:c r="AA147" s="334"/>
      <x:c r="AB147" s="334"/>
      <x:c r="AC147" s="334"/>
      <x:c r="AD147" s="334"/>
      <x:c r="AE147" s="334"/>
      <x:c r="AF147" s="334"/>
      <x:c r="AG147" s="334"/>
      <x:c r="AH147" s="334"/>
      <x:c r="AI147" s="334"/>
      <x:c r="AJ147" s="312"/>
      <x:c r="AK147" s="312"/>
      <x:c r="AL147" s="312"/>
      <x:c r="AM147" s="312"/>
      <x:c r="AN147" s="312"/>
      <x:c r="AO147" s="315" t="n">
        <x:f>COUNT(AB147,AD147,AF147,AH147,AJ147)</x:f>
        <x:v>0</x:v>
      </x:c>
      <x:c r="AP147" s="315" t="n">
        <x:f>SUM(AB147,AD147,AF147,AH147,AJ147)</x:f>
        <x:v>0</x:v>
      </x:c>
      <x:c r="AQ147" s="333" t="n">
        <x:f>AA147*AB147+AC147*AD147+AE147*AF147+AG147*AH147+AI147*AJ147</x:f>
        <x:v>0</x:v>
      </x:c>
      <x:c r="AR147" s="333" t="n">
        <x:f>IF(OR(J147="Strength",J147="Hypertrophy"),MAX(IF(AB147&gt;0,AA147*(1+AB147/30),0),IF(AD147&gt;0,AC147*(1+AD147/30),0),IF(AF147&gt;0,AE147*(1+AF147/30),0),IF(AH147&gt;0,AG147*(1+AH147/30),0),IF(AJ147&gt;0,AI147*(1+AJ147/30),0)),0)</x:f>
        <x:v>0</x:v>
      </x:c>
      <x:c r="AS147" s="315" t="str">
        <x:f>IF(AN147&lt;&gt;"Yes","Not logged",IF(AL147&gt;='Setup'!$B$14,"STOP / MODIFY",IF(Z147=0,"Complete",IF(OR(AO147=0,AK147=""),"Add set data + RIR",IF(AND(MAX(AB147,AD147,AF147,AH147,AJ147)&gt;=P147,AK147&gt;=Q147+1),"Progress",IF(OR(MAX(AB147,AD147,AF147,AH147,AJ147)&lt;O147,AK147&lt;Q147-1),"Regress","Hold"))))))</x:f>
        <x:v>Not logged</x:v>
      </x:c>
      <x:c r="AT147" s="335" t="n">
        <x:f>IF(OR(Z147=0,AN147&lt;&gt;"Yes",AO147=0,AK147=""),0,IF(AL147&gt;='Setup'!$B$14,-2*'Setup'!$B$11,IF(AND(MAX(AB147,AD147,AF147,AH147,AJ147)&gt;=P147,AK147&gt;=Q147+1),'Setup'!$B$10,IF(OR(MAX(AB147,AD147,AF147,AH147,AJ147)&lt;O147,AK147&lt;Q147-1),-'Setup'!$B$11,0))))</x:f>
        <x:v>0</x:v>
      </x:c>
      <x:c r="AU147" s="333" t="n">
        <x:f>IF(Z147=0,0,IF(AN147&lt;&gt;"Yes",Z147,IF(COUNT(AA147,AC147,AE147,AG147,AI147)=0,Z147,ROUND((MAX(AA147,AC147,AE147,AG147,AI147)*(1+AT147))/'Setup'!$B$9,0)*'Setup'!$B$9)))</x:f>
        <x:v>0</x:v>
      </x:c>
      <x:c r="AV147" s="336"/>
    </x:row>
    <x:row r="148">
      <x:c r="A148" s="310" t="n">
        <x:f>'Setup'!$B$3+(C148-1)*7+(D148-1)</x:f>
        <x:v>46260</x:v>
      </x:c>
      <x:c r="B148" s="311" t="str">
        <x:v>3|3|8</x:v>
      </x:c>
      <x:c r="C148" s="311" t="n">
        <x:v>3</x:v>
      </x:c>
      <x:c r="D148" s="311" t="n">
        <x:v>3</x:v>
      </x:c>
      <x:c r="E148" s="311" t="str">
        <x:v>Accumulation</x:v>
      </x:c>
      <x:c r="F148" s="311" t="str">
        <x:v>Push A</x:v>
      </x:c>
      <x:c r="G148" s="311" t="str">
        <x:v>Chest strength + shoulder hypertrophy</x:v>
      </x:c>
      <x:c r="H148" s="311" t="n">
        <x:v>8</x:v>
      </x:c>
      <x:c r="I148" s="311" t="str">
        <x:v>Serratus Wall Slide</x:v>
      </x:c>
      <x:c r="J148" s="311" t="str">
        <x:v>Mobility</x:v>
      </x:c>
      <x:c r="K148" s="311" t="str">
        <x:v>Shoulders</x:v>
      </x:c>
      <x:c r="L148" s="311" t="str">
        <x:v>Controlled mobility</x:v>
      </x:c>
      <x:c r="M148" s="311"/>
      <x:c r="N148" s="311" t="n">
        <x:v>2</x:v>
      </x:c>
      <x:c r="O148" s="311" t="n">
        <x:v>8</x:v>
      </x:c>
      <x:c r="P148" s="311" t="n">
        <x:v>10</x:v>
      </x:c>
      <x:c r="Q148" s="311"/>
      <x:c r="R148" s="311" t="n">
        <x:v>30</x:v>
      </x:c>
      <x:c r="S148" s="311" t="str">
        <x:v>Slow</x:v>
      </x:c>
      <x:c r="T148" s="330" t="n">
        <x:v>1</x:v>
      </x:c>
      <x:c r="U148" s="330" t="n">
        <x:v>0</x:v>
      </x:c>
      <x:c r="V148" s="331" t="str">
        <x:v>reps</x:v>
      </x:c>
      <x:c r="W148" s="332" t="str">
        <x:f>'Readiness'!K21</x:f>
      </x:c>
      <x:c r="X148" s="314" t="n">
        <x:f>'Readiness'!L21</x:f>
        <x:v>1</x:v>
      </x:c>
      <x:c r="Y148" s="315" t="n">
        <x:f>IF(J148="Mobility",N148,MAX(1,ROUND(N148*X148,0)))</x:f>
        <x:v>2</x:v>
      </x:c>
      <x:c r="Z148" s="333" t="n">
        <x:f>0</x:f>
        <x:v>0</x:v>
      </x:c>
      <x:c r="AA148" s="334"/>
      <x:c r="AB148" s="334"/>
      <x:c r="AC148" s="334"/>
      <x:c r="AD148" s="334"/>
      <x:c r="AE148" s="334"/>
      <x:c r="AF148" s="334"/>
      <x:c r="AG148" s="334"/>
      <x:c r="AH148" s="334"/>
      <x:c r="AI148" s="334"/>
      <x:c r="AJ148" s="312"/>
      <x:c r="AK148" s="312"/>
      <x:c r="AL148" s="312"/>
      <x:c r="AM148" s="312"/>
      <x:c r="AN148" s="312"/>
      <x:c r="AO148" s="315" t="n">
        <x:f>COUNT(AB148,AD148,AF148,AH148,AJ148)</x:f>
        <x:v>0</x:v>
      </x:c>
      <x:c r="AP148" s="315" t="n">
        <x:f>SUM(AB148,AD148,AF148,AH148,AJ148)</x:f>
        <x:v>0</x:v>
      </x:c>
      <x:c r="AQ148" s="333" t="n">
        <x:f>AA148*AB148+AC148*AD148+AE148*AF148+AG148*AH148+AI148*AJ148</x:f>
        <x:v>0</x:v>
      </x:c>
      <x:c r="AR148" s="333" t="n">
        <x:f>IF(OR(J148="Strength",J148="Hypertrophy"),MAX(IF(AB148&gt;0,AA148*(1+AB148/30),0),IF(AD148&gt;0,AC148*(1+AD148/30),0),IF(AF148&gt;0,AE148*(1+AF148/30),0),IF(AH148&gt;0,AG148*(1+AH148/30),0),IF(AJ148&gt;0,AI148*(1+AJ148/30),0)),0)</x:f>
        <x:v>0</x:v>
      </x:c>
      <x:c r="AS148" s="315" t="str">
        <x:f>IF(AN148&lt;&gt;"Yes","Not logged",IF(AL148&gt;='Setup'!$B$14,"STOP / MODIFY",IF(Z148=0,"Complete",IF(OR(AO148=0,AK148=""),"Add set data + RIR",IF(AND(MAX(AB148,AD148,AF148,AH148,AJ148)&gt;=P148,AK148&gt;=Q148+1),"Progress",IF(OR(MAX(AB148,AD148,AF148,AH148,AJ148)&lt;O148,AK148&lt;Q148-1),"Regress","Hold"))))))</x:f>
        <x:v>Not logged</x:v>
      </x:c>
      <x:c r="AT148" s="335" t="n">
        <x:f>IF(OR(Z148=0,AN148&lt;&gt;"Yes",AO148=0,AK148=""),0,IF(AL148&gt;='Setup'!$B$14,-2*'Setup'!$B$11,IF(AND(MAX(AB148,AD148,AF148,AH148,AJ148)&gt;=P148,AK148&gt;=Q148+1),'Setup'!$B$10,IF(OR(MAX(AB148,AD148,AF148,AH148,AJ148)&lt;O148,AK148&lt;Q148-1),-'Setup'!$B$11,0))))</x:f>
        <x:v>0</x:v>
      </x:c>
      <x:c r="AU148" s="333" t="n">
        <x:f>IF(Z148=0,0,IF(AN148&lt;&gt;"Yes",Z148,IF(COUNT(AA148,AC148,AE148,AG148,AI148)=0,Z148,ROUND((MAX(AA148,AC148,AE148,AG148,AI148)*(1+AT148))/'Setup'!$B$9,0)*'Setup'!$B$9)))</x:f>
        <x:v>0</x:v>
      </x:c>
      <x:c r="AV148" s="336"/>
    </x:row>
    <x:row r="149">
      <x:c r="A149" s="310" t="n">
        <x:f>'Setup'!$B$3+(C149-1)*7+(D149-1)</x:f>
        <x:v>46260</x:v>
      </x:c>
      <x:c r="B149" s="311" t="str">
        <x:v>3|3|9</x:v>
      </x:c>
      <x:c r="C149" s="311" t="n">
        <x:v>3</x:v>
      </x:c>
      <x:c r="D149" s="311" t="n">
        <x:v>3</x:v>
      </x:c>
      <x:c r="E149" s="311" t="str">
        <x:v>Accumulation</x:v>
      </x:c>
      <x:c r="F149" s="311" t="str">
        <x:v>Push A</x:v>
      </x:c>
      <x:c r="G149" s="311" t="str">
        <x:v>Chest strength + shoulder hypertrophy</x:v>
      </x:c>
      <x:c r="H149" s="311" t="n">
        <x:v>9</x:v>
      </x:c>
      <x:c r="I149" s="311" t="str">
        <x:v>Doorway Pec Stretch</x:v>
      </x:c>
      <x:c r="J149" s="311" t="str">
        <x:v>Mobility</x:v>
      </x:c>
      <x:c r="K149" s="311" t="str">
        <x:v>Chest</x:v>
      </x:c>
      <x:c r="L149" s="311" t="str">
        <x:v>Relaxed breathing</x:v>
      </x:c>
      <x:c r="M149" s="311"/>
      <x:c r="N149" s="311" t="n">
        <x:v>2</x:v>
      </x:c>
      <x:c r="O149" s="311" t="n">
        <x:v>30</x:v>
      </x:c>
      <x:c r="P149" s="311" t="n">
        <x:v>45</x:v>
      </x:c>
      <x:c r="Q149" s="311"/>
      <x:c r="R149" s="311" t="n">
        <x:v>20</x:v>
      </x:c>
      <x:c r="S149" s="311" t="str">
        <x:v>Hold</x:v>
      </x:c>
      <x:c r="T149" s="330" t="n">
        <x:v>1</x:v>
      </x:c>
      <x:c r="U149" s="330" t="n">
        <x:v>0</x:v>
      </x:c>
      <x:c r="V149" s="331" t="str">
        <x:v>seconds</x:v>
      </x:c>
      <x:c r="W149" s="332" t="str">
        <x:f>'Readiness'!K21</x:f>
      </x:c>
      <x:c r="X149" s="314" t="n">
        <x:f>'Readiness'!L21</x:f>
        <x:v>1</x:v>
      </x:c>
      <x:c r="Y149" s="315" t="n">
        <x:f>IF(J149="Mobility",N149,MAX(1,ROUND(N149*X149,0)))</x:f>
        <x:v>2</x:v>
      </x:c>
      <x:c r="Z149" s="333" t="n">
        <x:f>0</x:f>
        <x:v>0</x:v>
      </x:c>
      <x:c r="AA149" s="334"/>
      <x:c r="AB149" s="334"/>
      <x:c r="AC149" s="334"/>
      <x:c r="AD149" s="334"/>
      <x:c r="AE149" s="334"/>
      <x:c r="AF149" s="334"/>
      <x:c r="AG149" s="334"/>
      <x:c r="AH149" s="334"/>
      <x:c r="AI149" s="334"/>
      <x:c r="AJ149" s="312"/>
      <x:c r="AK149" s="312"/>
      <x:c r="AL149" s="312"/>
      <x:c r="AM149" s="312"/>
      <x:c r="AN149" s="312"/>
      <x:c r="AO149" s="315" t="n">
        <x:f>COUNT(AB149,AD149,AF149,AH149,AJ149)</x:f>
        <x:v>0</x:v>
      </x:c>
      <x:c r="AP149" s="315" t="n">
        <x:f>SUM(AB149,AD149,AF149,AH149,AJ149)</x:f>
        <x:v>0</x:v>
      </x:c>
      <x:c r="AQ149" s="333" t="n">
        <x:f>AA149*AB149+AC149*AD149+AE149*AF149+AG149*AH149+AI149*AJ149</x:f>
        <x:v>0</x:v>
      </x:c>
      <x:c r="AR149" s="333" t="n">
        <x:f>IF(OR(J149="Strength",J149="Hypertrophy"),MAX(IF(AB149&gt;0,AA149*(1+AB149/30),0),IF(AD149&gt;0,AC149*(1+AD149/30),0),IF(AF149&gt;0,AE149*(1+AF149/30),0),IF(AH149&gt;0,AG149*(1+AH149/30),0),IF(AJ149&gt;0,AI149*(1+AJ149/30),0)),0)</x:f>
        <x:v>0</x:v>
      </x:c>
      <x:c r="AS149" s="315" t="str">
        <x:f>IF(AN149&lt;&gt;"Yes","Not logged",IF(AL149&gt;='Setup'!$B$14,"STOP / MODIFY",IF(Z149=0,"Complete",IF(OR(AO149=0,AK149=""),"Add set data + RIR",IF(AND(MAX(AB149,AD149,AF149,AH149,AJ149)&gt;=P149,AK149&gt;=Q149+1),"Progress",IF(OR(MAX(AB149,AD149,AF149,AH149,AJ149)&lt;O149,AK149&lt;Q149-1),"Regress","Hold"))))))</x:f>
        <x:v>Not logged</x:v>
      </x:c>
      <x:c r="AT149" s="335" t="n">
        <x:f>IF(OR(Z149=0,AN149&lt;&gt;"Yes",AO149=0,AK149=""),0,IF(AL149&gt;='Setup'!$B$14,-2*'Setup'!$B$11,IF(AND(MAX(AB149,AD149,AF149,AH149,AJ149)&gt;=P149,AK149&gt;=Q149+1),'Setup'!$B$10,IF(OR(MAX(AB149,AD149,AF149,AH149,AJ149)&lt;O149,AK149&lt;Q149-1),-'Setup'!$B$11,0))))</x:f>
        <x:v>0</x:v>
      </x:c>
      <x:c r="AU149" s="333" t="n">
        <x:f>IF(Z149=0,0,IF(AN149&lt;&gt;"Yes",Z149,IF(COUNT(AA149,AC149,AE149,AG149,AI149)=0,Z149,ROUND((MAX(AA149,AC149,AE149,AG149,AI149)*(1+AT149))/'Setup'!$B$9,0)*'Setup'!$B$9)))</x:f>
        <x:v>0</x:v>
      </x:c>
      <x:c r="AV149" s="336"/>
    </x:row>
    <x:row r="150">
      <x:c r="A150" s="310" t="n">
        <x:f>'Setup'!$B$3+(C150-1)*7+(D150-1)</x:f>
        <x:v>46261</x:v>
      </x:c>
      <x:c r="B150" s="311" t="str">
        <x:v>3|4|1</x:v>
      </x:c>
      <x:c r="C150" s="311" t="n">
        <x:v>3</x:v>
      </x:c>
      <x:c r="D150" s="311" t="n">
        <x:v>4</x:v>
      </x:c>
      <x:c r="E150" s="311" t="str">
        <x:v>Accumulation</x:v>
      </x:c>
      <x:c r="F150" s="311" t="str">
        <x:v>Pull B</x:v>
      </x:c>
      <x:c r="G150" s="311" t="str">
        <x:v>Back width + arm volume</x:v>
      </x:c>
      <x:c r="H150" s="311" t="n">
        <x:v>1</x:v>
      </x:c>
      <x:c r="I150" s="311" t="str">
        <x:v>Medicine Ball Slam</x:v>
      </x:c>
      <x:c r="J150" s="311" t="str">
        <x:v>Power</x:v>
      </x:c>
      <x:c r="K150" s="311" t="str">
        <x:v>Back</x:v>
      </x:c>
      <x:c r="L150" s="311" t="str">
        <x:v>Max intent, full reset</x:v>
      </x:c>
      <x:c r="M150" s="311"/>
      <x:c r="N150" s="311" t="n">
        <x:v>4</x:v>
      </x:c>
      <x:c r="O150" s="311" t="n">
        <x:v>4</x:v>
      </x:c>
      <x:c r="P150" s="311" t="n">
        <x:v>4</x:v>
      </x:c>
      <x:c r="Q150" s="311" t="n">
        <x:v>2</x:v>
      </x:c>
      <x:c r="R150" s="311" t="n">
        <x:v>60</x:v>
      </x:c>
      <x:c r="S150" s="311" t="str">
        <x:v>Explosive</x:v>
      </x:c>
      <x:c r="T150" s="330" t="n">
        <x:v>1</x:v>
      </x:c>
      <x:c r="U150" s="330" t="n">
        <x:v>0</x:v>
      </x:c>
      <x:c r="V150" s="331" t="str">
        <x:v>throw quality</x:v>
      </x:c>
      <x:c r="W150" s="332" t="str">
        <x:f>'Readiness'!K22</x:f>
      </x:c>
      <x:c r="X150" s="314" t="n">
        <x:f>'Readiness'!L22</x:f>
        <x:v>1</x:v>
      </x:c>
      <x:c r="Y150" s="315" t="n">
        <x:f>IF(J150="Mobility",N150,MAX(1,ROUND(N150*X150,0)))</x:f>
        <x:v>4</x:v>
      </x:c>
      <x:c r="Z150" s="333" t="n">
        <x:f>0</x:f>
        <x:v>0</x:v>
      </x:c>
      <x:c r="AA150" s="334"/>
      <x:c r="AB150" s="334"/>
      <x:c r="AC150" s="334"/>
      <x:c r="AD150" s="334"/>
      <x:c r="AE150" s="334"/>
      <x:c r="AF150" s="334"/>
      <x:c r="AG150" s="334"/>
      <x:c r="AH150" s="334"/>
      <x:c r="AI150" s="334"/>
      <x:c r="AJ150" s="312"/>
      <x:c r="AK150" s="312"/>
      <x:c r="AL150" s="312"/>
      <x:c r="AM150" s="312"/>
      <x:c r="AN150" s="312"/>
      <x:c r="AO150" s="315" t="n">
        <x:f>COUNT(AB150,AD150,AF150,AH150,AJ150)</x:f>
        <x:v>0</x:v>
      </x:c>
      <x:c r="AP150" s="315" t="n">
        <x:f>SUM(AB150,AD150,AF150,AH150,AJ150)</x:f>
        <x:v>0</x:v>
      </x:c>
      <x:c r="AQ150" s="333" t="n">
        <x:f>AA150*AB150+AC150*AD150+AE150*AF150+AG150*AH150+AI150*AJ150</x:f>
        <x:v>0</x:v>
      </x:c>
      <x:c r="AR150" s="333" t="n">
        <x:f>IF(OR(J150="Strength",J150="Hypertrophy"),MAX(IF(AB150&gt;0,AA150*(1+AB150/30),0),IF(AD150&gt;0,AC150*(1+AD150/30),0),IF(AF150&gt;0,AE150*(1+AF150/30),0),IF(AH150&gt;0,AG150*(1+AH150/30),0),IF(AJ150&gt;0,AI150*(1+AJ150/30),0)),0)</x:f>
        <x:v>0</x:v>
      </x:c>
      <x:c r="AS150" s="315" t="str">
        <x:f>IF(AN150&lt;&gt;"Yes","Not logged",IF(AL150&gt;='Setup'!$B$14,"STOP / MODIFY",IF(Z150=0,"Complete",IF(OR(AO150=0,AK150=""),"Add set data + RIR",IF(AND(MAX(AB150,AD150,AF150,AH150,AJ150)&gt;=P150,AK150&gt;=Q150+1),"Progress",IF(OR(MAX(AB150,AD150,AF150,AH150,AJ150)&lt;O150,AK150&lt;Q150-1),"Regress","Hold"))))))</x:f>
        <x:v>Not logged</x:v>
      </x:c>
      <x:c r="AT150" s="335" t="n">
        <x:f>IF(OR(Z150=0,AN150&lt;&gt;"Yes",AO150=0,AK150=""),0,IF(AL150&gt;='Setup'!$B$14,-2*'Setup'!$B$11,IF(AND(MAX(AB150,AD150,AF150,AH150,AJ150)&gt;=P150,AK150&gt;=Q150+1),'Setup'!$B$10,IF(OR(MAX(AB150,AD150,AF150,AH150,AJ150)&lt;O150,AK150&lt;Q150-1),-'Setup'!$B$11,0))))</x:f>
        <x:v>0</x:v>
      </x:c>
      <x:c r="AU150" s="333" t="n">
        <x:f>IF(Z150=0,0,IF(AN150&lt;&gt;"Yes",Z150,IF(COUNT(AA150,AC150,AE150,AG150,AI150)=0,Z150,ROUND((MAX(AA150,AC150,AE150,AG150,AI150)*(1+AT150))/'Setup'!$B$9,0)*'Setup'!$B$9)))</x:f>
        <x:v>0</x:v>
      </x:c>
      <x:c r="AV150" s="336"/>
    </x:row>
    <x:row r="151">
      <x:c r="A151" s="310" t="n">
        <x:f>'Setup'!$B$3+(C151-1)*7+(D151-1)</x:f>
        <x:v>46261</x:v>
      </x:c>
      <x:c r="B151" s="311" t="str">
        <x:v>3|4|2</x:v>
      </x:c>
      <x:c r="C151" s="311" t="n">
        <x:v>3</x:v>
      </x:c>
      <x:c r="D151" s="311" t="n">
        <x:v>4</x:v>
      </x:c>
      <x:c r="E151" s="311" t="str">
        <x:v>Accumulation</x:v>
      </x:c>
      <x:c r="F151" s="311" t="str">
        <x:v>Pull B</x:v>
      </x:c>
      <x:c r="G151" s="311" t="str">
        <x:v>Back width + arm volume</x:v>
      </x:c>
      <x:c r="H151" s="311" t="n">
        <x:v>2</x:v>
      </x:c>
      <x:c r="I151" s="311" t="str">
        <x:v>Neutral-Grip Lat Pulldown</x:v>
      </x:c>
      <x:c r="J151" s="311" t="str">
        <x:v>Hypertrophy</x:v>
      </x:c>
      <x:c r="K151" s="311" t="str">
        <x:v>Back</x:v>
      </x:c>
      <x:c r="L151" s="311" t="str">
        <x:v>Straight sets</x:v>
      </x:c>
      <x:c r="M151" s="311"/>
      <x:c r="N151" s="311" t="n">
        <x:v>4</x:v>
      </x:c>
      <x:c r="O151" s="311" t="n">
        <x:v>8</x:v>
      </x:c>
      <x:c r="P151" s="311" t="n">
        <x:v>10</x:v>
      </x:c>
      <x:c r="Q151" s="311" t="n">
        <x:v>1</x:v>
      </x:c>
      <x:c r="R151" s="311" t="n">
        <x:v>90</x:v>
      </x:c>
      <x:c r="S151" s="311" t="str">
        <x:v>2-1-1</x:v>
      </x:c>
      <x:c r="T151" s="330" t="n">
        <x:v>1</x:v>
      </x:c>
      <x:c r="U151" s="330" t="n">
        <x:v>0</x:v>
      </x:c>
      <x:c r="V151" s="331" t="str">
        <x:v>load × reps</x:v>
      </x:c>
      <x:c r="W151" s="332" t="str">
        <x:f>'Readiness'!K22</x:f>
      </x:c>
      <x:c r="X151" s="314" t="n">
        <x:f>'Readiness'!L22</x:f>
        <x:v>1</x:v>
      </x:c>
      <x:c r="Y151" s="315" t="n">
        <x:f>IF(J151="Mobility",N151,MAX(1,ROUND(N151*X151,0)))</x:f>
        <x:v>4</x:v>
      </x:c>
      <x:c r="Z151" s="333" t="n">
        <x:f>ROUND((IF(AU95&gt;0,AU95,IF(Z95&gt;0,Z95,'Setup'!$D$65))*T151)/'Setup'!$B$9,0)*'Setup'!$B$9</x:f>
        <x:v>0</x:v>
      </x:c>
      <x:c r="AA151" s="334"/>
      <x:c r="AB151" s="334"/>
      <x:c r="AC151" s="334"/>
      <x:c r="AD151" s="334"/>
      <x:c r="AE151" s="334"/>
      <x:c r="AF151" s="334"/>
      <x:c r="AG151" s="334"/>
      <x:c r="AH151" s="334"/>
      <x:c r="AI151" s="334"/>
      <x:c r="AJ151" s="312"/>
      <x:c r="AK151" s="312"/>
      <x:c r="AL151" s="312"/>
      <x:c r="AM151" s="312"/>
      <x:c r="AN151" s="312"/>
      <x:c r="AO151" s="315" t="n">
        <x:f>COUNT(AB151,AD151,AF151,AH151,AJ151)</x:f>
        <x:v>0</x:v>
      </x:c>
      <x:c r="AP151" s="315" t="n">
        <x:f>SUM(AB151,AD151,AF151,AH151,AJ151)</x:f>
        <x:v>0</x:v>
      </x:c>
      <x:c r="AQ151" s="333" t="n">
        <x:f>AA151*AB151+AC151*AD151+AE151*AF151+AG151*AH151+AI151*AJ151</x:f>
        <x:v>0</x:v>
      </x:c>
      <x:c r="AR151" s="333" t="n">
        <x:f>IF(OR(J151="Strength",J151="Hypertrophy"),MAX(IF(AB151&gt;0,AA151*(1+AB151/30),0),IF(AD151&gt;0,AC151*(1+AD151/30),0),IF(AF151&gt;0,AE151*(1+AF151/30),0),IF(AH151&gt;0,AG151*(1+AH151/30),0),IF(AJ151&gt;0,AI151*(1+AJ151/30),0)),0)</x:f>
        <x:v>0</x:v>
      </x:c>
      <x:c r="AS151" s="315" t="str">
        <x:f>IF(AN151&lt;&gt;"Yes","Not logged",IF(AL151&gt;='Setup'!$B$14,"STOP / MODIFY",IF(Z151=0,"Complete",IF(OR(AO151=0,AK151=""),"Add set data + RIR",IF(AND(MAX(AB151,AD151,AF151,AH151,AJ151)&gt;=P151,AK151&gt;=Q151+1),"Progress",IF(OR(MAX(AB151,AD151,AF151,AH151,AJ151)&lt;O151,AK151&lt;Q151-1),"Regress","Hold"))))))</x:f>
        <x:v>Not logged</x:v>
      </x:c>
      <x:c r="AT151" s="335" t="n">
        <x:f>IF(OR(Z151=0,AN151&lt;&gt;"Yes",AO151=0,AK151=""),0,IF(AL151&gt;='Setup'!$B$14,-2*'Setup'!$B$11,IF(AND(MAX(AB151,AD151,AF151,AH151,AJ151)&gt;=P151,AK151&gt;=Q151+1),'Setup'!$B$10,IF(OR(MAX(AB151,AD151,AF151,AH151,AJ151)&lt;O151,AK151&lt;Q151-1),-'Setup'!$B$11,0))))</x:f>
        <x:v>0</x:v>
      </x:c>
      <x:c r="AU151" s="333" t="n">
        <x:f>IF(Z151=0,0,IF(AN151&lt;&gt;"Yes",Z151,IF(COUNT(AA151,AC151,AE151,AG151,AI151)=0,Z151,ROUND((MAX(AA151,AC151,AE151,AG151,AI151)*(1+AT151))/'Setup'!$B$9,0)*'Setup'!$B$9)))</x:f>
        <x:v>0</x:v>
      </x:c>
      <x:c r="AV151" s="336"/>
    </x:row>
    <x:row r="152">
      <x:c r="A152" s="310" t="n">
        <x:f>'Setup'!$B$3+(C152-1)*7+(D152-1)</x:f>
        <x:v>46261</x:v>
      </x:c>
      <x:c r="B152" s="311" t="str">
        <x:v>3|4|3</x:v>
      </x:c>
      <x:c r="C152" s="311" t="n">
        <x:v>3</x:v>
      </x:c>
      <x:c r="D152" s="311" t="n">
        <x:v>4</x:v>
      </x:c>
      <x:c r="E152" s="311" t="str">
        <x:v>Accumulation</x:v>
      </x:c>
      <x:c r="F152" s="311" t="str">
        <x:v>Pull B</x:v>
      </x:c>
      <x:c r="G152" s="311" t="str">
        <x:v>Back width + arm volume</x:v>
      </x:c>
      <x:c r="H152" s="311" t="n">
        <x:v>3</x:v>
      </x:c>
      <x:c r="I152" s="311" t="str">
        <x:v>One-Arm Cable Row</x:v>
      </x:c>
      <x:c r="J152" s="311" t="str">
        <x:v>Hypertrophy</x:v>
      </x:c>
      <x:c r="K152" s="311" t="str">
        <x:v>Back</x:v>
      </x:c>
      <x:c r="L152" s="311" t="str">
        <x:v>Straight sets</x:v>
      </x:c>
      <x:c r="M152" s="311"/>
      <x:c r="N152" s="311" t="n">
        <x:v>3</x:v>
      </x:c>
      <x:c r="O152" s="311" t="n">
        <x:v>10</x:v>
      </x:c>
      <x:c r="P152" s="311" t="n">
        <x:v>12</x:v>
      </x:c>
      <x:c r="Q152" s="311" t="n">
        <x:v>1</x:v>
      </x:c>
      <x:c r="R152" s="311" t="n">
        <x:v>75</x:v>
      </x:c>
      <x:c r="S152" s="311" t="str">
        <x:v>2-1-1</x:v>
      </x:c>
      <x:c r="T152" s="330" t="n">
        <x:v>1</x:v>
      </x:c>
      <x:c r="U152" s="330" t="n">
        <x:v>0</x:v>
      </x:c>
      <x:c r="V152" s="331" t="str">
        <x:v>load × reps</x:v>
      </x:c>
      <x:c r="W152" s="332" t="str">
        <x:f>'Readiness'!K22</x:f>
      </x:c>
      <x:c r="X152" s="314" t="n">
        <x:f>'Readiness'!L22</x:f>
        <x:v>1</x:v>
      </x:c>
      <x:c r="Y152" s="315" t="n">
        <x:f>IF(J152="Mobility",N152,MAX(1,ROUND(N152*X152,0)))</x:f>
        <x:v>3</x:v>
      </x:c>
      <x:c r="Z152" s="333" t="n">
        <x:f>ROUND((IF(AU96&gt;0,AU96,IF(Z96&gt;0,Z96,'Setup'!$D$67))*T152)/'Setup'!$B$9,0)*'Setup'!$B$9</x:f>
        <x:v>0</x:v>
      </x:c>
      <x:c r="AA152" s="334"/>
      <x:c r="AB152" s="334"/>
      <x:c r="AC152" s="334"/>
      <x:c r="AD152" s="334"/>
      <x:c r="AE152" s="334"/>
      <x:c r="AF152" s="334"/>
      <x:c r="AG152" s="334"/>
      <x:c r="AH152" s="334"/>
      <x:c r="AI152" s="334"/>
      <x:c r="AJ152" s="312"/>
      <x:c r="AK152" s="312"/>
      <x:c r="AL152" s="312"/>
      <x:c r="AM152" s="312"/>
      <x:c r="AN152" s="312"/>
      <x:c r="AO152" s="315" t="n">
        <x:f>COUNT(AB152,AD152,AF152,AH152,AJ152)</x:f>
        <x:v>0</x:v>
      </x:c>
      <x:c r="AP152" s="315" t="n">
        <x:f>SUM(AB152,AD152,AF152,AH152,AJ152)</x:f>
        <x:v>0</x:v>
      </x:c>
      <x:c r="AQ152" s="333" t="n">
        <x:f>AA152*AB152+AC152*AD152+AE152*AF152+AG152*AH152+AI152*AJ152</x:f>
        <x:v>0</x:v>
      </x:c>
      <x:c r="AR152" s="333" t="n">
        <x:f>IF(OR(J152="Strength",J152="Hypertrophy"),MAX(IF(AB152&gt;0,AA152*(1+AB152/30),0),IF(AD152&gt;0,AC152*(1+AD152/30),0),IF(AF152&gt;0,AE152*(1+AF152/30),0),IF(AH152&gt;0,AG152*(1+AH152/30),0),IF(AJ152&gt;0,AI152*(1+AJ152/30),0)),0)</x:f>
        <x:v>0</x:v>
      </x:c>
      <x:c r="AS152" s="315" t="str">
        <x:f>IF(AN152&lt;&gt;"Yes","Not logged",IF(AL152&gt;='Setup'!$B$14,"STOP / MODIFY",IF(Z152=0,"Complete",IF(OR(AO152=0,AK152=""),"Add set data + RIR",IF(AND(MAX(AB152,AD152,AF152,AH152,AJ152)&gt;=P152,AK152&gt;=Q152+1),"Progress",IF(OR(MAX(AB152,AD152,AF152,AH152,AJ152)&lt;O152,AK152&lt;Q152-1),"Regress","Hold"))))))</x:f>
        <x:v>Not logged</x:v>
      </x:c>
      <x:c r="AT152" s="335" t="n">
        <x:f>IF(OR(Z152=0,AN152&lt;&gt;"Yes",AO152=0,AK152=""),0,IF(AL152&gt;='Setup'!$B$14,-2*'Setup'!$B$11,IF(AND(MAX(AB152,AD152,AF152,AH152,AJ152)&gt;=P152,AK152&gt;=Q152+1),'Setup'!$B$10,IF(OR(MAX(AB152,AD152,AF152,AH152,AJ152)&lt;O152,AK152&lt;Q152-1),-'Setup'!$B$11,0))))</x:f>
        <x:v>0</x:v>
      </x:c>
      <x:c r="AU152" s="333" t="n">
        <x:f>IF(Z152=0,0,IF(AN152&lt;&gt;"Yes",Z152,IF(COUNT(AA152,AC152,AE152,AG152,AI152)=0,Z152,ROUND((MAX(AA152,AC152,AE152,AG152,AI152)*(1+AT152))/'Setup'!$B$9,0)*'Setup'!$B$9)))</x:f>
        <x:v>0</x:v>
      </x:c>
      <x:c r="AV152" s="336"/>
    </x:row>
    <x:row r="153">
      <x:c r="A153" s="310" t="n">
        <x:f>'Setup'!$B$3+(C153-1)*7+(D153-1)</x:f>
        <x:v>46261</x:v>
      </x:c>
      <x:c r="B153" s="311" t="str">
        <x:v>3|4|4</x:v>
      </x:c>
      <x:c r="C153" s="311" t="n">
        <x:v>3</x:v>
      </x:c>
      <x:c r="D153" s="311" t="n">
        <x:v>4</x:v>
      </x:c>
      <x:c r="E153" s="311" t="str">
        <x:v>Accumulation</x:v>
      </x:c>
      <x:c r="F153" s="311" t="str">
        <x:v>Pull B</x:v>
      </x:c>
      <x:c r="G153" s="311" t="str">
        <x:v>Back width + arm volume</x:v>
      </x:c>
      <x:c r="H153" s="311" t="n">
        <x:v>4</x:v>
      </x:c>
      <x:c r="I153" s="311" t="str">
        <x:v>Machine High Row</x:v>
      </x:c>
      <x:c r="J153" s="311" t="str">
        <x:v>Hypertrophy</x:v>
      </x:c>
      <x:c r="K153" s="311" t="str">
        <x:v>Back</x:v>
      </x:c>
      <x:c r="L153" s="311" t="str">
        <x:v>Straight sets</x:v>
      </x:c>
      <x:c r="M153" s="311"/>
      <x:c r="N153" s="311" t="n">
        <x:v>3</x:v>
      </x:c>
      <x:c r="O153" s="311" t="n">
        <x:v>8</x:v>
      </x:c>
      <x:c r="P153" s="311" t="n">
        <x:v>12</x:v>
      </x:c>
      <x:c r="Q153" s="311" t="n">
        <x:v>1</x:v>
      </x:c>
      <x:c r="R153" s="311" t="n">
        <x:v>90</x:v>
      </x:c>
      <x:c r="S153" s="311" t="str">
        <x:v>2-1-1</x:v>
      </x:c>
      <x:c r="T153" s="330" t="n">
        <x:v>1</x:v>
      </x:c>
      <x:c r="U153" s="330" t="n">
        <x:v>0</x:v>
      </x:c>
      <x:c r="V153" s="331" t="str">
        <x:v>load × reps</x:v>
      </x:c>
      <x:c r="W153" s="332" t="str">
        <x:f>'Readiness'!K22</x:f>
      </x:c>
      <x:c r="X153" s="314" t="n">
        <x:f>'Readiness'!L22</x:f>
        <x:v>1</x:v>
      </x:c>
      <x:c r="Y153" s="315" t="n">
        <x:f>IF(J153="Mobility",N153,MAX(1,ROUND(N153*X153,0)))</x:f>
        <x:v>3</x:v>
      </x:c>
      <x:c r="Z153" s="333" t="n">
        <x:f>ROUND((IF(AU97&gt;0,AU97,IF(Z97&gt;0,Z97,'Setup'!$D$61))*T153)/'Setup'!$B$9,0)*'Setup'!$B$9</x:f>
        <x:v>0</x:v>
      </x:c>
      <x:c r="AA153" s="334"/>
      <x:c r="AB153" s="334"/>
      <x:c r="AC153" s="334"/>
      <x:c r="AD153" s="334"/>
      <x:c r="AE153" s="334"/>
      <x:c r="AF153" s="334"/>
      <x:c r="AG153" s="334"/>
      <x:c r="AH153" s="334"/>
      <x:c r="AI153" s="334"/>
      <x:c r="AJ153" s="312"/>
      <x:c r="AK153" s="312"/>
      <x:c r="AL153" s="312"/>
      <x:c r="AM153" s="312"/>
      <x:c r="AN153" s="312"/>
      <x:c r="AO153" s="315" t="n">
        <x:f>COUNT(AB153,AD153,AF153,AH153,AJ153)</x:f>
        <x:v>0</x:v>
      </x:c>
      <x:c r="AP153" s="315" t="n">
        <x:f>SUM(AB153,AD153,AF153,AH153,AJ153)</x:f>
        <x:v>0</x:v>
      </x:c>
      <x:c r="AQ153" s="333" t="n">
        <x:f>AA153*AB153+AC153*AD153+AE153*AF153+AG153*AH153+AI153*AJ153</x:f>
        <x:v>0</x:v>
      </x:c>
      <x:c r="AR153" s="333" t="n">
        <x:f>IF(OR(J153="Strength",J153="Hypertrophy"),MAX(IF(AB153&gt;0,AA153*(1+AB153/30),0),IF(AD153&gt;0,AC153*(1+AD153/30),0),IF(AF153&gt;0,AE153*(1+AF153/30),0),IF(AH153&gt;0,AG153*(1+AH153/30),0),IF(AJ153&gt;0,AI153*(1+AJ153/30),0)),0)</x:f>
        <x:v>0</x:v>
      </x:c>
      <x:c r="AS153" s="315" t="str">
        <x:f>IF(AN153&lt;&gt;"Yes","Not logged",IF(AL153&gt;='Setup'!$B$14,"STOP / MODIFY",IF(Z153=0,"Complete",IF(OR(AO153=0,AK153=""),"Add set data + RIR",IF(AND(MAX(AB153,AD153,AF153,AH153,AJ153)&gt;=P153,AK153&gt;=Q153+1),"Progress",IF(OR(MAX(AB153,AD153,AF153,AH153,AJ153)&lt;O153,AK153&lt;Q153-1),"Regress","Hold"))))))</x:f>
        <x:v>Not logged</x:v>
      </x:c>
      <x:c r="AT153" s="335" t="n">
        <x:f>IF(OR(Z153=0,AN153&lt;&gt;"Yes",AO153=0,AK153=""),0,IF(AL153&gt;='Setup'!$B$14,-2*'Setup'!$B$11,IF(AND(MAX(AB153,AD153,AF153,AH153,AJ153)&gt;=P153,AK153&gt;=Q153+1),'Setup'!$B$10,IF(OR(MAX(AB153,AD153,AF153,AH153,AJ153)&lt;O153,AK153&lt;Q153-1),-'Setup'!$B$11,0))))</x:f>
        <x:v>0</x:v>
      </x:c>
      <x:c r="AU153" s="333" t="n">
        <x:f>IF(Z153=0,0,IF(AN153&lt;&gt;"Yes",Z153,IF(COUNT(AA153,AC153,AE153,AG153,AI153)=0,Z153,ROUND((MAX(AA153,AC153,AE153,AG153,AI153)*(1+AT153))/'Setup'!$B$9,0)*'Setup'!$B$9)))</x:f>
        <x:v>0</x:v>
      </x:c>
      <x:c r="AV153" s="336"/>
    </x:row>
    <x:row r="154">
      <x:c r="A154" s="310" t="n">
        <x:f>'Setup'!$B$3+(C154-1)*7+(D154-1)</x:f>
        <x:v>46261</x:v>
      </x:c>
      <x:c r="B154" s="311" t="str">
        <x:v>3|4|5</x:v>
      </x:c>
      <x:c r="C154" s="311" t="n">
        <x:v>3</x:v>
      </x:c>
      <x:c r="D154" s="311" t="n">
        <x:v>4</x:v>
      </x:c>
      <x:c r="E154" s="311" t="str">
        <x:v>Accumulation</x:v>
      </x:c>
      <x:c r="F154" s="311" t="str">
        <x:v>Pull B</x:v>
      </x:c>
      <x:c r="G154" s="311" t="str">
        <x:v>Back width + arm volume</x:v>
      </x:c>
      <x:c r="H154" s="311" t="n">
        <x:v>5</x:v>
      </x:c>
      <x:c r="I154" s="311" t="str">
        <x:v>Straight-Arm Pulldown</x:v>
      </x:c>
      <x:c r="J154" s="311" t="str">
        <x:v>Hypertrophy</x:v>
      </x:c>
      <x:c r="K154" s="311" t="str">
        <x:v>Back</x:v>
      </x:c>
      <x:c r="L154" s="311" t="str">
        <x:v>Straight sets</x:v>
      </x:c>
      <x:c r="M154" s="311"/>
      <x:c r="N154" s="311" t="n">
        <x:v>3</x:v>
      </x:c>
      <x:c r="O154" s="311" t="n">
        <x:v>12</x:v>
      </x:c>
      <x:c r="P154" s="311" t="n">
        <x:v>15</x:v>
      </x:c>
      <x:c r="Q154" s="311" t="n">
        <x:v>1</x:v>
      </x:c>
      <x:c r="R154" s="311" t="n">
        <x:v>60</x:v>
      </x:c>
      <x:c r="S154" s="311" t="str">
        <x:v>3-1-1</x:v>
      </x:c>
      <x:c r="T154" s="330" t="n">
        <x:v>1</x:v>
      </x:c>
      <x:c r="U154" s="330" t="n">
        <x:v>0</x:v>
      </x:c>
      <x:c r="V154" s="331" t="str">
        <x:v>load × reps</x:v>
      </x:c>
      <x:c r="W154" s="332" t="str">
        <x:f>'Readiness'!K22</x:f>
      </x:c>
      <x:c r="X154" s="314" t="n">
        <x:f>'Readiness'!L22</x:f>
        <x:v>1</x:v>
      </x:c>
      <x:c r="Y154" s="315" t="n">
        <x:f>IF(J154="Mobility",N154,MAX(1,ROUND(N154*X154,0)))</x:f>
        <x:v>3</x:v>
      </x:c>
      <x:c r="Z154" s="333" t="n">
        <x:f>ROUND((IF(AU98&gt;0,AU98,IF(Z98&gt;0,Z98,'Setup'!$D$91))*T154)/'Setup'!$B$9,0)*'Setup'!$B$9</x:f>
        <x:v>0</x:v>
      </x:c>
      <x:c r="AA154" s="334"/>
      <x:c r="AB154" s="334"/>
      <x:c r="AC154" s="334"/>
      <x:c r="AD154" s="334"/>
      <x:c r="AE154" s="334"/>
      <x:c r="AF154" s="334"/>
      <x:c r="AG154" s="334"/>
      <x:c r="AH154" s="334"/>
      <x:c r="AI154" s="334"/>
      <x:c r="AJ154" s="312"/>
      <x:c r="AK154" s="312"/>
      <x:c r="AL154" s="312"/>
      <x:c r="AM154" s="312"/>
      <x:c r="AN154" s="312"/>
      <x:c r="AO154" s="315" t="n">
        <x:f>COUNT(AB154,AD154,AF154,AH154,AJ154)</x:f>
        <x:v>0</x:v>
      </x:c>
      <x:c r="AP154" s="315" t="n">
        <x:f>SUM(AB154,AD154,AF154,AH154,AJ154)</x:f>
        <x:v>0</x:v>
      </x:c>
      <x:c r="AQ154" s="333" t="n">
        <x:f>AA154*AB154+AC154*AD154+AE154*AF154+AG154*AH154+AI154*AJ154</x:f>
        <x:v>0</x:v>
      </x:c>
      <x:c r="AR154" s="333" t="n">
        <x:f>IF(OR(J154="Strength",J154="Hypertrophy"),MAX(IF(AB154&gt;0,AA154*(1+AB154/30),0),IF(AD154&gt;0,AC154*(1+AD154/30),0),IF(AF154&gt;0,AE154*(1+AF154/30),0),IF(AH154&gt;0,AG154*(1+AH154/30),0),IF(AJ154&gt;0,AI154*(1+AJ154/30),0)),0)</x:f>
        <x:v>0</x:v>
      </x:c>
      <x:c r="AS154" s="315" t="str">
        <x:f>IF(AN154&lt;&gt;"Yes","Not logged",IF(AL154&gt;='Setup'!$B$14,"STOP / MODIFY",IF(Z154=0,"Complete",IF(OR(AO154=0,AK154=""),"Add set data + RIR",IF(AND(MAX(AB154,AD154,AF154,AH154,AJ154)&gt;=P154,AK154&gt;=Q154+1),"Progress",IF(OR(MAX(AB154,AD154,AF154,AH154,AJ154)&lt;O154,AK154&lt;Q154-1),"Regress","Hold"))))))</x:f>
        <x:v>Not logged</x:v>
      </x:c>
      <x:c r="AT154" s="335" t="n">
        <x:f>IF(OR(Z154=0,AN154&lt;&gt;"Yes",AO154=0,AK154=""),0,IF(AL154&gt;='Setup'!$B$14,-2*'Setup'!$B$11,IF(AND(MAX(AB154,AD154,AF154,AH154,AJ154)&gt;=P154,AK154&gt;=Q154+1),'Setup'!$B$10,IF(OR(MAX(AB154,AD154,AF154,AH154,AJ154)&lt;O154,AK154&lt;Q154-1),-'Setup'!$B$11,0))))</x:f>
        <x:v>0</x:v>
      </x:c>
      <x:c r="AU154" s="333" t="n">
        <x:f>IF(Z154=0,0,IF(AN154&lt;&gt;"Yes",Z154,IF(COUNT(AA154,AC154,AE154,AG154,AI154)=0,Z154,ROUND((MAX(AA154,AC154,AE154,AG154,AI154)*(1+AT154))/'Setup'!$B$9,0)*'Setup'!$B$9)))</x:f>
        <x:v>0</x:v>
      </x:c>
      <x:c r="AV154" s="336"/>
    </x:row>
    <x:row r="155">
      <x:c r="A155" s="310" t="n">
        <x:f>'Setup'!$B$3+(C155-1)*7+(D155-1)</x:f>
        <x:v>46261</x:v>
      </x:c>
      <x:c r="B155" s="311" t="str">
        <x:v>3|4|6</x:v>
      </x:c>
      <x:c r="C155" s="311" t="n">
        <x:v>3</x:v>
      </x:c>
      <x:c r="D155" s="311" t="n">
        <x:v>4</x:v>
      </x:c>
      <x:c r="E155" s="311" t="str">
        <x:v>Accumulation</x:v>
      </x:c>
      <x:c r="F155" s="311" t="str">
        <x:v>Pull B</x:v>
      </x:c>
      <x:c r="G155" s="311" t="str">
        <x:v>Back width + arm volume</x:v>
      </x:c>
      <x:c r="H155" s="311" t="n">
        <x:v>6</x:v>
      </x:c>
      <x:c r="I155" s="311" t="str">
        <x:v>Face Pull</x:v>
      </x:c>
      <x:c r="J155" s="311" t="str">
        <x:v>Hypertrophy</x:v>
      </x:c>
      <x:c r="K155" s="311" t="str">
        <x:v>Rear Delts</x:v>
      </x:c>
      <x:c r="L155" s="311" t="str">
        <x:v>Superset</x:v>
      </x:c>
      <x:c r="M155" s="311" t="str">
        <x:v>A1</x:v>
      </x:c>
      <x:c r="N155" s="311" t="n">
        <x:v>3</x:v>
      </x:c>
      <x:c r="O155" s="311" t="n">
        <x:v>12</x:v>
      </x:c>
      <x:c r="P155" s="311" t="n">
        <x:v>20</x:v>
      </x:c>
      <x:c r="Q155" s="311" t="n">
        <x:v>1</x:v>
      </x:c>
      <x:c r="R155" s="311" t="n">
        <x:v>30</x:v>
      </x:c>
      <x:c r="S155" s="311" t="str">
        <x:v>2-1-2</x:v>
      </x:c>
      <x:c r="T155" s="330" t="n">
        <x:v>1</x:v>
      </x:c>
      <x:c r="U155" s="330" t="n">
        <x:v>0</x:v>
      </x:c>
      <x:c r="V155" s="331" t="str">
        <x:v>load × reps</x:v>
      </x:c>
      <x:c r="W155" s="332" t="str">
        <x:f>'Readiness'!K22</x:f>
      </x:c>
      <x:c r="X155" s="314" t="n">
        <x:f>'Readiness'!L22</x:f>
        <x:v>1</x:v>
      </x:c>
      <x:c r="Y155" s="315" t="n">
        <x:f>IF(J155="Mobility",N155,MAX(1,ROUND(N155*X155,0)))</x:f>
        <x:v>3</x:v>
      </x:c>
      <x:c r="Z155" s="333" t="n">
        <x:f>ROUND((IF(AU99&gt;0,AU99,IF(Z99&gt;0,Z99,'Setup'!$D$41))*T155)/'Setup'!$B$9,0)*'Setup'!$B$9</x:f>
        <x:v>0</x:v>
      </x:c>
      <x:c r="AA155" s="334"/>
      <x:c r="AB155" s="334"/>
      <x:c r="AC155" s="334"/>
      <x:c r="AD155" s="334"/>
      <x:c r="AE155" s="334"/>
      <x:c r="AF155" s="334"/>
      <x:c r="AG155" s="334"/>
      <x:c r="AH155" s="334"/>
      <x:c r="AI155" s="334"/>
      <x:c r="AJ155" s="312"/>
      <x:c r="AK155" s="312"/>
      <x:c r="AL155" s="312"/>
      <x:c r="AM155" s="312"/>
      <x:c r="AN155" s="312"/>
      <x:c r="AO155" s="315" t="n">
        <x:f>COUNT(AB155,AD155,AF155,AH155,AJ155)</x:f>
        <x:v>0</x:v>
      </x:c>
      <x:c r="AP155" s="315" t="n">
        <x:f>SUM(AB155,AD155,AF155,AH155,AJ155)</x:f>
        <x:v>0</x:v>
      </x:c>
      <x:c r="AQ155" s="333" t="n">
        <x:f>AA155*AB155+AC155*AD155+AE155*AF155+AG155*AH155+AI155*AJ155</x:f>
        <x:v>0</x:v>
      </x:c>
      <x:c r="AR155" s="333" t="n">
        <x:f>IF(OR(J155="Strength",J155="Hypertrophy"),MAX(IF(AB155&gt;0,AA155*(1+AB155/30),0),IF(AD155&gt;0,AC155*(1+AD155/30),0),IF(AF155&gt;0,AE155*(1+AF155/30),0),IF(AH155&gt;0,AG155*(1+AH155/30),0),IF(AJ155&gt;0,AI155*(1+AJ155/30),0)),0)</x:f>
        <x:v>0</x:v>
      </x:c>
      <x:c r="AS155" s="315" t="str">
        <x:f>IF(AN155&lt;&gt;"Yes","Not logged",IF(AL155&gt;='Setup'!$B$14,"STOP / MODIFY",IF(Z155=0,"Complete",IF(OR(AO155=0,AK155=""),"Add set data + RIR",IF(AND(MAX(AB155,AD155,AF155,AH155,AJ155)&gt;=P155,AK155&gt;=Q155+1),"Progress",IF(OR(MAX(AB155,AD155,AF155,AH155,AJ155)&lt;O155,AK155&lt;Q155-1),"Regress","Hold"))))))</x:f>
        <x:v>Not logged</x:v>
      </x:c>
      <x:c r="AT155" s="335" t="n">
        <x:f>IF(OR(Z155=0,AN155&lt;&gt;"Yes",AO155=0,AK155=""),0,IF(AL155&gt;='Setup'!$B$14,-2*'Setup'!$B$11,IF(AND(MAX(AB155,AD155,AF155,AH155,AJ155)&gt;=P155,AK155&gt;=Q155+1),'Setup'!$B$10,IF(OR(MAX(AB155,AD155,AF155,AH155,AJ155)&lt;O155,AK155&lt;Q155-1),-'Setup'!$B$11,0))))</x:f>
        <x:v>0</x:v>
      </x:c>
      <x:c r="AU155" s="333" t="n">
        <x:f>IF(Z155=0,0,IF(AN155&lt;&gt;"Yes",Z155,IF(COUNT(AA155,AC155,AE155,AG155,AI155)=0,Z155,ROUND((MAX(AA155,AC155,AE155,AG155,AI155)*(1+AT155))/'Setup'!$B$9,0)*'Setup'!$B$9)))</x:f>
        <x:v>0</x:v>
      </x:c>
      <x:c r="AV155" s="336"/>
    </x:row>
    <x:row r="156">
      <x:c r="A156" s="310" t="n">
        <x:f>'Setup'!$B$3+(C156-1)*7+(D156-1)</x:f>
        <x:v>46261</x:v>
      </x:c>
      <x:c r="B156" s="311" t="str">
        <x:v>3|4|7</x:v>
      </x:c>
      <x:c r="C156" s="311" t="n">
        <x:v>3</x:v>
      </x:c>
      <x:c r="D156" s="311" t="n">
        <x:v>4</x:v>
      </x:c>
      <x:c r="E156" s="311" t="str">
        <x:v>Accumulation</x:v>
      </x:c>
      <x:c r="F156" s="311" t="str">
        <x:v>Pull B</x:v>
      </x:c>
      <x:c r="G156" s="311" t="str">
        <x:v>Back width + arm volume</x:v>
      </x:c>
      <x:c r="H156" s="311" t="n">
        <x:v>7</x:v>
      </x:c>
      <x:c r="I156" s="311" t="str">
        <x:v>Hammer Curl</x:v>
      </x:c>
      <x:c r="J156" s="311" t="str">
        <x:v>Hypertrophy</x:v>
      </x:c>
      <x:c r="K156" s="311" t="str">
        <x:v>Biceps</x:v>
      </x:c>
      <x:c r="L156" s="311" t="str">
        <x:v>Superset</x:v>
      </x:c>
      <x:c r="M156" s="311" t="str">
        <x:v>A2</x:v>
      </x:c>
      <x:c r="N156" s="311" t="n">
        <x:v>3</x:v>
      </x:c>
      <x:c r="O156" s="311" t="n">
        <x:v>10</x:v>
      </x:c>
      <x:c r="P156" s="311" t="n">
        <x:v>15</x:v>
      </x:c>
      <x:c r="Q156" s="311" t="n">
        <x:v>1</x:v>
      </x:c>
      <x:c r="R156" s="311" t="n">
        <x:v>45</x:v>
      </x:c>
      <x:c r="S156" s="311" t="str">
        <x:v>2-0-1</x:v>
      </x:c>
      <x:c r="T156" s="330" t="n">
        <x:v>1</x:v>
      </x:c>
      <x:c r="U156" s="330" t="n">
        <x:v>0</x:v>
      </x:c>
      <x:c r="V156" s="331" t="str">
        <x:v>load × reps</x:v>
      </x:c>
      <x:c r="W156" s="332" t="str">
        <x:f>'Readiness'!K22</x:f>
      </x:c>
      <x:c r="X156" s="314" t="n">
        <x:f>'Readiness'!L22</x:f>
        <x:v>1</x:v>
      </x:c>
      <x:c r="Y156" s="315" t="n">
        <x:f>IF(J156="Mobility",N156,MAX(1,ROUND(N156*X156,0)))</x:f>
        <x:v>3</x:v>
      </x:c>
      <x:c r="Z156" s="333" t="n">
        <x:f>ROUND((IF(AU100&gt;0,AU100,IF(Z100&gt;0,Z100,'Setup'!$D$48))*T156)/'Setup'!$B$9,0)*'Setup'!$B$9</x:f>
        <x:v>0</x:v>
      </x:c>
      <x:c r="AA156" s="334"/>
      <x:c r="AB156" s="334"/>
      <x:c r="AC156" s="334"/>
      <x:c r="AD156" s="334"/>
      <x:c r="AE156" s="334"/>
      <x:c r="AF156" s="334"/>
      <x:c r="AG156" s="334"/>
      <x:c r="AH156" s="334"/>
      <x:c r="AI156" s="334"/>
      <x:c r="AJ156" s="312"/>
      <x:c r="AK156" s="312"/>
      <x:c r="AL156" s="312"/>
      <x:c r="AM156" s="312"/>
      <x:c r="AN156" s="312"/>
      <x:c r="AO156" s="315" t="n">
        <x:f>COUNT(AB156,AD156,AF156,AH156,AJ156)</x:f>
        <x:v>0</x:v>
      </x:c>
      <x:c r="AP156" s="315" t="n">
        <x:f>SUM(AB156,AD156,AF156,AH156,AJ156)</x:f>
        <x:v>0</x:v>
      </x:c>
      <x:c r="AQ156" s="333" t="n">
        <x:f>AA156*AB156+AC156*AD156+AE156*AF156+AG156*AH156+AI156*AJ156</x:f>
        <x:v>0</x:v>
      </x:c>
      <x:c r="AR156" s="333" t="n">
        <x:f>IF(OR(J156="Strength",J156="Hypertrophy"),MAX(IF(AB156&gt;0,AA156*(1+AB156/30),0),IF(AD156&gt;0,AC156*(1+AD156/30),0),IF(AF156&gt;0,AE156*(1+AF156/30),0),IF(AH156&gt;0,AG156*(1+AH156/30),0),IF(AJ156&gt;0,AI156*(1+AJ156/30),0)),0)</x:f>
        <x:v>0</x:v>
      </x:c>
      <x:c r="AS156" s="315" t="str">
        <x:f>IF(AN156&lt;&gt;"Yes","Not logged",IF(AL156&gt;='Setup'!$B$14,"STOP / MODIFY",IF(Z156=0,"Complete",IF(OR(AO156=0,AK156=""),"Add set data + RIR",IF(AND(MAX(AB156,AD156,AF156,AH156,AJ156)&gt;=P156,AK156&gt;=Q156+1),"Progress",IF(OR(MAX(AB156,AD156,AF156,AH156,AJ156)&lt;O156,AK156&lt;Q156-1),"Regress","Hold"))))))</x:f>
        <x:v>Not logged</x:v>
      </x:c>
      <x:c r="AT156" s="335" t="n">
        <x:f>IF(OR(Z156=0,AN156&lt;&gt;"Yes",AO156=0,AK156=""),0,IF(AL156&gt;='Setup'!$B$14,-2*'Setup'!$B$11,IF(AND(MAX(AB156,AD156,AF156,AH156,AJ156)&gt;=P156,AK156&gt;=Q156+1),'Setup'!$B$10,IF(OR(MAX(AB156,AD156,AF156,AH156,AJ156)&lt;O156,AK156&lt;Q156-1),-'Setup'!$B$11,0))))</x:f>
        <x:v>0</x:v>
      </x:c>
      <x:c r="AU156" s="333" t="n">
        <x:f>IF(Z156=0,0,IF(AN156&lt;&gt;"Yes",Z156,IF(COUNT(AA156,AC156,AE156,AG156,AI156)=0,Z156,ROUND((MAX(AA156,AC156,AE156,AG156,AI156)*(1+AT156))/'Setup'!$B$9,0)*'Setup'!$B$9)))</x:f>
        <x:v>0</x:v>
      </x:c>
      <x:c r="AV156" s="336"/>
    </x:row>
    <x:row r="157">
      <x:c r="A157" s="310" t="n">
        <x:f>'Setup'!$B$3+(C157-1)*7+(D157-1)</x:f>
        <x:v>46261</x:v>
      </x:c>
      <x:c r="B157" s="311" t="str">
        <x:v>3|4|8</x:v>
      </x:c>
      <x:c r="C157" s="311" t="n">
        <x:v>3</x:v>
      </x:c>
      <x:c r="D157" s="311" t="n">
        <x:v>4</x:v>
      </x:c>
      <x:c r="E157" s="311" t="str">
        <x:v>Accumulation</x:v>
      </x:c>
      <x:c r="F157" s="311" t="str">
        <x:v>Pull B</x:v>
      </x:c>
      <x:c r="G157" s="311" t="str">
        <x:v>Back width + arm volume</x:v>
      </x:c>
      <x:c r="H157" s="311" t="n">
        <x:v>8</x:v>
      </x:c>
      <x:c r="I157" s="311" t="str">
        <x:v>RowErg Sprint Intervals</x:v>
      </x:c>
      <x:c r="J157" s="311" t="str">
        <x:v>Athletic</x:v>
      </x:c>
      <x:c r="K157" s="311" t="str">
        <x:v>Full Body</x:v>
      </x:c>
      <x:c r="L157" s="311" t="str">
        <x:v>20 s hard / 70 s easy</x:v>
      </x:c>
      <x:c r="M157" s="311"/>
      <x:c r="N157" s="311" t="n">
        <x:v>6</x:v>
      </x:c>
      <x:c r="O157" s="311" t="n">
        <x:v>20</x:v>
      </x:c>
      <x:c r="P157" s="311" t="n">
        <x:v>20</x:v>
      </x:c>
      <x:c r="Q157" s="311" t="n">
        <x:v>2</x:v>
      </x:c>
      <x:c r="R157" s="311" t="n">
        <x:v>70</x:v>
      </x:c>
      <x:c r="S157" s="311" t="str">
        <x:v>Powerful</x:v>
      </x:c>
      <x:c r="T157" s="330" t="n">
        <x:v>1</x:v>
      </x:c>
      <x:c r="U157" s="330" t="n">
        <x:v>0</x:v>
      </x:c>
      <x:c r="V157" s="331" t="str">
        <x:v>watts / meters</x:v>
      </x:c>
      <x:c r="W157" s="332" t="str">
        <x:f>'Readiness'!K22</x:f>
      </x:c>
      <x:c r="X157" s="314" t="n">
        <x:f>'Readiness'!L22</x:f>
        <x:v>1</x:v>
      </x:c>
      <x:c r="Y157" s="315" t="n">
        <x:f>IF(J157="Mobility",N157,MAX(1,ROUND(N157*X157,0)))</x:f>
        <x:v>6</x:v>
      </x:c>
      <x:c r="Z157" s="333" t="n">
        <x:f>0</x:f>
        <x:v>0</x:v>
      </x:c>
      <x:c r="AA157" s="334"/>
      <x:c r="AB157" s="334"/>
      <x:c r="AC157" s="334"/>
      <x:c r="AD157" s="334"/>
      <x:c r="AE157" s="334"/>
      <x:c r="AF157" s="334"/>
      <x:c r="AG157" s="334"/>
      <x:c r="AH157" s="334"/>
      <x:c r="AI157" s="334"/>
      <x:c r="AJ157" s="312"/>
      <x:c r="AK157" s="312"/>
      <x:c r="AL157" s="312"/>
      <x:c r="AM157" s="312"/>
      <x:c r="AN157" s="312"/>
      <x:c r="AO157" s="315" t="n">
        <x:f>COUNT(AB157,AD157,AF157,AH157,AJ157)</x:f>
        <x:v>0</x:v>
      </x:c>
      <x:c r="AP157" s="315" t="n">
        <x:f>SUM(AB157,AD157,AF157,AH157,AJ157)</x:f>
        <x:v>0</x:v>
      </x:c>
      <x:c r="AQ157" s="333" t="n">
        <x:f>AA157*AB157+AC157*AD157+AE157*AF157+AG157*AH157+AI157*AJ157</x:f>
        <x:v>0</x:v>
      </x:c>
      <x:c r="AR157" s="333" t="n">
        <x:f>IF(OR(J157="Strength",J157="Hypertrophy"),MAX(IF(AB157&gt;0,AA157*(1+AB157/30),0),IF(AD157&gt;0,AC157*(1+AD157/30),0),IF(AF157&gt;0,AE157*(1+AF157/30),0),IF(AH157&gt;0,AG157*(1+AH157/30),0),IF(AJ157&gt;0,AI157*(1+AJ157/30),0)),0)</x:f>
        <x:v>0</x:v>
      </x:c>
      <x:c r="AS157" s="315" t="str">
        <x:f>IF(AN157&lt;&gt;"Yes","Not logged",IF(AL157&gt;='Setup'!$B$14,"STOP / MODIFY",IF(Z157=0,"Complete",IF(OR(AO157=0,AK157=""),"Add set data + RIR",IF(AND(MAX(AB157,AD157,AF157,AH157,AJ157)&gt;=P157,AK157&gt;=Q157+1),"Progress",IF(OR(MAX(AB157,AD157,AF157,AH157,AJ157)&lt;O157,AK157&lt;Q157-1),"Regress","Hold"))))))</x:f>
        <x:v>Not logged</x:v>
      </x:c>
      <x:c r="AT157" s="335" t="n">
        <x:f>IF(OR(Z157=0,AN157&lt;&gt;"Yes",AO157=0,AK157=""),0,IF(AL157&gt;='Setup'!$B$14,-2*'Setup'!$B$11,IF(AND(MAX(AB157,AD157,AF157,AH157,AJ157)&gt;=P157,AK157&gt;=Q157+1),'Setup'!$B$10,IF(OR(MAX(AB157,AD157,AF157,AH157,AJ157)&lt;O157,AK157&lt;Q157-1),-'Setup'!$B$11,0))))</x:f>
        <x:v>0</x:v>
      </x:c>
      <x:c r="AU157" s="333" t="n">
        <x:f>IF(Z157=0,0,IF(AN157&lt;&gt;"Yes",Z157,IF(COUNT(AA157,AC157,AE157,AG157,AI157)=0,Z157,ROUND((MAX(AA157,AC157,AE157,AG157,AI157)*(1+AT157))/'Setup'!$B$9,0)*'Setup'!$B$9)))</x:f>
        <x:v>0</x:v>
      </x:c>
      <x:c r="AV157" s="336"/>
    </x:row>
    <x:row r="158">
      <x:c r="A158" s="310" t="n">
        <x:f>'Setup'!$B$3+(C158-1)*7+(D158-1)</x:f>
        <x:v>46261</x:v>
      </x:c>
      <x:c r="B158" s="311" t="str">
        <x:v>3|4|9</x:v>
      </x:c>
      <x:c r="C158" s="311" t="n">
        <x:v>3</x:v>
      </x:c>
      <x:c r="D158" s="311" t="n">
        <x:v>4</x:v>
      </x:c>
      <x:c r="E158" s="311" t="str">
        <x:v>Accumulation</x:v>
      </x:c>
      <x:c r="F158" s="311" t="str">
        <x:v>Pull B</x:v>
      </x:c>
      <x:c r="G158" s="311" t="str">
        <x:v>Back width + arm volume</x:v>
      </x:c>
      <x:c r="H158" s="311" t="n">
        <x:v>9</x:v>
      </x:c>
      <x:c r="I158" s="311" t="str">
        <x:v>Scapular Pull-Up</x:v>
      </x:c>
      <x:c r="J158" s="311" t="str">
        <x:v>Mobility</x:v>
      </x:c>
      <x:c r="K158" s="311" t="str">
        <x:v>Shoulders</x:v>
      </x:c>
      <x:c r="L158" s="311" t="str">
        <x:v>Controlled scapular motion</x:v>
      </x:c>
      <x:c r="M158" s="311"/>
      <x:c r="N158" s="311" t="n">
        <x:v>2</x:v>
      </x:c>
      <x:c r="O158" s="311" t="n">
        <x:v>6</x:v>
      </x:c>
      <x:c r="P158" s="311" t="n">
        <x:v>10</x:v>
      </x:c>
      <x:c r="Q158" s="311"/>
      <x:c r="R158" s="311" t="n">
        <x:v>30</x:v>
      </x:c>
      <x:c r="S158" s="311" t="str">
        <x:v>Slow</x:v>
      </x:c>
      <x:c r="T158" s="330" t="n">
        <x:v>1</x:v>
      </x:c>
      <x:c r="U158" s="330" t="n">
        <x:v>0</x:v>
      </x:c>
      <x:c r="V158" s="331" t="str">
        <x:v>reps</x:v>
      </x:c>
      <x:c r="W158" s="332" t="str">
        <x:f>'Readiness'!K22</x:f>
      </x:c>
      <x:c r="X158" s="314" t="n">
        <x:f>'Readiness'!L22</x:f>
        <x:v>1</x:v>
      </x:c>
      <x:c r="Y158" s="315" t="n">
        <x:f>IF(J158="Mobility",N158,MAX(1,ROUND(N158*X158,0)))</x:f>
        <x:v>2</x:v>
      </x:c>
      <x:c r="Z158" s="333" t="n">
        <x:f>0</x:f>
        <x:v>0</x:v>
      </x:c>
      <x:c r="AA158" s="334"/>
      <x:c r="AB158" s="334"/>
      <x:c r="AC158" s="334"/>
      <x:c r="AD158" s="334"/>
      <x:c r="AE158" s="334"/>
      <x:c r="AF158" s="334"/>
      <x:c r="AG158" s="334"/>
      <x:c r="AH158" s="334"/>
      <x:c r="AI158" s="334"/>
      <x:c r="AJ158" s="312"/>
      <x:c r="AK158" s="312"/>
      <x:c r="AL158" s="312"/>
      <x:c r="AM158" s="312"/>
      <x:c r="AN158" s="312"/>
      <x:c r="AO158" s="315" t="n">
        <x:f>COUNT(AB158,AD158,AF158,AH158,AJ158)</x:f>
        <x:v>0</x:v>
      </x:c>
      <x:c r="AP158" s="315" t="n">
        <x:f>SUM(AB158,AD158,AF158,AH158,AJ158)</x:f>
        <x:v>0</x:v>
      </x:c>
      <x:c r="AQ158" s="333" t="n">
        <x:f>AA158*AB158+AC158*AD158+AE158*AF158+AG158*AH158+AI158*AJ158</x:f>
        <x:v>0</x:v>
      </x:c>
      <x:c r="AR158" s="333" t="n">
        <x:f>IF(OR(J158="Strength",J158="Hypertrophy"),MAX(IF(AB158&gt;0,AA158*(1+AB158/30),0),IF(AD158&gt;0,AC158*(1+AD158/30),0),IF(AF158&gt;0,AE158*(1+AF158/30),0),IF(AH158&gt;0,AG158*(1+AH158/30),0),IF(AJ158&gt;0,AI158*(1+AJ158/30),0)),0)</x:f>
        <x:v>0</x:v>
      </x:c>
      <x:c r="AS158" s="315" t="str">
        <x:f>IF(AN158&lt;&gt;"Yes","Not logged",IF(AL158&gt;='Setup'!$B$14,"STOP / MODIFY",IF(Z158=0,"Complete",IF(OR(AO158=0,AK158=""),"Add set data + RIR",IF(AND(MAX(AB158,AD158,AF158,AH158,AJ158)&gt;=P158,AK158&gt;=Q158+1),"Progress",IF(OR(MAX(AB158,AD158,AF158,AH158,AJ158)&lt;O158,AK158&lt;Q158-1),"Regress","Hold"))))))</x:f>
        <x:v>Not logged</x:v>
      </x:c>
      <x:c r="AT158" s="335" t="n">
        <x:f>IF(OR(Z158=0,AN158&lt;&gt;"Yes",AO158=0,AK158=""),0,IF(AL158&gt;='Setup'!$B$14,-2*'Setup'!$B$11,IF(AND(MAX(AB158,AD158,AF158,AH158,AJ158)&gt;=P158,AK158&gt;=Q158+1),'Setup'!$B$10,IF(OR(MAX(AB158,AD158,AF158,AH158,AJ158)&lt;O158,AK158&lt;Q158-1),-'Setup'!$B$11,0))))</x:f>
        <x:v>0</x:v>
      </x:c>
      <x:c r="AU158" s="333" t="n">
        <x:f>IF(Z158=0,0,IF(AN158&lt;&gt;"Yes",Z158,IF(COUNT(AA158,AC158,AE158,AG158,AI158)=0,Z158,ROUND((MAX(AA158,AC158,AE158,AG158,AI158)*(1+AT158))/'Setup'!$B$9,0)*'Setup'!$B$9)))</x:f>
        <x:v>0</x:v>
      </x:c>
      <x:c r="AV158" s="336"/>
    </x:row>
    <x:row r="159">
      <x:c r="A159" s="310" t="n">
        <x:f>'Setup'!$B$3+(C159-1)*7+(D159-1)</x:f>
        <x:v>46262</x:v>
      </x:c>
      <x:c r="B159" s="311" t="str">
        <x:v>3|5|1</x:v>
      </x:c>
      <x:c r="C159" s="311" t="n">
        <x:v>3</x:v>
      </x:c>
      <x:c r="D159" s="311" t="n">
        <x:v>5</x:v>
      </x:c>
      <x:c r="E159" s="311" t="str">
        <x:v>Accumulation</x:v>
      </x:c>
      <x:c r="F159" s="311" t="str">
        <x:v>Legs B + Athletic</x:v>
      </x:c>
      <x:c r="G159" s="311" t="str">
        <x:v>Acceleration + lower-body hypertrophy</x:v>
      </x:c>
      <x:c r="H159" s="311" t="n">
        <x:v>1</x:v>
      </x:c>
      <x:c r="I159" s="311" t="str">
        <x:v>Acceleration Sprint</x:v>
      </x:c>
      <x:c r="J159" s="311" t="str">
        <x:v>Athletic</x:v>
      </x:c>
      <x:c r="K159" s="311" t="str">
        <x:v>Full Body</x:v>
      </x:c>
      <x:c r="L159" s="311" t="str">
        <x:v>Full recovery, stop on speed drop</x:v>
      </x:c>
      <x:c r="M159" s="311"/>
      <x:c r="N159" s="311" t="n">
        <x:v>6</x:v>
      </x:c>
      <x:c r="O159" s="311" t="n">
        <x:v>20</x:v>
      </x:c>
      <x:c r="P159" s="311" t="n">
        <x:v>20</x:v>
      </x:c>
      <x:c r="Q159" s="311" t="n">
        <x:v>2</x:v>
      </x:c>
      <x:c r="R159" s="311" t="n">
        <x:v>90</x:v>
      </x:c>
      <x:c r="S159" s="311" t="str">
        <x:v>Max quality</x:v>
      </x:c>
      <x:c r="T159" s="330" t="n">
        <x:v>1</x:v>
      </x:c>
      <x:c r="U159" s="330" t="n">
        <x:v>0</x:v>
      </x:c>
      <x:c r="V159" s="331" t="str">
        <x:v>20 m time</x:v>
      </x:c>
      <x:c r="W159" s="332" t="str">
        <x:f>'Readiness'!K23</x:f>
      </x:c>
      <x:c r="X159" s="314" t="n">
        <x:f>'Readiness'!L23</x:f>
        <x:v>1</x:v>
      </x:c>
      <x:c r="Y159" s="315" t="n">
        <x:f>IF(J159="Mobility",N159,MAX(1,ROUND(N159*X159,0)))</x:f>
        <x:v>6</x:v>
      </x:c>
      <x:c r="Z159" s="333" t="n">
        <x:f>0</x:f>
        <x:v>0</x:v>
      </x:c>
      <x:c r="AA159" s="334"/>
      <x:c r="AB159" s="334"/>
      <x:c r="AC159" s="334"/>
      <x:c r="AD159" s="334"/>
      <x:c r="AE159" s="334"/>
      <x:c r="AF159" s="334"/>
      <x:c r="AG159" s="334"/>
      <x:c r="AH159" s="334"/>
      <x:c r="AI159" s="334"/>
      <x:c r="AJ159" s="312"/>
      <x:c r="AK159" s="312"/>
      <x:c r="AL159" s="312"/>
      <x:c r="AM159" s="312"/>
      <x:c r="AN159" s="312"/>
      <x:c r="AO159" s="315" t="n">
        <x:f>COUNT(AB159,AD159,AF159,AH159,AJ159)</x:f>
        <x:v>0</x:v>
      </x:c>
      <x:c r="AP159" s="315" t="n">
        <x:f>SUM(AB159,AD159,AF159,AH159,AJ159)</x:f>
        <x:v>0</x:v>
      </x:c>
      <x:c r="AQ159" s="333" t="n">
        <x:f>AA159*AB159+AC159*AD159+AE159*AF159+AG159*AH159+AI159*AJ159</x:f>
        <x:v>0</x:v>
      </x:c>
      <x:c r="AR159" s="333" t="n">
        <x:f>IF(OR(J159="Strength",J159="Hypertrophy"),MAX(IF(AB159&gt;0,AA159*(1+AB159/30),0),IF(AD159&gt;0,AC159*(1+AD159/30),0),IF(AF159&gt;0,AE159*(1+AF159/30),0),IF(AH159&gt;0,AG159*(1+AH159/30),0),IF(AJ159&gt;0,AI159*(1+AJ159/30),0)),0)</x:f>
        <x:v>0</x:v>
      </x:c>
      <x:c r="AS159" s="315" t="str">
        <x:f>IF(AN159&lt;&gt;"Yes","Not logged",IF(AL159&gt;='Setup'!$B$14,"STOP / MODIFY",IF(Z159=0,"Complete",IF(OR(AO159=0,AK159=""),"Add set data + RIR",IF(AND(MAX(AB159,AD159,AF159,AH159,AJ159)&gt;=P159,AK159&gt;=Q159+1),"Progress",IF(OR(MAX(AB159,AD159,AF159,AH159,AJ159)&lt;O159,AK159&lt;Q159-1),"Regress","Hold"))))))</x:f>
        <x:v>Not logged</x:v>
      </x:c>
      <x:c r="AT159" s="335" t="n">
        <x:f>IF(OR(Z159=0,AN159&lt;&gt;"Yes",AO159=0,AK159=""),0,IF(AL159&gt;='Setup'!$B$14,-2*'Setup'!$B$11,IF(AND(MAX(AB159,AD159,AF159,AH159,AJ159)&gt;=P159,AK159&gt;=Q159+1),'Setup'!$B$10,IF(OR(MAX(AB159,AD159,AF159,AH159,AJ159)&lt;O159,AK159&lt;Q159-1),-'Setup'!$B$11,0))))</x:f>
        <x:v>0</x:v>
      </x:c>
      <x:c r="AU159" s="333" t="n">
        <x:f>IF(Z159=0,0,IF(AN159&lt;&gt;"Yes",Z159,IF(COUNT(AA159,AC159,AE159,AG159,AI159)=0,Z159,ROUND((MAX(AA159,AC159,AE159,AG159,AI159)*(1+AT159))/'Setup'!$B$9,0)*'Setup'!$B$9)))</x:f>
        <x:v>0</x:v>
      </x:c>
      <x:c r="AV159" s="336"/>
    </x:row>
    <x:row r="160">
      <x:c r="A160" s="310" t="n">
        <x:f>'Setup'!$B$3+(C160-1)*7+(D160-1)</x:f>
        <x:v>46262</x:v>
      </x:c>
      <x:c r="B160" s="311" t="str">
        <x:v>3|5|2</x:v>
      </x:c>
      <x:c r="C160" s="311" t="n">
        <x:v>3</x:v>
      </x:c>
      <x:c r="D160" s="311" t="n">
        <x:v>5</x:v>
      </x:c>
      <x:c r="E160" s="311" t="str">
        <x:v>Accumulation</x:v>
      </x:c>
      <x:c r="F160" s="311" t="str">
        <x:v>Legs B + Athletic</x:v>
      </x:c>
      <x:c r="G160" s="311" t="str">
        <x:v>Acceleration + lower-body hypertrophy</x:v>
      </x:c>
      <x:c r="H160" s="311" t="n">
        <x:v>2</x:v>
      </x:c>
      <x:c r="I160" s="311" t="str">
        <x:v>Broad Jump</x:v>
      </x:c>
      <x:c r="J160" s="311" t="str">
        <x:v>Power</x:v>
      </x:c>
      <x:c r="K160" s="311" t="str">
        <x:v>Quads</x:v>
      </x:c>
      <x:c r="L160" s="311" t="str">
        <x:v>Full reset, stick landing</x:v>
      </x:c>
      <x:c r="M160" s="311"/>
      <x:c r="N160" s="311" t="n">
        <x:v>4</x:v>
      </x:c>
      <x:c r="O160" s="311" t="n">
        <x:v>3</x:v>
      </x:c>
      <x:c r="P160" s="311" t="n">
        <x:v>3</x:v>
      </x:c>
      <x:c r="Q160" s="311" t="n">
        <x:v>2</x:v>
      </x:c>
      <x:c r="R160" s="311" t="n">
        <x:v>75</x:v>
      </x:c>
      <x:c r="S160" s="311" t="str">
        <x:v>Explosive</x:v>
      </x:c>
      <x:c r="T160" s="330" t="n">
        <x:v>1</x:v>
      </x:c>
      <x:c r="U160" s="330" t="n">
        <x:v>0</x:v>
      </x:c>
      <x:c r="V160" s="331" t="str">
        <x:v>distance</x:v>
      </x:c>
      <x:c r="W160" s="332" t="str">
        <x:f>'Readiness'!K23</x:f>
      </x:c>
      <x:c r="X160" s="314" t="n">
        <x:f>'Readiness'!L23</x:f>
        <x:v>1</x:v>
      </x:c>
      <x:c r="Y160" s="315" t="n">
        <x:f>IF(J160="Mobility",N160,MAX(1,ROUND(N160*X160,0)))</x:f>
        <x:v>4</x:v>
      </x:c>
      <x:c r="Z160" s="333" t="n">
        <x:f>0</x:f>
        <x:v>0</x:v>
      </x:c>
      <x:c r="AA160" s="334"/>
      <x:c r="AB160" s="334"/>
      <x:c r="AC160" s="334"/>
      <x:c r="AD160" s="334"/>
      <x:c r="AE160" s="334"/>
      <x:c r="AF160" s="334"/>
      <x:c r="AG160" s="334"/>
      <x:c r="AH160" s="334"/>
      <x:c r="AI160" s="334"/>
      <x:c r="AJ160" s="312"/>
      <x:c r="AK160" s="312"/>
      <x:c r="AL160" s="312"/>
      <x:c r="AM160" s="312"/>
      <x:c r="AN160" s="312"/>
      <x:c r="AO160" s="315" t="n">
        <x:f>COUNT(AB160,AD160,AF160,AH160,AJ160)</x:f>
        <x:v>0</x:v>
      </x:c>
      <x:c r="AP160" s="315" t="n">
        <x:f>SUM(AB160,AD160,AF160,AH160,AJ160)</x:f>
        <x:v>0</x:v>
      </x:c>
      <x:c r="AQ160" s="333" t="n">
        <x:f>AA160*AB160+AC160*AD160+AE160*AF160+AG160*AH160+AI160*AJ160</x:f>
        <x:v>0</x:v>
      </x:c>
      <x:c r="AR160" s="333" t="n">
        <x:f>IF(OR(J160="Strength",J160="Hypertrophy"),MAX(IF(AB160&gt;0,AA160*(1+AB160/30),0),IF(AD160&gt;0,AC160*(1+AD160/30),0),IF(AF160&gt;0,AE160*(1+AF160/30),0),IF(AH160&gt;0,AG160*(1+AH160/30),0),IF(AJ160&gt;0,AI160*(1+AJ160/30),0)),0)</x:f>
        <x:v>0</x:v>
      </x:c>
      <x:c r="AS160" s="315" t="str">
        <x:f>IF(AN160&lt;&gt;"Yes","Not logged",IF(AL160&gt;='Setup'!$B$14,"STOP / MODIFY",IF(Z160=0,"Complete",IF(OR(AO160=0,AK160=""),"Add set data + RIR",IF(AND(MAX(AB160,AD160,AF160,AH160,AJ160)&gt;=P160,AK160&gt;=Q160+1),"Progress",IF(OR(MAX(AB160,AD160,AF160,AH160,AJ160)&lt;O160,AK160&lt;Q160-1),"Regress","Hold"))))))</x:f>
        <x:v>Not logged</x:v>
      </x:c>
      <x:c r="AT160" s="335" t="n">
        <x:f>IF(OR(Z160=0,AN160&lt;&gt;"Yes",AO160=0,AK160=""),0,IF(AL160&gt;='Setup'!$B$14,-2*'Setup'!$B$11,IF(AND(MAX(AB160,AD160,AF160,AH160,AJ160)&gt;=P160,AK160&gt;=Q160+1),'Setup'!$B$10,IF(OR(MAX(AB160,AD160,AF160,AH160,AJ160)&lt;O160,AK160&lt;Q160-1),-'Setup'!$B$11,0))))</x:f>
        <x:v>0</x:v>
      </x:c>
      <x:c r="AU160" s="333" t="n">
        <x:f>IF(Z160=0,0,IF(AN160&lt;&gt;"Yes",Z160,IF(COUNT(AA160,AC160,AE160,AG160,AI160)=0,Z160,ROUND((MAX(AA160,AC160,AE160,AG160,AI160)*(1+AT160))/'Setup'!$B$9,0)*'Setup'!$B$9)))</x:f>
        <x:v>0</x:v>
      </x:c>
      <x:c r="AV160" s="336"/>
    </x:row>
    <x:row r="161">
      <x:c r="A161" s="310" t="n">
        <x:f>'Setup'!$B$3+(C161-1)*7+(D161-1)</x:f>
        <x:v>46262</x:v>
      </x:c>
      <x:c r="B161" s="311" t="str">
        <x:v>3|5|3</x:v>
      </x:c>
      <x:c r="C161" s="311" t="n">
        <x:v>3</x:v>
      </x:c>
      <x:c r="D161" s="311" t="n">
        <x:v>5</x:v>
      </x:c>
      <x:c r="E161" s="311" t="str">
        <x:v>Accumulation</x:v>
      </x:c>
      <x:c r="F161" s="311" t="str">
        <x:v>Legs B + Athletic</x:v>
      </x:c>
      <x:c r="G161" s="311" t="str">
        <x:v>Acceleration + lower-body hypertrophy</x:v>
      </x:c>
      <x:c r="H161" s="311" t="n">
        <x:v>3</x:v>
      </x:c>
      <x:c r="I161" s="311" t="str">
        <x:v>Front Squat</x:v>
      </x:c>
      <x:c r="J161" s="311" t="str">
        <x:v>Strength</x:v>
      </x:c>
      <x:c r="K161" s="311" t="str">
        <x:v>Quads</x:v>
      </x:c>
      <x:c r="L161" s="311" t="str">
        <x:v>Straight sets</x:v>
      </x:c>
      <x:c r="M161" s="311"/>
      <x:c r="N161" s="311" t="n">
        <x:v>4</x:v>
      </x:c>
      <x:c r="O161" s="311" t="n">
        <x:v>8</x:v>
      </x:c>
      <x:c r="P161" s="311" t="n">
        <x:v>10</x:v>
      </x:c>
      <x:c r="Q161" s="311" t="n">
        <x:v>1</x:v>
      </x:c>
      <x:c r="R161" s="311" t="n">
        <x:v>150</x:v>
      </x:c>
      <x:c r="S161" s="311" t="str">
        <x:v>3-1-X</x:v>
      </x:c>
      <x:c r="T161" s="330" t="n">
        <x:v>1</x:v>
      </x:c>
      <x:c r="U161" s="330" t="n">
        <x:v>0.6</x:v>
      </x:c>
      <x:c r="V161" s="331" t="str">
        <x:v>load × reps</x:v>
      </x:c>
      <x:c r="W161" s="332" t="str">
        <x:f>'Readiness'!K23</x:f>
      </x:c>
      <x:c r="X161" s="314" t="n">
        <x:f>'Readiness'!L23</x:f>
        <x:v>1</x:v>
      </x:c>
      <x:c r="Y161" s="315" t="n">
        <x:f>IF(J161="Mobility",N161,MAX(1,ROUND(N161*X161,0)))</x:f>
        <x:v>4</x:v>
      </x:c>
      <x:c r="Z161" s="333" t="n">
        <x:f>ROUND((IF(AU105&gt;0,AU105,IF(Z105&gt;0,Z105,'Setup'!$D$43))*T161)/'Setup'!$B$9,0)*'Setup'!$B$9</x:f>
        <x:v>0</x:v>
      </x:c>
      <x:c r="AA161" s="334"/>
      <x:c r="AB161" s="334"/>
      <x:c r="AC161" s="334"/>
      <x:c r="AD161" s="334"/>
      <x:c r="AE161" s="334"/>
      <x:c r="AF161" s="334"/>
      <x:c r="AG161" s="334"/>
      <x:c r="AH161" s="334"/>
      <x:c r="AI161" s="334"/>
      <x:c r="AJ161" s="312"/>
      <x:c r="AK161" s="312"/>
      <x:c r="AL161" s="312"/>
      <x:c r="AM161" s="312"/>
      <x:c r="AN161" s="312"/>
      <x:c r="AO161" s="315" t="n">
        <x:f>COUNT(AB161,AD161,AF161,AH161,AJ161)</x:f>
        <x:v>0</x:v>
      </x:c>
      <x:c r="AP161" s="315" t="n">
        <x:f>SUM(AB161,AD161,AF161,AH161,AJ161)</x:f>
        <x:v>0</x:v>
      </x:c>
      <x:c r="AQ161" s="333" t="n">
        <x:f>AA161*AB161+AC161*AD161+AE161*AF161+AG161*AH161+AI161*AJ161</x:f>
        <x:v>0</x:v>
      </x:c>
      <x:c r="AR161" s="333" t="n">
        <x:f>IF(OR(J161="Strength",J161="Hypertrophy"),MAX(IF(AB161&gt;0,AA161*(1+AB161/30),0),IF(AD161&gt;0,AC161*(1+AD161/30),0),IF(AF161&gt;0,AE161*(1+AF161/30),0),IF(AH161&gt;0,AG161*(1+AH161/30),0),IF(AJ161&gt;0,AI161*(1+AJ161/30),0)),0)</x:f>
        <x:v>0</x:v>
      </x:c>
      <x:c r="AS161" s="315" t="str">
        <x:f>IF(AN161&lt;&gt;"Yes","Not logged",IF(AL161&gt;='Setup'!$B$14,"STOP / MODIFY",IF(Z161=0,"Complete",IF(OR(AO161=0,AK161=""),"Add set data + RIR",IF(AND(MAX(AB161,AD161,AF161,AH161,AJ161)&gt;=P161,AK161&gt;=Q161+1),"Progress",IF(OR(MAX(AB161,AD161,AF161,AH161,AJ161)&lt;O161,AK161&lt;Q161-1),"Regress","Hold"))))))</x:f>
        <x:v>Not logged</x:v>
      </x:c>
      <x:c r="AT161" s="335" t="n">
        <x:f>IF(OR(Z161=0,AN161&lt;&gt;"Yes",AO161=0,AK161=""),0,IF(AL161&gt;='Setup'!$B$14,-2*'Setup'!$B$11,IF(AND(MAX(AB161,AD161,AF161,AH161,AJ161)&gt;=P161,AK161&gt;=Q161+1),'Setup'!$B$10,IF(OR(MAX(AB161,AD161,AF161,AH161,AJ161)&lt;O161,AK161&lt;Q161-1),-'Setup'!$B$11,0))))</x:f>
        <x:v>0</x:v>
      </x:c>
      <x:c r="AU161" s="333" t="n">
        <x:f>IF(Z161=0,0,IF(AN161&lt;&gt;"Yes",Z161,IF(COUNT(AA161,AC161,AE161,AG161,AI161)=0,Z161,ROUND((MAX(AA161,AC161,AE161,AG161,AI161)*(1+AT161))/'Setup'!$B$9,0)*'Setup'!$B$9)))</x:f>
        <x:v>0</x:v>
      </x:c>
      <x:c r="AV161" s="336"/>
    </x:row>
    <x:row r="162">
      <x:c r="A162" s="310" t="n">
        <x:f>'Setup'!$B$3+(C162-1)*7+(D162-1)</x:f>
        <x:v>46262</x:v>
      </x:c>
      <x:c r="B162" s="311" t="str">
        <x:v>3|5|4</x:v>
      </x:c>
      <x:c r="C162" s="311" t="n">
        <x:v>3</x:v>
      </x:c>
      <x:c r="D162" s="311" t="n">
        <x:v>5</x:v>
      </x:c>
      <x:c r="E162" s="311" t="str">
        <x:v>Accumulation</x:v>
      </x:c>
      <x:c r="F162" s="311" t="str">
        <x:v>Legs B + Athletic</x:v>
      </x:c>
      <x:c r="G162" s="311" t="str">
        <x:v>Acceleration + lower-body hypertrophy</x:v>
      </x:c>
      <x:c r="H162" s="311" t="n">
        <x:v>4</x:v>
      </x:c>
      <x:c r="I162" s="311" t="str">
        <x:v>Barbell Hip Thrust</x:v>
      </x:c>
      <x:c r="J162" s="311" t="str">
        <x:v>Hypertrophy</x:v>
      </x:c>
      <x:c r="K162" s="311" t="str">
        <x:v>Glutes</x:v>
      </x:c>
      <x:c r="L162" s="311" t="str">
        <x:v>Straight sets</x:v>
      </x:c>
      <x:c r="M162" s="311"/>
      <x:c r="N162" s="311" t="n">
        <x:v>3</x:v>
      </x:c>
      <x:c r="O162" s="311" t="n">
        <x:v>8</x:v>
      </x:c>
      <x:c r="P162" s="311" t="n">
        <x:v>12</x:v>
      </x:c>
      <x:c r="Q162" s="311" t="n">
        <x:v>1</x:v>
      </x:c>
      <x:c r="R162" s="311" t="n">
        <x:v>90</x:v>
      </x:c>
      <x:c r="S162" s="311" t="str">
        <x:v>2-1-1</x:v>
      </x:c>
      <x:c r="T162" s="330" t="n">
        <x:v>1</x:v>
      </x:c>
      <x:c r="U162" s="330" t="n">
        <x:v>0</x:v>
      </x:c>
      <x:c r="V162" s="331" t="str">
        <x:v>load × reps</x:v>
      </x:c>
      <x:c r="W162" s="332" t="str">
        <x:f>'Readiness'!K23</x:f>
      </x:c>
      <x:c r="X162" s="314" t="n">
        <x:f>'Readiness'!L23</x:f>
        <x:v>1</x:v>
      </x:c>
      <x:c r="Y162" s="315" t="n">
        <x:f>IF(J162="Mobility",N162,MAX(1,ROUND(N162*X162,0)))</x:f>
        <x:v>3</x:v>
      </x:c>
      <x:c r="Z162" s="333" t="n">
        <x:f>ROUND((IF(AU106&gt;0,AU106,IF(Z106&gt;0,Z106,'Setup'!$D$25))*T162)/'Setup'!$B$9,0)*'Setup'!$B$9</x:f>
        <x:v>0</x:v>
      </x:c>
      <x:c r="AA162" s="334"/>
      <x:c r="AB162" s="334"/>
      <x:c r="AC162" s="334"/>
      <x:c r="AD162" s="334"/>
      <x:c r="AE162" s="334"/>
      <x:c r="AF162" s="334"/>
      <x:c r="AG162" s="334"/>
      <x:c r="AH162" s="334"/>
      <x:c r="AI162" s="334"/>
      <x:c r="AJ162" s="312"/>
      <x:c r="AK162" s="312"/>
      <x:c r="AL162" s="312"/>
      <x:c r="AM162" s="312"/>
      <x:c r="AN162" s="312"/>
      <x:c r="AO162" s="315" t="n">
        <x:f>COUNT(AB162,AD162,AF162,AH162,AJ162)</x:f>
        <x:v>0</x:v>
      </x:c>
      <x:c r="AP162" s="315" t="n">
        <x:f>SUM(AB162,AD162,AF162,AH162,AJ162)</x:f>
        <x:v>0</x:v>
      </x:c>
      <x:c r="AQ162" s="333" t="n">
        <x:f>AA162*AB162+AC162*AD162+AE162*AF162+AG162*AH162+AI162*AJ162</x:f>
        <x:v>0</x:v>
      </x:c>
      <x:c r="AR162" s="333" t="n">
        <x:f>IF(OR(J162="Strength",J162="Hypertrophy"),MAX(IF(AB162&gt;0,AA162*(1+AB162/30),0),IF(AD162&gt;0,AC162*(1+AD162/30),0),IF(AF162&gt;0,AE162*(1+AF162/30),0),IF(AH162&gt;0,AG162*(1+AH162/30),0),IF(AJ162&gt;0,AI162*(1+AJ162/30),0)),0)</x:f>
        <x:v>0</x:v>
      </x:c>
      <x:c r="AS162" s="315" t="str">
        <x:f>IF(AN162&lt;&gt;"Yes","Not logged",IF(AL162&gt;='Setup'!$B$14,"STOP / MODIFY",IF(Z162=0,"Complete",IF(OR(AO162=0,AK162=""),"Add set data + RIR",IF(AND(MAX(AB162,AD162,AF162,AH162,AJ162)&gt;=P162,AK162&gt;=Q162+1),"Progress",IF(OR(MAX(AB162,AD162,AF162,AH162,AJ162)&lt;O162,AK162&lt;Q162-1),"Regress","Hold"))))))</x:f>
        <x:v>Not logged</x:v>
      </x:c>
      <x:c r="AT162" s="335" t="n">
        <x:f>IF(OR(Z162=0,AN162&lt;&gt;"Yes",AO162=0,AK162=""),0,IF(AL162&gt;='Setup'!$B$14,-2*'Setup'!$B$11,IF(AND(MAX(AB162,AD162,AF162,AH162,AJ162)&gt;=P162,AK162&gt;=Q162+1),'Setup'!$B$10,IF(OR(MAX(AB162,AD162,AF162,AH162,AJ162)&lt;O162,AK162&lt;Q162-1),-'Setup'!$B$11,0))))</x:f>
        <x:v>0</x:v>
      </x:c>
      <x:c r="AU162" s="333" t="n">
        <x:f>IF(Z162=0,0,IF(AN162&lt;&gt;"Yes",Z162,IF(COUNT(AA162,AC162,AE162,AG162,AI162)=0,Z162,ROUND((MAX(AA162,AC162,AE162,AG162,AI162)*(1+AT162))/'Setup'!$B$9,0)*'Setup'!$B$9)))</x:f>
        <x:v>0</x:v>
      </x:c>
      <x:c r="AV162" s="336"/>
    </x:row>
    <x:row r="163">
      <x:c r="A163" s="310" t="n">
        <x:f>'Setup'!$B$3+(C163-1)*7+(D163-1)</x:f>
        <x:v>46262</x:v>
      </x:c>
      <x:c r="B163" s="311" t="str">
        <x:v>3|5|5</x:v>
      </x:c>
      <x:c r="C163" s="311" t="n">
        <x:v>3</x:v>
      </x:c>
      <x:c r="D163" s="311" t="n">
        <x:v>5</x:v>
      </x:c>
      <x:c r="E163" s="311" t="str">
        <x:v>Accumulation</x:v>
      </x:c>
      <x:c r="F163" s="311" t="str">
        <x:v>Legs B + Athletic</x:v>
      </x:c>
      <x:c r="G163" s="311" t="str">
        <x:v>Acceleration + lower-body hypertrophy</x:v>
      </x:c>
      <x:c r="H163" s="311" t="n">
        <x:v>5</x:v>
      </x:c>
      <x:c r="I163" s="311" t="str">
        <x:v>Leg Press</x:v>
      </x:c>
      <x:c r="J163" s="311" t="str">
        <x:v>Hypertrophy</x:v>
      </x:c>
      <x:c r="K163" s="311" t="str">
        <x:v>Quads</x:v>
      </x:c>
      <x:c r="L163" s="311" t="str">
        <x:v>Straight sets</x:v>
      </x:c>
      <x:c r="M163" s="311"/>
      <x:c r="N163" s="311" t="n">
        <x:v>3</x:v>
      </x:c>
      <x:c r="O163" s="311" t="n">
        <x:v>12</x:v>
      </x:c>
      <x:c r="P163" s="311" t="n">
        <x:v>15</x:v>
      </x:c>
      <x:c r="Q163" s="311" t="n">
        <x:v>1</x:v>
      </x:c>
      <x:c r="R163" s="311" t="n">
        <x:v>90</x:v>
      </x:c>
      <x:c r="S163" s="311" t="str">
        <x:v>3-0-1</x:v>
      </x:c>
      <x:c r="T163" s="330" t="n">
        <x:v>1</x:v>
      </x:c>
      <x:c r="U163" s="330" t="n">
        <x:v>0</x:v>
      </x:c>
      <x:c r="V163" s="331" t="str">
        <x:v>load × reps</x:v>
      </x:c>
      <x:c r="W163" s="332" t="str">
        <x:f>'Readiness'!K23</x:f>
      </x:c>
      <x:c r="X163" s="314" t="n">
        <x:f>'Readiness'!L23</x:f>
        <x:v>1</x:v>
      </x:c>
      <x:c r="Y163" s="315" t="n">
        <x:f>IF(J163="Mobility",N163,MAX(1,ROUND(N163*X163,0)))</x:f>
        <x:v>3</x:v>
      </x:c>
      <x:c r="Z163" s="333" t="n">
        <x:f>ROUND((IF(AU107&gt;0,AU107,IF(Z107&gt;0,Z107,'Setup'!$D$58))*T163)/'Setup'!$B$9,0)*'Setup'!$B$9</x:f>
        <x:v>0</x:v>
      </x:c>
      <x:c r="AA163" s="334"/>
      <x:c r="AB163" s="334"/>
      <x:c r="AC163" s="334"/>
      <x:c r="AD163" s="334"/>
      <x:c r="AE163" s="334"/>
      <x:c r="AF163" s="334"/>
      <x:c r="AG163" s="334"/>
      <x:c r="AH163" s="334"/>
      <x:c r="AI163" s="334"/>
      <x:c r="AJ163" s="312"/>
      <x:c r="AK163" s="312"/>
      <x:c r="AL163" s="312"/>
      <x:c r="AM163" s="312"/>
      <x:c r="AN163" s="312"/>
      <x:c r="AO163" s="315" t="n">
        <x:f>COUNT(AB163,AD163,AF163,AH163,AJ163)</x:f>
        <x:v>0</x:v>
      </x:c>
      <x:c r="AP163" s="315" t="n">
        <x:f>SUM(AB163,AD163,AF163,AH163,AJ163)</x:f>
        <x:v>0</x:v>
      </x:c>
      <x:c r="AQ163" s="333" t="n">
        <x:f>AA163*AB163+AC163*AD163+AE163*AF163+AG163*AH163+AI163*AJ163</x:f>
        <x:v>0</x:v>
      </x:c>
      <x:c r="AR163" s="333" t="n">
        <x:f>IF(OR(J163="Strength",J163="Hypertrophy"),MAX(IF(AB163&gt;0,AA163*(1+AB163/30),0),IF(AD163&gt;0,AC163*(1+AD163/30),0),IF(AF163&gt;0,AE163*(1+AF163/30),0),IF(AH163&gt;0,AG163*(1+AH163/30),0),IF(AJ163&gt;0,AI163*(1+AJ163/30),0)),0)</x:f>
        <x:v>0</x:v>
      </x:c>
      <x:c r="AS163" s="315" t="str">
        <x:f>IF(AN163&lt;&gt;"Yes","Not logged",IF(AL163&gt;='Setup'!$B$14,"STOP / MODIFY",IF(Z163=0,"Complete",IF(OR(AO163=0,AK163=""),"Add set data + RIR",IF(AND(MAX(AB163,AD163,AF163,AH163,AJ163)&gt;=P163,AK163&gt;=Q163+1),"Progress",IF(OR(MAX(AB163,AD163,AF163,AH163,AJ163)&lt;O163,AK163&lt;Q163-1),"Regress","Hold"))))))</x:f>
        <x:v>Not logged</x:v>
      </x:c>
      <x:c r="AT163" s="335" t="n">
        <x:f>IF(OR(Z163=0,AN163&lt;&gt;"Yes",AO163=0,AK163=""),0,IF(AL163&gt;='Setup'!$B$14,-2*'Setup'!$B$11,IF(AND(MAX(AB163,AD163,AF163,AH163,AJ163)&gt;=P163,AK163&gt;=Q163+1),'Setup'!$B$10,IF(OR(MAX(AB163,AD163,AF163,AH163,AJ163)&lt;O163,AK163&lt;Q163-1),-'Setup'!$B$11,0))))</x:f>
        <x:v>0</x:v>
      </x:c>
      <x:c r="AU163" s="333" t="n">
        <x:f>IF(Z163=0,0,IF(AN163&lt;&gt;"Yes",Z163,IF(COUNT(AA163,AC163,AE163,AG163,AI163)=0,Z163,ROUND((MAX(AA163,AC163,AE163,AG163,AI163)*(1+AT163))/'Setup'!$B$9,0)*'Setup'!$B$9)))</x:f>
        <x:v>0</x:v>
      </x:c>
      <x:c r="AV163" s="336"/>
    </x:row>
    <x:row r="164">
      <x:c r="A164" s="310" t="n">
        <x:f>'Setup'!$B$3+(C164-1)*7+(D164-1)</x:f>
        <x:v>46262</x:v>
      </x:c>
      <x:c r="B164" s="311" t="str">
        <x:v>3|5|6</x:v>
      </x:c>
      <x:c r="C164" s="311" t="n">
        <x:v>3</x:v>
      </x:c>
      <x:c r="D164" s="311" t="n">
        <x:v>5</x:v>
      </x:c>
      <x:c r="E164" s="311" t="str">
        <x:v>Accumulation</x:v>
      </x:c>
      <x:c r="F164" s="311" t="str">
        <x:v>Legs B + Athletic</x:v>
      </x:c>
      <x:c r="G164" s="311" t="str">
        <x:v>Acceleration + lower-body hypertrophy</x:v>
      </x:c>
      <x:c r="H164" s="311" t="n">
        <x:v>6</x:v>
      </x:c>
      <x:c r="I164" s="311" t="str">
        <x:v>Walking Lunge</x:v>
      </x:c>
      <x:c r="J164" s="311" t="str">
        <x:v>Hypertrophy</x:v>
      </x:c>
      <x:c r="K164" s="311" t="str">
        <x:v>Quads</x:v>
      </x:c>
      <x:c r="L164" s="311" t="str">
        <x:v>Straight sets</x:v>
      </x:c>
      <x:c r="M164" s="311"/>
      <x:c r="N164" s="311" t="n">
        <x:v>2</x:v>
      </x:c>
      <x:c r="O164" s="311" t="n">
        <x:v>10</x:v>
      </x:c>
      <x:c r="P164" s="311" t="n">
        <x:v>12</x:v>
      </x:c>
      <x:c r="Q164" s="311" t="n">
        <x:v>1</x:v>
      </x:c>
      <x:c r="R164" s="311" t="n">
        <x:v>75</x:v>
      </x:c>
      <x:c r="S164" s="311" t="str">
        <x:v>2-0-1</x:v>
      </x:c>
      <x:c r="T164" s="330" t="n">
        <x:v>1</x:v>
      </x:c>
      <x:c r="U164" s="330" t="n">
        <x:v>0</x:v>
      </x:c>
      <x:c r="V164" s="331" t="str">
        <x:v>load × reps</x:v>
      </x:c>
      <x:c r="W164" s="332" t="str">
        <x:f>'Readiness'!K23</x:f>
      </x:c>
      <x:c r="X164" s="314" t="n">
        <x:f>'Readiness'!L23</x:f>
        <x:v>1</x:v>
      </x:c>
      <x:c r="Y164" s="315" t="n">
        <x:f>IF(J164="Mobility",N164,MAX(1,ROUND(N164*X164,0)))</x:f>
        <x:v>2</x:v>
      </x:c>
      <x:c r="Z164" s="333" t="n">
        <x:f>ROUND((IF(AU108&gt;0,AU108,IF(Z108&gt;0,Z108,'Setup'!$D$93))*T164)/'Setup'!$B$9,0)*'Setup'!$B$9</x:f>
        <x:v>0</x:v>
      </x:c>
      <x:c r="AA164" s="334"/>
      <x:c r="AB164" s="334"/>
      <x:c r="AC164" s="334"/>
      <x:c r="AD164" s="334"/>
      <x:c r="AE164" s="334"/>
      <x:c r="AF164" s="334"/>
      <x:c r="AG164" s="334"/>
      <x:c r="AH164" s="334"/>
      <x:c r="AI164" s="334"/>
      <x:c r="AJ164" s="312"/>
      <x:c r="AK164" s="312"/>
      <x:c r="AL164" s="312"/>
      <x:c r="AM164" s="312"/>
      <x:c r="AN164" s="312"/>
      <x:c r="AO164" s="315" t="n">
        <x:f>COUNT(AB164,AD164,AF164,AH164,AJ164)</x:f>
        <x:v>0</x:v>
      </x:c>
      <x:c r="AP164" s="315" t="n">
        <x:f>SUM(AB164,AD164,AF164,AH164,AJ164)</x:f>
        <x:v>0</x:v>
      </x:c>
      <x:c r="AQ164" s="333" t="n">
        <x:f>AA164*AB164+AC164*AD164+AE164*AF164+AG164*AH164+AI164*AJ164</x:f>
        <x:v>0</x:v>
      </x:c>
      <x:c r="AR164" s="333" t="n">
        <x:f>IF(OR(J164="Strength",J164="Hypertrophy"),MAX(IF(AB164&gt;0,AA164*(1+AB164/30),0),IF(AD164&gt;0,AC164*(1+AD164/30),0),IF(AF164&gt;0,AE164*(1+AF164/30),0),IF(AH164&gt;0,AG164*(1+AH164/30),0),IF(AJ164&gt;0,AI164*(1+AJ164/30),0)),0)</x:f>
        <x:v>0</x:v>
      </x:c>
      <x:c r="AS164" s="315" t="str">
        <x:f>IF(AN164&lt;&gt;"Yes","Not logged",IF(AL164&gt;='Setup'!$B$14,"STOP / MODIFY",IF(Z164=0,"Complete",IF(OR(AO164=0,AK164=""),"Add set data + RIR",IF(AND(MAX(AB164,AD164,AF164,AH164,AJ164)&gt;=P164,AK164&gt;=Q164+1),"Progress",IF(OR(MAX(AB164,AD164,AF164,AH164,AJ164)&lt;O164,AK164&lt;Q164-1),"Regress","Hold"))))))</x:f>
        <x:v>Not logged</x:v>
      </x:c>
      <x:c r="AT164" s="335" t="n">
        <x:f>IF(OR(Z164=0,AN164&lt;&gt;"Yes",AO164=0,AK164=""),0,IF(AL164&gt;='Setup'!$B$14,-2*'Setup'!$B$11,IF(AND(MAX(AB164,AD164,AF164,AH164,AJ164)&gt;=P164,AK164&gt;=Q164+1),'Setup'!$B$10,IF(OR(MAX(AB164,AD164,AF164,AH164,AJ164)&lt;O164,AK164&lt;Q164-1),-'Setup'!$B$11,0))))</x:f>
        <x:v>0</x:v>
      </x:c>
      <x:c r="AU164" s="333" t="n">
        <x:f>IF(Z164=0,0,IF(AN164&lt;&gt;"Yes",Z164,IF(COUNT(AA164,AC164,AE164,AG164,AI164)=0,Z164,ROUND((MAX(AA164,AC164,AE164,AG164,AI164)*(1+AT164))/'Setup'!$B$9,0)*'Setup'!$B$9)))</x:f>
        <x:v>0</x:v>
      </x:c>
      <x:c r="AV164" s="336"/>
    </x:row>
    <x:row r="165">
      <x:c r="A165" s="310" t="n">
        <x:f>'Setup'!$B$3+(C165-1)*7+(D165-1)</x:f>
        <x:v>46262</x:v>
      </x:c>
      <x:c r="B165" s="311" t="str">
        <x:v>3|5|7</x:v>
      </x:c>
      <x:c r="C165" s="311" t="n">
        <x:v>3</x:v>
      </x:c>
      <x:c r="D165" s="311" t="n">
        <x:v>5</x:v>
      </x:c>
      <x:c r="E165" s="311" t="str">
        <x:v>Accumulation</x:v>
      </x:c>
      <x:c r="F165" s="311" t="str">
        <x:v>Legs B + Athletic</x:v>
      </x:c>
      <x:c r="G165" s="311" t="str">
        <x:v>Acceleration + lower-body hypertrophy</x:v>
      </x:c>
      <x:c r="H165" s="311" t="n">
        <x:v>7</x:v>
      </x:c>
      <x:c r="I165" s="311" t="str">
        <x:v>Sled Push</x:v>
      </x:c>
      <x:c r="J165" s="311" t="str">
        <x:v>Athletic</x:v>
      </x:c>
      <x:c r="K165" s="311" t="str">
        <x:v>Quads</x:v>
      </x:c>
      <x:c r="L165" s="311" t="str">
        <x:v>Fast, powerful steps</x:v>
      </x:c>
      <x:c r="M165" s="311"/>
      <x:c r="N165" s="311" t="n">
        <x:v>6</x:v>
      </x:c>
      <x:c r="O165" s="311" t="n">
        <x:v>20</x:v>
      </x:c>
      <x:c r="P165" s="311" t="n">
        <x:v>25</x:v>
      </x:c>
      <x:c r="Q165" s="311" t="n">
        <x:v>2</x:v>
      </x:c>
      <x:c r="R165" s="311" t="n">
        <x:v>75</x:v>
      </x:c>
      <x:c r="S165" s="311" t="str">
        <x:v>Fast</x:v>
      </x:c>
      <x:c r="T165" s="330" t="n">
        <x:v>1</x:v>
      </x:c>
      <x:c r="U165" s="330" t="n">
        <x:v>0</x:v>
      </x:c>
      <x:c r="V165" s="331" t="str">
        <x:v>load + meters</x:v>
      </x:c>
      <x:c r="W165" s="332" t="str">
        <x:f>'Readiness'!K23</x:f>
      </x:c>
      <x:c r="X165" s="314" t="n">
        <x:f>'Readiness'!L23</x:f>
        <x:v>1</x:v>
      </x:c>
      <x:c r="Y165" s="315" t="n">
        <x:f>IF(J165="Mobility",N165,MAX(1,ROUND(N165*X165,0)))</x:f>
        <x:v>6</x:v>
      </x:c>
      <x:c r="Z165" s="333" t="n">
        <x:f>0</x:f>
        <x:v>0</x:v>
      </x:c>
      <x:c r="AA165" s="334"/>
      <x:c r="AB165" s="334"/>
      <x:c r="AC165" s="334"/>
      <x:c r="AD165" s="334"/>
      <x:c r="AE165" s="334"/>
      <x:c r="AF165" s="334"/>
      <x:c r="AG165" s="334"/>
      <x:c r="AH165" s="334"/>
      <x:c r="AI165" s="334"/>
      <x:c r="AJ165" s="312"/>
      <x:c r="AK165" s="312"/>
      <x:c r="AL165" s="312"/>
      <x:c r="AM165" s="312"/>
      <x:c r="AN165" s="312"/>
      <x:c r="AO165" s="315" t="n">
        <x:f>COUNT(AB165,AD165,AF165,AH165,AJ165)</x:f>
        <x:v>0</x:v>
      </x:c>
      <x:c r="AP165" s="315" t="n">
        <x:f>SUM(AB165,AD165,AF165,AH165,AJ165)</x:f>
        <x:v>0</x:v>
      </x:c>
      <x:c r="AQ165" s="333" t="n">
        <x:f>AA165*AB165+AC165*AD165+AE165*AF165+AG165*AH165+AI165*AJ165</x:f>
        <x:v>0</x:v>
      </x:c>
      <x:c r="AR165" s="333" t="n">
        <x:f>IF(OR(J165="Strength",J165="Hypertrophy"),MAX(IF(AB165&gt;0,AA165*(1+AB165/30),0),IF(AD165&gt;0,AC165*(1+AD165/30),0),IF(AF165&gt;0,AE165*(1+AF165/30),0),IF(AH165&gt;0,AG165*(1+AH165/30),0),IF(AJ165&gt;0,AI165*(1+AJ165/30),0)),0)</x:f>
        <x:v>0</x:v>
      </x:c>
      <x:c r="AS165" s="315" t="str">
        <x:f>IF(AN165&lt;&gt;"Yes","Not logged",IF(AL165&gt;='Setup'!$B$14,"STOP / MODIFY",IF(Z165=0,"Complete",IF(OR(AO165=0,AK165=""),"Add set data + RIR",IF(AND(MAX(AB165,AD165,AF165,AH165,AJ165)&gt;=P165,AK165&gt;=Q165+1),"Progress",IF(OR(MAX(AB165,AD165,AF165,AH165,AJ165)&lt;O165,AK165&lt;Q165-1),"Regress","Hold"))))))</x:f>
        <x:v>Not logged</x:v>
      </x:c>
      <x:c r="AT165" s="335" t="n">
        <x:f>IF(OR(Z165=0,AN165&lt;&gt;"Yes",AO165=0,AK165=""),0,IF(AL165&gt;='Setup'!$B$14,-2*'Setup'!$B$11,IF(AND(MAX(AB165,AD165,AF165,AH165,AJ165)&gt;=P165,AK165&gt;=Q165+1),'Setup'!$B$10,IF(OR(MAX(AB165,AD165,AF165,AH165,AJ165)&lt;O165,AK165&lt;Q165-1),-'Setup'!$B$11,0))))</x:f>
        <x:v>0</x:v>
      </x:c>
      <x:c r="AU165" s="333" t="n">
        <x:f>IF(Z165=0,0,IF(AN165&lt;&gt;"Yes",Z165,IF(COUNT(AA165,AC165,AE165,AG165,AI165)=0,Z165,ROUND((MAX(AA165,AC165,AE165,AG165,AI165)*(1+AT165))/'Setup'!$B$9,0)*'Setup'!$B$9)))</x:f>
        <x:v>0</x:v>
      </x:c>
      <x:c r="AV165" s="336"/>
    </x:row>
    <x:row r="166">
      <x:c r="A166" s="310" t="n">
        <x:f>'Setup'!$B$3+(C166-1)*7+(D166-1)</x:f>
        <x:v>46262</x:v>
      </x:c>
      <x:c r="B166" s="311" t="str">
        <x:v>3|5|8</x:v>
      </x:c>
      <x:c r="C166" s="311" t="n">
        <x:v>3</x:v>
      </x:c>
      <x:c r="D166" s="311" t="n">
        <x:v>5</x:v>
      </x:c>
      <x:c r="E166" s="311" t="str">
        <x:v>Accumulation</x:v>
      </x:c>
      <x:c r="F166" s="311" t="str">
        <x:v>Legs B + Athletic</x:v>
      </x:c>
      <x:c r="G166" s="311" t="str">
        <x:v>Acceleration + lower-body hypertrophy</x:v>
      </x:c>
      <x:c r="H166" s="311" t="n">
        <x:v>8</x:v>
      </x:c>
      <x:c r="I166" s="311" t="str">
        <x:v>Seated Calf Raise</x:v>
      </x:c>
      <x:c r="J166" s="311" t="str">
        <x:v>Hypertrophy</x:v>
      </x:c>
      <x:c r="K166" s="311" t="str">
        <x:v>Calves</x:v>
      </x:c>
      <x:c r="L166" s="311" t="str">
        <x:v>Myo-rep: activation set + 3 mini-sets</x:v>
      </x:c>
      <x:c r="M166" s="311"/>
      <x:c r="N166" s="311" t="n">
        <x:v>3</x:v>
      </x:c>
      <x:c r="O166" s="311" t="n">
        <x:v>12</x:v>
      </x:c>
      <x:c r="P166" s="311" t="n">
        <x:v>20</x:v>
      </x:c>
      <x:c r="Q166" s="311" t="n">
        <x:v>1</x:v>
      </x:c>
      <x:c r="R166" s="311" t="n">
        <x:v>60</x:v>
      </x:c>
      <x:c r="S166" s="311" t="str">
        <x:v>2-2-1</x:v>
      </x:c>
      <x:c r="T166" s="330" t="n">
        <x:v>1</x:v>
      </x:c>
      <x:c r="U166" s="330" t="n">
        <x:v>0</x:v>
      </x:c>
      <x:c r="V166" s="331" t="str">
        <x:v>load × reps</x:v>
      </x:c>
      <x:c r="W166" s="332" t="str">
        <x:f>'Readiness'!K23</x:f>
      </x:c>
      <x:c r="X166" s="314" t="n">
        <x:f>'Readiness'!L23</x:f>
        <x:v>1</x:v>
      </x:c>
      <x:c r="Y166" s="315" t="n">
        <x:f>IF(J166="Mobility",N166,MAX(1,ROUND(N166*X166,0)))</x:f>
        <x:v>3</x:v>
      </x:c>
      <x:c r="Z166" s="333" t="n">
        <x:f>ROUND((IF(AU110&gt;0,AU110,IF(Z110&gt;0,Z110,'Setup'!$D$82))*T166)/'Setup'!$B$9,0)*'Setup'!$B$9</x:f>
        <x:v>0</x:v>
      </x:c>
      <x:c r="AA166" s="334"/>
      <x:c r="AB166" s="334"/>
      <x:c r="AC166" s="334"/>
      <x:c r="AD166" s="334"/>
      <x:c r="AE166" s="334"/>
      <x:c r="AF166" s="334"/>
      <x:c r="AG166" s="334"/>
      <x:c r="AH166" s="334"/>
      <x:c r="AI166" s="334"/>
      <x:c r="AJ166" s="312"/>
      <x:c r="AK166" s="312"/>
      <x:c r="AL166" s="312"/>
      <x:c r="AM166" s="312"/>
      <x:c r="AN166" s="312"/>
      <x:c r="AO166" s="315" t="n">
        <x:f>COUNT(AB166,AD166,AF166,AH166,AJ166)</x:f>
        <x:v>0</x:v>
      </x:c>
      <x:c r="AP166" s="315" t="n">
        <x:f>SUM(AB166,AD166,AF166,AH166,AJ166)</x:f>
        <x:v>0</x:v>
      </x:c>
      <x:c r="AQ166" s="333" t="n">
        <x:f>AA166*AB166+AC166*AD166+AE166*AF166+AG166*AH166+AI166*AJ166</x:f>
        <x:v>0</x:v>
      </x:c>
      <x:c r="AR166" s="333" t="n">
        <x:f>IF(OR(J166="Strength",J166="Hypertrophy"),MAX(IF(AB166&gt;0,AA166*(1+AB166/30),0),IF(AD166&gt;0,AC166*(1+AD166/30),0),IF(AF166&gt;0,AE166*(1+AF166/30),0),IF(AH166&gt;0,AG166*(1+AH166/30),0),IF(AJ166&gt;0,AI166*(1+AJ166/30),0)),0)</x:f>
        <x:v>0</x:v>
      </x:c>
      <x:c r="AS166" s="315" t="str">
        <x:f>IF(AN166&lt;&gt;"Yes","Not logged",IF(AL166&gt;='Setup'!$B$14,"STOP / MODIFY",IF(Z166=0,"Complete",IF(OR(AO166=0,AK166=""),"Add set data + RIR",IF(AND(MAX(AB166,AD166,AF166,AH166,AJ166)&gt;=P166,AK166&gt;=Q166+1),"Progress",IF(OR(MAX(AB166,AD166,AF166,AH166,AJ166)&lt;O166,AK166&lt;Q166-1),"Regress","Hold"))))))</x:f>
        <x:v>Not logged</x:v>
      </x:c>
      <x:c r="AT166" s="335" t="n">
        <x:f>IF(OR(Z166=0,AN166&lt;&gt;"Yes",AO166=0,AK166=""),0,IF(AL166&gt;='Setup'!$B$14,-2*'Setup'!$B$11,IF(AND(MAX(AB166,AD166,AF166,AH166,AJ166)&gt;=P166,AK166&gt;=Q166+1),'Setup'!$B$10,IF(OR(MAX(AB166,AD166,AF166,AH166,AJ166)&lt;O166,AK166&lt;Q166-1),-'Setup'!$B$11,0))))</x:f>
        <x:v>0</x:v>
      </x:c>
      <x:c r="AU166" s="333" t="n">
        <x:f>IF(Z166=0,0,IF(AN166&lt;&gt;"Yes",Z166,IF(COUNT(AA166,AC166,AE166,AG166,AI166)=0,Z166,ROUND((MAX(AA166,AC166,AE166,AG166,AI166)*(1+AT166))/'Setup'!$B$9,0)*'Setup'!$B$9)))</x:f>
        <x:v>0</x:v>
      </x:c>
      <x:c r="AV166" s="336"/>
    </x:row>
    <x:row r="167">
      <x:c r="A167" s="310" t="n">
        <x:f>'Setup'!$B$3+(C167-1)*7+(D167-1)</x:f>
        <x:v>46262</x:v>
      </x:c>
      <x:c r="B167" s="311" t="str">
        <x:v>3|5|9</x:v>
      </x:c>
      <x:c r="C167" s="311" t="n">
        <x:v>3</x:v>
      </x:c>
      <x:c r="D167" s="311" t="n">
        <x:v>5</x:v>
      </x:c>
      <x:c r="E167" s="311" t="str">
        <x:v>Accumulation</x:v>
      </x:c>
      <x:c r="F167" s="311" t="str">
        <x:v>Legs B + Athletic</x:v>
      </x:c>
      <x:c r="G167" s="311" t="str">
        <x:v>Acceleration + lower-body hypertrophy</x:v>
      </x:c>
      <x:c r="H167" s="311" t="n">
        <x:v>9</x:v>
      </x:c>
      <x:c r="I167" s="311" t="str">
        <x:v>Copenhagen Plank</x:v>
      </x:c>
      <x:c r="J167" s="311" t="str">
        <x:v>Mobility</x:v>
      </x:c>
      <x:c r="K167" s="311" t="str">
        <x:v>Core</x:v>
      </x:c>
      <x:c r="L167" s="311" t="str">
        <x:v>Isometric control</x:v>
      </x:c>
      <x:c r="M167" s="311"/>
      <x:c r="N167" s="311" t="n">
        <x:v>2</x:v>
      </x:c>
      <x:c r="O167" s="311" t="n">
        <x:v>20</x:v>
      </x:c>
      <x:c r="P167" s="311" t="n">
        <x:v>30</x:v>
      </x:c>
      <x:c r="Q167" s="311"/>
      <x:c r="R167" s="311" t="n">
        <x:v>30</x:v>
      </x:c>
      <x:c r="S167" s="311" t="str">
        <x:v>Hold</x:v>
      </x:c>
      <x:c r="T167" s="330" t="n">
        <x:v>1</x:v>
      </x:c>
      <x:c r="U167" s="330" t="n">
        <x:v>0</x:v>
      </x:c>
      <x:c r="V167" s="331" t="str">
        <x:v>seconds</x:v>
      </x:c>
      <x:c r="W167" s="332" t="str">
        <x:f>'Readiness'!K23</x:f>
      </x:c>
      <x:c r="X167" s="314" t="n">
        <x:f>'Readiness'!L23</x:f>
        <x:v>1</x:v>
      </x:c>
      <x:c r="Y167" s="315" t="n">
        <x:f>IF(J167="Mobility",N167,MAX(1,ROUND(N167*X167,0)))</x:f>
        <x:v>2</x:v>
      </x:c>
      <x:c r="Z167" s="333" t="n">
        <x:f>0</x:f>
        <x:v>0</x:v>
      </x:c>
      <x:c r="AA167" s="334"/>
      <x:c r="AB167" s="334"/>
      <x:c r="AC167" s="334"/>
      <x:c r="AD167" s="334"/>
      <x:c r="AE167" s="334"/>
      <x:c r="AF167" s="334"/>
      <x:c r="AG167" s="334"/>
      <x:c r="AH167" s="334"/>
      <x:c r="AI167" s="334"/>
      <x:c r="AJ167" s="312"/>
      <x:c r="AK167" s="312"/>
      <x:c r="AL167" s="312"/>
      <x:c r="AM167" s="312"/>
      <x:c r="AN167" s="312"/>
      <x:c r="AO167" s="315" t="n">
        <x:f>COUNT(AB167,AD167,AF167,AH167,AJ167)</x:f>
        <x:v>0</x:v>
      </x:c>
      <x:c r="AP167" s="315" t="n">
        <x:f>SUM(AB167,AD167,AF167,AH167,AJ167)</x:f>
        <x:v>0</x:v>
      </x:c>
      <x:c r="AQ167" s="333" t="n">
        <x:f>AA167*AB167+AC167*AD167+AE167*AF167+AG167*AH167+AI167*AJ167</x:f>
        <x:v>0</x:v>
      </x:c>
      <x:c r="AR167" s="333" t="n">
        <x:f>IF(OR(J167="Strength",J167="Hypertrophy"),MAX(IF(AB167&gt;0,AA167*(1+AB167/30),0),IF(AD167&gt;0,AC167*(1+AD167/30),0),IF(AF167&gt;0,AE167*(1+AF167/30),0),IF(AH167&gt;0,AG167*(1+AH167/30),0),IF(AJ167&gt;0,AI167*(1+AJ167/30),0)),0)</x:f>
        <x:v>0</x:v>
      </x:c>
      <x:c r="AS167" s="315" t="str">
        <x:f>IF(AN167&lt;&gt;"Yes","Not logged",IF(AL167&gt;='Setup'!$B$14,"STOP / MODIFY",IF(Z167=0,"Complete",IF(OR(AO167=0,AK167=""),"Add set data + RIR",IF(AND(MAX(AB167,AD167,AF167,AH167,AJ167)&gt;=P167,AK167&gt;=Q167+1),"Progress",IF(OR(MAX(AB167,AD167,AF167,AH167,AJ167)&lt;O167,AK167&lt;Q167-1),"Regress","Hold"))))))</x:f>
        <x:v>Not logged</x:v>
      </x:c>
      <x:c r="AT167" s="335" t="n">
        <x:f>IF(OR(Z167=0,AN167&lt;&gt;"Yes",AO167=0,AK167=""),0,IF(AL167&gt;='Setup'!$B$14,-2*'Setup'!$B$11,IF(AND(MAX(AB167,AD167,AF167,AH167,AJ167)&gt;=P167,AK167&gt;=Q167+1),'Setup'!$B$10,IF(OR(MAX(AB167,AD167,AF167,AH167,AJ167)&lt;O167,AK167&lt;Q167-1),-'Setup'!$B$11,0))))</x:f>
        <x:v>0</x:v>
      </x:c>
      <x:c r="AU167" s="333" t="n">
        <x:f>IF(Z167=0,0,IF(AN167&lt;&gt;"Yes",Z167,IF(COUNT(AA167,AC167,AE167,AG167,AI167)=0,Z167,ROUND((MAX(AA167,AC167,AE167,AG167,AI167)*(1+AT167))/'Setup'!$B$9,0)*'Setup'!$B$9)))</x:f>
        <x:v>0</x:v>
      </x:c>
      <x:c r="AV167" s="336"/>
    </x:row>
    <x:row r="168">
      <x:c r="A168" s="310" t="n">
        <x:f>'Setup'!$B$3+(C168-1)*7+(D168-1)</x:f>
        <x:v>46262</x:v>
      </x:c>
      <x:c r="B168" s="311" t="str">
        <x:v>3|5|10</x:v>
      </x:c>
      <x:c r="C168" s="311" t="n">
        <x:v>3</x:v>
      </x:c>
      <x:c r="D168" s="311" t="n">
        <x:v>5</x:v>
      </x:c>
      <x:c r="E168" s="311" t="str">
        <x:v>Accumulation</x:v>
      </x:c>
      <x:c r="F168" s="311" t="str">
        <x:v>Legs B + Athletic</x:v>
      </x:c>
      <x:c r="G168" s="311" t="str">
        <x:v>Acceleration + lower-body hypertrophy</x:v>
      </x:c>
      <x:c r="H168" s="311" t="n">
        <x:v>10</x:v>
      </x:c>
      <x:c r="I168" s="311" t="str">
        <x:v>Couch Stretch</x:v>
      </x:c>
      <x:c r="J168" s="311" t="str">
        <x:v>Mobility</x:v>
      </x:c>
      <x:c r="K168" s="311" t="str">
        <x:v>Hips</x:v>
      </x:c>
      <x:c r="L168" s="311" t="str">
        <x:v>Relaxed breathing</x:v>
      </x:c>
      <x:c r="M168" s="311"/>
      <x:c r="N168" s="311" t="n">
        <x:v>2</x:v>
      </x:c>
      <x:c r="O168" s="311" t="n">
        <x:v>30</x:v>
      </x:c>
      <x:c r="P168" s="311" t="n">
        <x:v>45</x:v>
      </x:c>
      <x:c r="Q168" s="311"/>
      <x:c r="R168" s="311" t="n">
        <x:v>20</x:v>
      </x:c>
      <x:c r="S168" s="311" t="str">
        <x:v>Hold</x:v>
      </x:c>
      <x:c r="T168" s="330" t="n">
        <x:v>1</x:v>
      </x:c>
      <x:c r="U168" s="330" t="n">
        <x:v>0</x:v>
      </x:c>
      <x:c r="V168" s="331" t="str">
        <x:v>seconds</x:v>
      </x:c>
      <x:c r="W168" s="332" t="str">
        <x:f>'Readiness'!K23</x:f>
      </x:c>
      <x:c r="X168" s="314" t="n">
        <x:f>'Readiness'!L23</x:f>
        <x:v>1</x:v>
      </x:c>
      <x:c r="Y168" s="315" t="n">
        <x:f>IF(J168="Mobility",N168,MAX(1,ROUND(N168*X168,0)))</x:f>
        <x:v>2</x:v>
      </x:c>
      <x:c r="Z168" s="333" t="n">
        <x:f>0</x:f>
        <x:v>0</x:v>
      </x:c>
      <x:c r="AA168" s="334"/>
      <x:c r="AB168" s="334"/>
      <x:c r="AC168" s="334"/>
      <x:c r="AD168" s="334"/>
      <x:c r="AE168" s="334"/>
      <x:c r="AF168" s="334"/>
      <x:c r="AG168" s="334"/>
      <x:c r="AH168" s="334"/>
      <x:c r="AI168" s="334"/>
      <x:c r="AJ168" s="312"/>
      <x:c r="AK168" s="312"/>
      <x:c r="AL168" s="312"/>
      <x:c r="AM168" s="312"/>
      <x:c r="AN168" s="312"/>
      <x:c r="AO168" s="315" t="n">
        <x:f>COUNT(AB168,AD168,AF168,AH168,AJ168)</x:f>
        <x:v>0</x:v>
      </x:c>
      <x:c r="AP168" s="315" t="n">
        <x:f>SUM(AB168,AD168,AF168,AH168,AJ168)</x:f>
        <x:v>0</x:v>
      </x:c>
      <x:c r="AQ168" s="333" t="n">
        <x:f>AA168*AB168+AC168*AD168+AE168*AF168+AG168*AH168+AI168*AJ168</x:f>
        <x:v>0</x:v>
      </x:c>
      <x:c r="AR168" s="333" t="n">
        <x:f>IF(OR(J168="Strength",J168="Hypertrophy"),MAX(IF(AB168&gt;0,AA168*(1+AB168/30),0),IF(AD168&gt;0,AC168*(1+AD168/30),0),IF(AF168&gt;0,AE168*(1+AF168/30),0),IF(AH168&gt;0,AG168*(1+AH168/30),0),IF(AJ168&gt;0,AI168*(1+AJ168/30),0)),0)</x:f>
        <x:v>0</x:v>
      </x:c>
      <x:c r="AS168" s="315" t="str">
        <x:f>IF(AN168&lt;&gt;"Yes","Not logged",IF(AL168&gt;='Setup'!$B$14,"STOP / MODIFY",IF(Z168=0,"Complete",IF(OR(AO168=0,AK168=""),"Add set data + RIR",IF(AND(MAX(AB168,AD168,AF168,AH168,AJ168)&gt;=P168,AK168&gt;=Q168+1),"Progress",IF(OR(MAX(AB168,AD168,AF168,AH168,AJ168)&lt;O168,AK168&lt;Q168-1),"Regress","Hold"))))))</x:f>
        <x:v>Not logged</x:v>
      </x:c>
      <x:c r="AT168" s="335" t="n">
        <x:f>IF(OR(Z168=0,AN168&lt;&gt;"Yes",AO168=0,AK168=""),0,IF(AL168&gt;='Setup'!$B$14,-2*'Setup'!$B$11,IF(AND(MAX(AB168,AD168,AF168,AH168,AJ168)&gt;=P168,AK168&gt;=Q168+1),'Setup'!$B$10,IF(OR(MAX(AB168,AD168,AF168,AH168,AJ168)&lt;O168,AK168&lt;Q168-1),-'Setup'!$B$11,0))))</x:f>
        <x:v>0</x:v>
      </x:c>
      <x:c r="AU168" s="333" t="n">
        <x:f>IF(Z168=0,0,IF(AN168&lt;&gt;"Yes",Z168,IF(COUNT(AA168,AC168,AE168,AG168,AI168)=0,Z168,ROUND((MAX(AA168,AC168,AE168,AG168,AI168)*(1+AT168))/'Setup'!$B$9,0)*'Setup'!$B$9)))</x:f>
        <x:v>0</x:v>
      </x:c>
      <x:c r="AV168" s="336"/>
    </x:row>
    <x:row r="169">
      <x:c r="A169" s="310" t="n">
        <x:f>'Setup'!$B$3+(C169-1)*7+(D169-1)</x:f>
        <x:v>46263</x:v>
      </x:c>
      <x:c r="B169" s="311" t="str">
        <x:v>3|6|1</x:v>
      </x:c>
      <x:c r="C169" s="311" t="n">
        <x:v>3</x:v>
      </x:c>
      <x:c r="D169" s="311" t="n">
        <x:v>6</x:v>
      </x:c>
      <x:c r="E169" s="311" t="str">
        <x:v>Accumulation</x:v>
      </x:c>
      <x:c r="F169" s="311" t="str">
        <x:v>Push B</x:v>
      </x:c>
      <x:c r="G169" s="311" t="str">
        <x:v>Upper-body speed + chest volume</x:v>
      </x:c>
      <x:c r="H169" s="311" t="n">
        <x:v>1</x:v>
      </x:c>
      <x:c r="I169" s="311" t="str">
        <x:v>Plyometric Push-Up</x:v>
      </x:c>
      <x:c r="J169" s="311" t="str">
        <x:v>Power</x:v>
      </x:c>
      <x:c r="K169" s="311" t="str">
        <x:v>Chest</x:v>
      </x:c>
      <x:c r="L169" s="311" t="str">
        <x:v>Full reset, crisp contacts</x:v>
      </x:c>
      <x:c r="M169" s="311"/>
      <x:c r="N169" s="311" t="n">
        <x:v>4</x:v>
      </x:c>
      <x:c r="O169" s="311" t="n">
        <x:v>3</x:v>
      </x:c>
      <x:c r="P169" s="311" t="n">
        <x:v>5</x:v>
      </x:c>
      <x:c r="Q169" s="311" t="n">
        <x:v>2</x:v>
      </x:c>
      <x:c r="R169" s="311" t="n">
        <x:v>60</x:v>
      </x:c>
      <x:c r="S169" s="311" t="str">
        <x:v>Explosive</x:v>
      </x:c>
      <x:c r="T169" s="330" t="n">
        <x:v>1</x:v>
      </x:c>
      <x:c r="U169" s="330" t="n">
        <x:v>0</x:v>
      </x:c>
      <x:c r="V169" s="331" t="str">
        <x:v>reps</x:v>
      </x:c>
      <x:c r="W169" s="332" t="str">
        <x:f>'Readiness'!K24</x:f>
      </x:c>
      <x:c r="X169" s="314" t="n">
        <x:f>'Readiness'!L24</x:f>
        <x:v>1</x:v>
      </x:c>
      <x:c r="Y169" s="315" t="n">
        <x:f>IF(J169="Mobility",N169,MAX(1,ROUND(N169*X169,0)))</x:f>
        <x:v>4</x:v>
      </x:c>
      <x:c r="Z169" s="333" t="n">
        <x:f>0</x:f>
        <x:v>0</x:v>
      </x:c>
      <x:c r="AA169" s="334"/>
      <x:c r="AB169" s="334"/>
      <x:c r="AC169" s="334"/>
      <x:c r="AD169" s="334"/>
      <x:c r="AE169" s="334"/>
      <x:c r="AF169" s="334"/>
      <x:c r="AG169" s="334"/>
      <x:c r="AH169" s="334"/>
      <x:c r="AI169" s="334"/>
      <x:c r="AJ169" s="312"/>
      <x:c r="AK169" s="312"/>
      <x:c r="AL169" s="312"/>
      <x:c r="AM169" s="312"/>
      <x:c r="AN169" s="312"/>
      <x:c r="AO169" s="315" t="n">
        <x:f>COUNT(AB169,AD169,AF169,AH169,AJ169)</x:f>
        <x:v>0</x:v>
      </x:c>
      <x:c r="AP169" s="315" t="n">
        <x:f>SUM(AB169,AD169,AF169,AH169,AJ169)</x:f>
        <x:v>0</x:v>
      </x:c>
      <x:c r="AQ169" s="333" t="n">
        <x:f>AA169*AB169+AC169*AD169+AE169*AF169+AG169*AH169+AI169*AJ169</x:f>
        <x:v>0</x:v>
      </x:c>
      <x:c r="AR169" s="333" t="n">
        <x:f>IF(OR(J169="Strength",J169="Hypertrophy"),MAX(IF(AB169&gt;0,AA169*(1+AB169/30),0),IF(AD169&gt;0,AC169*(1+AD169/30),0),IF(AF169&gt;0,AE169*(1+AF169/30),0),IF(AH169&gt;0,AG169*(1+AH169/30),0),IF(AJ169&gt;0,AI169*(1+AJ169/30),0)),0)</x:f>
        <x:v>0</x:v>
      </x:c>
      <x:c r="AS169" s="315" t="str">
        <x:f>IF(AN169&lt;&gt;"Yes","Not logged",IF(AL169&gt;='Setup'!$B$14,"STOP / MODIFY",IF(Z169=0,"Complete",IF(OR(AO169=0,AK169=""),"Add set data + RIR",IF(AND(MAX(AB169,AD169,AF169,AH169,AJ169)&gt;=P169,AK169&gt;=Q169+1),"Progress",IF(OR(MAX(AB169,AD169,AF169,AH169,AJ169)&lt;O169,AK169&lt;Q169-1),"Regress","Hold"))))))</x:f>
        <x:v>Not logged</x:v>
      </x:c>
      <x:c r="AT169" s="335" t="n">
        <x:f>IF(OR(Z169=0,AN169&lt;&gt;"Yes",AO169=0,AK169=""),0,IF(AL169&gt;='Setup'!$B$14,-2*'Setup'!$B$11,IF(AND(MAX(AB169,AD169,AF169,AH169,AJ169)&gt;=P169,AK169&gt;=Q169+1),'Setup'!$B$10,IF(OR(MAX(AB169,AD169,AF169,AH169,AJ169)&lt;O169,AK169&lt;Q169-1),-'Setup'!$B$11,0))))</x:f>
        <x:v>0</x:v>
      </x:c>
      <x:c r="AU169" s="333" t="n">
        <x:f>IF(Z169=0,0,IF(AN169&lt;&gt;"Yes",Z169,IF(COUNT(AA169,AC169,AE169,AG169,AI169)=0,Z169,ROUND((MAX(AA169,AC169,AE169,AG169,AI169)*(1+AT169))/'Setup'!$B$9,0)*'Setup'!$B$9)))</x:f>
        <x:v>0</x:v>
      </x:c>
      <x:c r="AV169" s="336"/>
    </x:row>
    <x:row r="170">
      <x:c r="A170" s="310" t="n">
        <x:f>'Setup'!$B$3+(C170-1)*7+(D170-1)</x:f>
        <x:v>46263</x:v>
      </x:c>
      <x:c r="B170" s="311" t="str">
        <x:v>3|6|2</x:v>
      </x:c>
      <x:c r="C170" s="311" t="n">
        <x:v>3</x:v>
      </x:c>
      <x:c r="D170" s="311" t="n">
        <x:v>6</x:v>
      </x:c>
      <x:c r="E170" s="311" t="str">
        <x:v>Accumulation</x:v>
      </x:c>
      <x:c r="F170" s="311" t="str">
        <x:v>Push B</x:v>
      </x:c>
      <x:c r="G170" s="311" t="str">
        <x:v>Upper-body speed + chest volume</x:v>
      </x:c>
      <x:c r="H170" s="311" t="n">
        <x:v>2</x:v>
      </x:c>
      <x:c r="I170" s="311" t="str">
        <x:v>Speed Bench Press</x:v>
      </x:c>
      <x:c r="J170" s="311" t="str">
        <x:v>Power</x:v>
      </x:c>
      <x:c r="K170" s="311" t="str">
        <x:v>Chest</x:v>
      </x:c>
      <x:c r="L170" s="311" t="str">
        <x:v>Speed sets, stop if bar slows</x:v>
      </x:c>
      <x:c r="M170" s="311"/>
      <x:c r="N170" s="311" t="n">
        <x:v>5</x:v>
      </x:c>
      <x:c r="O170" s="311" t="n">
        <x:v>3</x:v>
      </x:c>
      <x:c r="P170" s="311" t="n">
        <x:v>3</x:v>
      </x:c>
      <x:c r="Q170" s="311" t="n">
        <x:v>2</x:v>
      </x:c>
      <x:c r="R170" s="311" t="n">
        <x:v>60</x:v>
      </x:c>
      <x:c r="S170" s="311" t="str">
        <x:v>1-0-X</x:v>
      </x:c>
      <x:c r="T170" s="330" t="n">
        <x:v>1</x:v>
      </x:c>
      <x:c r="U170" s="330" t="n">
        <x:v>0.55</x:v>
      </x:c>
      <x:c r="V170" s="331" t="str">
        <x:v>load × reps</x:v>
      </x:c>
      <x:c r="W170" s="332" t="str">
        <x:f>'Readiness'!K24</x:f>
      </x:c>
      <x:c r="X170" s="314" t="n">
        <x:f>'Readiness'!L24</x:f>
        <x:v>1</x:v>
      </x:c>
      <x:c r="Y170" s="315" t="n">
        <x:f>IF(J170="Mobility",N170,MAX(1,ROUND(N170*X170,0)))</x:f>
        <x:v>5</x:v>
      </x:c>
      <x:c r="Z170" s="333" t="n">
        <x:f>ROUND((IF(AU114&gt;0,AU114,IF(Z114&gt;0,Z114,'Setup'!$D$89))*T170)/'Setup'!$B$9,0)*'Setup'!$B$9</x:f>
        <x:v>0</x:v>
      </x:c>
      <x:c r="AA170" s="334"/>
      <x:c r="AB170" s="334"/>
      <x:c r="AC170" s="334"/>
      <x:c r="AD170" s="334"/>
      <x:c r="AE170" s="334"/>
      <x:c r="AF170" s="334"/>
      <x:c r="AG170" s="334"/>
      <x:c r="AH170" s="334"/>
      <x:c r="AI170" s="334"/>
      <x:c r="AJ170" s="312"/>
      <x:c r="AK170" s="312"/>
      <x:c r="AL170" s="312"/>
      <x:c r="AM170" s="312"/>
      <x:c r="AN170" s="312"/>
      <x:c r="AO170" s="315" t="n">
        <x:f>COUNT(AB170,AD170,AF170,AH170,AJ170)</x:f>
        <x:v>0</x:v>
      </x:c>
      <x:c r="AP170" s="315" t="n">
        <x:f>SUM(AB170,AD170,AF170,AH170,AJ170)</x:f>
        <x:v>0</x:v>
      </x:c>
      <x:c r="AQ170" s="333" t="n">
        <x:f>AA170*AB170+AC170*AD170+AE170*AF170+AG170*AH170+AI170*AJ170</x:f>
        <x:v>0</x:v>
      </x:c>
      <x:c r="AR170" s="333" t="n">
        <x:f>IF(OR(J170="Strength",J170="Hypertrophy"),MAX(IF(AB170&gt;0,AA170*(1+AB170/30),0),IF(AD170&gt;0,AC170*(1+AD170/30),0),IF(AF170&gt;0,AE170*(1+AF170/30),0),IF(AH170&gt;0,AG170*(1+AH170/30),0),IF(AJ170&gt;0,AI170*(1+AJ170/30),0)),0)</x:f>
        <x:v>0</x:v>
      </x:c>
      <x:c r="AS170" s="315" t="str">
        <x:f>IF(AN170&lt;&gt;"Yes","Not logged",IF(AL170&gt;='Setup'!$B$14,"STOP / MODIFY",IF(Z170=0,"Complete",IF(OR(AO170=0,AK170=""),"Add set data + RIR",IF(AND(MAX(AB170,AD170,AF170,AH170,AJ170)&gt;=P170,AK170&gt;=Q170+1),"Progress",IF(OR(MAX(AB170,AD170,AF170,AH170,AJ170)&lt;O170,AK170&lt;Q170-1),"Regress","Hold"))))))</x:f>
        <x:v>Not logged</x:v>
      </x:c>
      <x:c r="AT170" s="335" t="n">
        <x:f>IF(OR(Z170=0,AN170&lt;&gt;"Yes",AO170=0,AK170=""),0,IF(AL170&gt;='Setup'!$B$14,-2*'Setup'!$B$11,IF(AND(MAX(AB170,AD170,AF170,AH170,AJ170)&gt;=P170,AK170&gt;=Q170+1),'Setup'!$B$10,IF(OR(MAX(AB170,AD170,AF170,AH170,AJ170)&lt;O170,AK170&lt;Q170-1),-'Setup'!$B$11,0))))</x:f>
        <x:v>0</x:v>
      </x:c>
      <x:c r="AU170" s="333" t="n">
        <x:f>IF(Z170=0,0,IF(AN170&lt;&gt;"Yes",Z170,IF(COUNT(AA170,AC170,AE170,AG170,AI170)=0,Z170,ROUND((MAX(AA170,AC170,AE170,AG170,AI170)*(1+AT170))/'Setup'!$B$9,0)*'Setup'!$B$9)))</x:f>
        <x:v>0</x:v>
      </x:c>
      <x:c r="AV170" s="336"/>
    </x:row>
    <x:row r="171">
      <x:c r="A171" s="310" t="n">
        <x:f>'Setup'!$B$3+(C171-1)*7+(D171-1)</x:f>
        <x:v>46263</x:v>
      </x:c>
      <x:c r="B171" s="311" t="str">
        <x:v>3|6|3</x:v>
      </x:c>
      <x:c r="C171" s="311" t="n">
        <x:v>3</x:v>
      </x:c>
      <x:c r="D171" s="311" t="n">
        <x:v>6</x:v>
      </x:c>
      <x:c r="E171" s="311" t="str">
        <x:v>Accumulation</x:v>
      </x:c>
      <x:c r="F171" s="311" t="str">
        <x:v>Push B</x:v>
      </x:c>
      <x:c r="G171" s="311" t="str">
        <x:v>Upper-body speed + chest volume</x:v>
      </x:c>
      <x:c r="H171" s="311" t="n">
        <x:v>3</x:v>
      </x:c>
      <x:c r="I171" s="311" t="str">
        <x:v>Incline Barbell Bench Press</x:v>
      </x:c>
      <x:c r="J171" s="311" t="str">
        <x:v>Hypertrophy</x:v>
      </x:c>
      <x:c r="K171" s="311" t="str">
        <x:v>Chest</x:v>
      </x:c>
      <x:c r="L171" s="311" t="str">
        <x:v>Straight sets</x:v>
      </x:c>
      <x:c r="M171" s="311"/>
      <x:c r="N171" s="311" t="n">
        <x:v>4</x:v>
      </x:c>
      <x:c r="O171" s="311" t="n">
        <x:v>8</x:v>
      </x:c>
      <x:c r="P171" s="311" t="n">
        <x:v>10</x:v>
      </x:c>
      <x:c r="Q171" s="311" t="n">
        <x:v>1</x:v>
      </x:c>
      <x:c r="R171" s="311" t="n">
        <x:v>120</x:v>
      </x:c>
      <x:c r="S171" s="311" t="str">
        <x:v>3-0-1</x:v>
      </x:c>
      <x:c r="T171" s="330" t="n">
        <x:v>1</x:v>
      </x:c>
      <x:c r="U171" s="330" t="n">
        <x:v>0.58</x:v>
      </x:c>
      <x:c r="V171" s="331" t="str">
        <x:v>load × reps</x:v>
      </x:c>
      <x:c r="W171" s="332" t="str">
        <x:f>'Readiness'!K24</x:f>
      </x:c>
      <x:c r="X171" s="314" t="n">
        <x:f>'Readiness'!L24</x:f>
        <x:v>1</x:v>
      </x:c>
      <x:c r="Y171" s="315" t="n">
        <x:f>IF(J171="Mobility",N171,MAX(1,ROUND(N171*X171,0)))</x:f>
        <x:v>4</x:v>
      </x:c>
      <x:c r="Z171" s="333" t="n">
        <x:f>ROUND((IF(AU115&gt;0,AU115,IF(Z115&gt;0,Z115,'Setup'!$D$49))*T171)/'Setup'!$B$9,0)*'Setup'!$B$9</x:f>
        <x:v>0</x:v>
      </x:c>
      <x:c r="AA171" s="334"/>
      <x:c r="AB171" s="334"/>
      <x:c r="AC171" s="334"/>
      <x:c r="AD171" s="334"/>
      <x:c r="AE171" s="334"/>
      <x:c r="AF171" s="334"/>
      <x:c r="AG171" s="334"/>
      <x:c r="AH171" s="334"/>
      <x:c r="AI171" s="334"/>
      <x:c r="AJ171" s="312"/>
      <x:c r="AK171" s="312"/>
      <x:c r="AL171" s="312"/>
      <x:c r="AM171" s="312"/>
      <x:c r="AN171" s="312"/>
      <x:c r="AO171" s="315" t="n">
        <x:f>COUNT(AB171,AD171,AF171,AH171,AJ171)</x:f>
        <x:v>0</x:v>
      </x:c>
      <x:c r="AP171" s="315" t="n">
        <x:f>SUM(AB171,AD171,AF171,AH171,AJ171)</x:f>
        <x:v>0</x:v>
      </x:c>
      <x:c r="AQ171" s="333" t="n">
        <x:f>AA171*AB171+AC171*AD171+AE171*AF171+AG171*AH171+AI171*AJ171</x:f>
        <x:v>0</x:v>
      </x:c>
      <x:c r="AR171" s="333" t="n">
        <x:f>IF(OR(J171="Strength",J171="Hypertrophy"),MAX(IF(AB171&gt;0,AA171*(1+AB171/30),0),IF(AD171&gt;0,AC171*(1+AD171/30),0),IF(AF171&gt;0,AE171*(1+AF171/30),0),IF(AH171&gt;0,AG171*(1+AH171/30),0),IF(AJ171&gt;0,AI171*(1+AJ171/30),0)),0)</x:f>
        <x:v>0</x:v>
      </x:c>
      <x:c r="AS171" s="315" t="str">
        <x:f>IF(AN171&lt;&gt;"Yes","Not logged",IF(AL171&gt;='Setup'!$B$14,"STOP / MODIFY",IF(Z171=0,"Complete",IF(OR(AO171=0,AK171=""),"Add set data + RIR",IF(AND(MAX(AB171,AD171,AF171,AH171,AJ171)&gt;=P171,AK171&gt;=Q171+1),"Progress",IF(OR(MAX(AB171,AD171,AF171,AH171,AJ171)&lt;O171,AK171&lt;Q171-1),"Regress","Hold"))))))</x:f>
        <x:v>Not logged</x:v>
      </x:c>
      <x:c r="AT171" s="335" t="n">
        <x:f>IF(OR(Z171=0,AN171&lt;&gt;"Yes",AO171=0,AK171=""),0,IF(AL171&gt;='Setup'!$B$14,-2*'Setup'!$B$11,IF(AND(MAX(AB171,AD171,AF171,AH171,AJ171)&gt;=P171,AK171&gt;=Q171+1),'Setup'!$B$10,IF(OR(MAX(AB171,AD171,AF171,AH171,AJ171)&lt;O171,AK171&lt;Q171-1),-'Setup'!$B$11,0))))</x:f>
        <x:v>0</x:v>
      </x:c>
      <x:c r="AU171" s="333" t="n">
        <x:f>IF(Z171=0,0,IF(AN171&lt;&gt;"Yes",Z171,IF(COUNT(AA171,AC171,AE171,AG171,AI171)=0,Z171,ROUND((MAX(AA171,AC171,AE171,AG171,AI171)*(1+AT171))/'Setup'!$B$9,0)*'Setup'!$B$9)))</x:f>
        <x:v>0</x:v>
      </x:c>
      <x:c r="AV171" s="336"/>
    </x:row>
    <x:row r="172">
      <x:c r="A172" s="310" t="n">
        <x:f>'Setup'!$B$3+(C172-1)*7+(D172-1)</x:f>
        <x:v>46263</x:v>
      </x:c>
      <x:c r="B172" s="311" t="str">
        <x:v>3|6|4</x:v>
      </x:c>
      <x:c r="C172" s="311" t="n">
        <x:v>3</x:v>
      </x:c>
      <x:c r="D172" s="311" t="n">
        <x:v>6</x:v>
      </x:c>
      <x:c r="E172" s="311" t="str">
        <x:v>Accumulation</x:v>
      </x:c>
      <x:c r="F172" s="311" t="str">
        <x:v>Push B</x:v>
      </x:c>
      <x:c r="G172" s="311" t="str">
        <x:v>Upper-body speed + chest volume</x:v>
      </x:c>
      <x:c r="H172" s="311" t="n">
        <x:v>4</x:v>
      </x:c>
      <x:c r="I172" s="311" t="str">
        <x:v>Machine Chest Press</x:v>
      </x:c>
      <x:c r="J172" s="311" t="str">
        <x:v>Hypertrophy</x:v>
      </x:c>
      <x:c r="K172" s="311" t="str">
        <x:v>Chest</x:v>
      </x:c>
      <x:c r="L172" s="311" t="str">
        <x:v>Straight sets</x:v>
      </x:c>
      <x:c r="M172" s="311"/>
      <x:c r="N172" s="311" t="n">
        <x:v>3</x:v>
      </x:c>
      <x:c r="O172" s="311" t="n">
        <x:v>10</x:v>
      </x:c>
      <x:c r="P172" s="311" t="n">
        <x:v>12</x:v>
      </x:c>
      <x:c r="Q172" s="311" t="n">
        <x:v>1</x:v>
      </x:c>
      <x:c r="R172" s="311" t="n">
        <x:v>75</x:v>
      </x:c>
      <x:c r="S172" s="311" t="str">
        <x:v>2-1-1</x:v>
      </x:c>
      <x:c r="T172" s="330" t="n">
        <x:v>1</x:v>
      </x:c>
      <x:c r="U172" s="330" t="n">
        <x:v>0</x:v>
      </x:c>
      <x:c r="V172" s="331" t="str">
        <x:v>load × reps</x:v>
      </x:c>
      <x:c r="W172" s="332" t="str">
        <x:f>'Readiness'!K24</x:f>
      </x:c>
      <x:c r="X172" s="314" t="n">
        <x:f>'Readiness'!L24</x:f>
        <x:v>1</x:v>
      </x:c>
      <x:c r="Y172" s="315" t="n">
        <x:f>IF(J172="Mobility",N172,MAX(1,ROUND(N172*X172,0)))</x:f>
        <x:v>3</x:v>
      </x:c>
      <x:c r="Z172" s="333" t="n">
        <x:f>ROUND((IF(AU116&gt;0,AU116,IF(Z116&gt;0,Z116,'Setup'!$D$60))*T172)/'Setup'!$B$9,0)*'Setup'!$B$9</x:f>
        <x:v>0</x:v>
      </x:c>
      <x:c r="AA172" s="334"/>
      <x:c r="AB172" s="334"/>
      <x:c r="AC172" s="334"/>
      <x:c r="AD172" s="334"/>
      <x:c r="AE172" s="334"/>
      <x:c r="AF172" s="334"/>
      <x:c r="AG172" s="334"/>
      <x:c r="AH172" s="334"/>
      <x:c r="AI172" s="334"/>
      <x:c r="AJ172" s="312"/>
      <x:c r="AK172" s="312"/>
      <x:c r="AL172" s="312"/>
      <x:c r="AM172" s="312"/>
      <x:c r="AN172" s="312"/>
      <x:c r="AO172" s="315" t="n">
        <x:f>COUNT(AB172,AD172,AF172,AH172,AJ172)</x:f>
        <x:v>0</x:v>
      </x:c>
      <x:c r="AP172" s="315" t="n">
        <x:f>SUM(AB172,AD172,AF172,AH172,AJ172)</x:f>
        <x:v>0</x:v>
      </x:c>
      <x:c r="AQ172" s="333" t="n">
        <x:f>AA172*AB172+AC172*AD172+AE172*AF172+AG172*AH172+AI172*AJ172</x:f>
        <x:v>0</x:v>
      </x:c>
      <x:c r="AR172" s="333" t="n">
        <x:f>IF(OR(J172="Strength",J172="Hypertrophy"),MAX(IF(AB172&gt;0,AA172*(1+AB172/30),0),IF(AD172&gt;0,AC172*(1+AD172/30),0),IF(AF172&gt;0,AE172*(1+AF172/30),0),IF(AH172&gt;0,AG172*(1+AH172/30),0),IF(AJ172&gt;0,AI172*(1+AJ172/30),0)),0)</x:f>
        <x:v>0</x:v>
      </x:c>
      <x:c r="AS172" s="315" t="str">
        <x:f>IF(AN172&lt;&gt;"Yes","Not logged",IF(AL172&gt;='Setup'!$B$14,"STOP / MODIFY",IF(Z172=0,"Complete",IF(OR(AO172=0,AK172=""),"Add set data + RIR",IF(AND(MAX(AB172,AD172,AF172,AH172,AJ172)&gt;=P172,AK172&gt;=Q172+1),"Progress",IF(OR(MAX(AB172,AD172,AF172,AH172,AJ172)&lt;O172,AK172&lt;Q172-1),"Regress","Hold"))))))</x:f>
        <x:v>Not logged</x:v>
      </x:c>
      <x:c r="AT172" s="335" t="n">
        <x:f>IF(OR(Z172=0,AN172&lt;&gt;"Yes",AO172=0,AK172=""),0,IF(AL172&gt;='Setup'!$B$14,-2*'Setup'!$B$11,IF(AND(MAX(AB172,AD172,AF172,AH172,AJ172)&gt;=P172,AK172&gt;=Q172+1),'Setup'!$B$10,IF(OR(MAX(AB172,AD172,AF172,AH172,AJ172)&lt;O172,AK172&lt;Q172-1),-'Setup'!$B$11,0))))</x:f>
        <x:v>0</x:v>
      </x:c>
      <x:c r="AU172" s="333" t="n">
        <x:f>IF(Z172=0,0,IF(AN172&lt;&gt;"Yes",Z172,IF(COUNT(AA172,AC172,AE172,AG172,AI172)=0,Z172,ROUND((MAX(AA172,AC172,AE172,AG172,AI172)*(1+AT172))/'Setup'!$B$9,0)*'Setup'!$B$9)))</x:f>
        <x:v>0</x:v>
      </x:c>
      <x:c r="AV172" s="336"/>
    </x:row>
    <x:row r="173">
      <x:c r="A173" s="310" t="n">
        <x:f>'Setup'!$B$3+(C173-1)*7+(D173-1)</x:f>
        <x:v>46263</x:v>
      </x:c>
      <x:c r="B173" s="311" t="str">
        <x:v>3|6|5</x:v>
      </x:c>
      <x:c r="C173" s="311" t="n">
        <x:v>3</x:v>
      </x:c>
      <x:c r="D173" s="311" t="n">
        <x:v>6</x:v>
      </x:c>
      <x:c r="E173" s="311" t="str">
        <x:v>Accumulation</x:v>
      </x:c>
      <x:c r="F173" s="311" t="str">
        <x:v>Push B</x:v>
      </x:c>
      <x:c r="G173" s="311" t="str">
        <x:v>Upper-body speed + chest volume</x:v>
      </x:c>
      <x:c r="H173" s="311" t="n">
        <x:v>5</x:v>
      </x:c>
      <x:c r="I173" s="311" t="str">
        <x:v>Half-Kneeling Landmine Press</x:v>
      </x:c>
      <x:c r="J173" s="311" t="str">
        <x:v>Hypertrophy</x:v>
      </x:c>
      <x:c r="K173" s="311" t="str">
        <x:v>Shoulders</x:v>
      </x:c>
      <x:c r="L173" s="311" t="str">
        <x:v>Straight sets</x:v>
      </x:c>
      <x:c r="M173" s="311"/>
      <x:c r="N173" s="311" t="n">
        <x:v>3</x:v>
      </x:c>
      <x:c r="O173" s="311" t="n">
        <x:v>8</x:v>
      </x:c>
      <x:c r="P173" s="311" t="n">
        <x:v>12</x:v>
      </x:c>
      <x:c r="Q173" s="311" t="n">
        <x:v>1</x:v>
      </x:c>
      <x:c r="R173" s="311" t="n">
        <x:v>75</x:v>
      </x:c>
      <x:c r="S173" s="311" t="str">
        <x:v>2-0-1</x:v>
      </x:c>
      <x:c r="T173" s="330" t="n">
        <x:v>1</x:v>
      </x:c>
      <x:c r="U173" s="330" t="n">
        <x:v>0</x:v>
      </x:c>
      <x:c r="V173" s="331" t="str">
        <x:v>load × reps</x:v>
      </x:c>
      <x:c r="W173" s="332" t="str">
        <x:f>'Readiness'!K24</x:f>
      </x:c>
      <x:c r="X173" s="314" t="n">
        <x:f>'Readiness'!L24</x:f>
        <x:v>1</x:v>
      </x:c>
      <x:c r="Y173" s="315" t="n">
        <x:f>IF(J173="Mobility",N173,MAX(1,ROUND(N173*X173,0)))</x:f>
        <x:v>3</x:v>
      </x:c>
      <x:c r="Z173" s="333" t="n">
        <x:f>ROUND((IF(AU117&gt;0,AU117,IF(Z117&gt;0,Z117,'Setup'!$D$47))*T173)/'Setup'!$B$9,0)*'Setup'!$B$9</x:f>
        <x:v>0</x:v>
      </x:c>
      <x:c r="AA173" s="334"/>
      <x:c r="AB173" s="334"/>
      <x:c r="AC173" s="334"/>
      <x:c r="AD173" s="334"/>
      <x:c r="AE173" s="334"/>
      <x:c r="AF173" s="334"/>
      <x:c r="AG173" s="334"/>
      <x:c r="AH173" s="334"/>
      <x:c r="AI173" s="334"/>
      <x:c r="AJ173" s="312"/>
      <x:c r="AK173" s="312"/>
      <x:c r="AL173" s="312"/>
      <x:c r="AM173" s="312"/>
      <x:c r="AN173" s="312"/>
      <x:c r="AO173" s="315" t="n">
        <x:f>COUNT(AB173,AD173,AF173,AH173,AJ173)</x:f>
        <x:v>0</x:v>
      </x:c>
      <x:c r="AP173" s="315" t="n">
        <x:f>SUM(AB173,AD173,AF173,AH173,AJ173)</x:f>
        <x:v>0</x:v>
      </x:c>
      <x:c r="AQ173" s="333" t="n">
        <x:f>AA173*AB173+AC173*AD173+AE173*AF173+AG173*AH173+AI173*AJ173</x:f>
        <x:v>0</x:v>
      </x:c>
      <x:c r="AR173" s="333" t="n">
        <x:f>IF(OR(J173="Strength",J173="Hypertrophy"),MAX(IF(AB173&gt;0,AA173*(1+AB173/30),0),IF(AD173&gt;0,AC173*(1+AD173/30),0),IF(AF173&gt;0,AE173*(1+AF173/30),0),IF(AH173&gt;0,AG173*(1+AH173/30),0),IF(AJ173&gt;0,AI173*(1+AJ173/30),0)),0)</x:f>
        <x:v>0</x:v>
      </x:c>
      <x:c r="AS173" s="315" t="str">
        <x:f>IF(AN173&lt;&gt;"Yes","Not logged",IF(AL173&gt;='Setup'!$B$14,"STOP / MODIFY",IF(Z173=0,"Complete",IF(OR(AO173=0,AK173=""),"Add set data + RIR",IF(AND(MAX(AB173,AD173,AF173,AH173,AJ173)&gt;=P173,AK173&gt;=Q173+1),"Progress",IF(OR(MAX(AB173,AD173,AF173,AH173,AJ173)&lt;O173,AK173&lt;Q173-1),"Regress","Hold"))))))</x:f>
        <x:v>Not logged</x:v>
      </x:c>
      <x:c r="AT173" s="335" t="n">
        <x:f>IF(OR(Z173=0,AN173&lt;&gt;"Yes",AO173=0,AK173=""),0,IF(AL173&gt;='Setup'!$B$14,-2*'Setup'!$B$11,IF(AND(MAX(AB173,AD173,AF173,AH173,AJ173)&gt;=P173,AK173&gt;=Q173+1),'Setup'!$B$10,IF(OR(MAX(AB173,AD173,AF173,AH173,AJ173)&lt;O173,AK173&lt;Q173-1),-'Setup'!$B$11,0))))</x:f>
        <x:v>0</x:v>
      </x:c>
      <x:c r="AU173" s="333" t="n">
        <x:f>IF(Z173=0,0,IF(AN173&lt;&gt;"Yes",Z173,IF(COUNT(AA173,AC173,AE173,AG173,AI173)=0,Z173,ROUND((MAX(AA173,AC173,AE173,AG173,AI173)*(1+AT173))/'Setup'!$B$9,0)*'Setup'!$B$9)))</x:f>
        <x:v>0</x:v>
      </x:c>
      <x:c r="AV173" s="336"/>
    </x:row>
    <x:row r="174">
      <x:c r="A174" s="310" t="n">
        <x:f>'Setup'!$B$3+(C174-1)*7+(D174-1)</x:f>
        <x:v>46263</x:v>
      </x:c>
      <x:c r="B174" s="311" t="str">
        <x:v>3|6|6</x:v>
      </x:c>
      <x:c r="C174" s="311" t="n">
        <x:v>3</x:v>
      </x:c>
      <x:c r="D174" s="311" t="n">
        <x:v>6</x:v>
      </x:c>
      <x:c r="E174" s="311" t="str">
        <x:v>Accumulation</x:v>
      </x:c>
      <x:c r="F174" s="311" t="str">
        <x:v>Push B</x:v>
      </x:c>
      <x:c r="G174" s="311" t="str">
        <x:v>Upper-body speed + chest volume</x:v>
      </x:c>
      <x:c r="H174" s="311" t="n">
        <x:v>6</x:v>
      </x:c>
      <x:c r="I174" s="311" t="str">
        <x:v>Dumbbell Lateral Raise</x:v>
      </x:c>
      <x:c r="J174" s="311" t="str">
        <x:v>Hypertrophy</x:v>
      </x:c>
      <x:c r="K174" s="311" t="str">
        <x:v>Shoulders</x:v>
      </x:c>
      <x:c r="L174" s="311" t="str">
        <x:v>Mechanical drop on final set only</x:v>
      </x:c>
      <x:c r="M174" s="311"/>
      <x:c r="N174" s="311" t="n">
        <x:v>3</x:v>
      </x:c>
      <x:c r="O174" s="311" t="n">
        <x:v>12</x:v>
      </x:c>
      <x:c r="P174" s="311" t="n">
        <x:v>20</x:v>
      </x:c>
      <x:c r="Q174" s="311" t="n">
        <x:v>1</x:v>
      </x:c>
      <x:c r="R174" s="311" t="n">
        <x:v>60</x:v>
      </x:c>
      <x:c r="S174" s="311" t="str">
        <x:v>2-1-2</x:v>
      </x:c>
      <x:c r="T174" s="330" t="n">
        <x:v>1</x:v>
      </x:c>
      <x:c r="U174" s="330" t="n">
        <x:v>0</x:v>
      </x:c>
      <x:c r="V174" s="331" t="str">
        <x:v>load × reps</x:v>
      </x:c>
      <x:c r="W174" s="332" t="str">
        <x:f>'Readiness'!K24</x:f>
      </x:c>
      <x:c r="X174" s="314" t="n">
        <x:f>'Readiness'!L24</x:f>
        <x:v>1</x:v>
      </x:c>
      <x:c r="Y174" s="315" t="n">
        <x:f>IF(J174="Mobility",N174,MAX(1,ROUND(N174*X174,0)))</x:f>
        <x:v>3</x:v>
      </x:c>
      <x:c r="Z174" s="333" t="n">
        <x:f>ROUND((IF(AU118&gt;0,AU118,IF(Z118&gt;0,Z118,'Setup'!$D$39))*T174)/'Setup'!$B$9,0)*'Setup'!$B$9</x:f>
        <x:v>0</x:v>
      </x:c>
      <x:c r="AA174" s="334"/>
      <x:c r="AB174" s="334"/>
      <x:c r="AC174" s="334"/>
      <x:c r="AD174" s="334"/>
      <x:c r="AE174" s="334"/>
      <x:c r="AF174" s="334"/>
      <x:c r="AG174" s="334"/>
      <x:c r="AH174" s="334"/>
      <x:c r="AI174" s="334"/>
      <x:c r="AJ174" s="312"/>
      <x:c r="AK174" s="312"/>
      <x:c r="AL174" s="312"/>
      <x:c r="AM174" s="312"/>
      <x:c r="AN174" s="312"/>
      <x:c r="AO174" s="315" t="n">
        <x:f>COUNT(AB174,AD174,AF174,AH174,AJ174)</x:f>
        <x:v>0</x:v>
      </x:c>
      <x:c r="AP174" s="315" t="n">
        <x:f>SUM(AB174,AD174,AF174,AH174,AJ174)</x:f>
        <x:v>0</x:v>
      </x:c>
      <x:c r="AQ174" s="333" t="n">
        <x:f>AA174*AB174+AC174*AD174+AE174*AF174+AG174*AH174+AI174*AJ174</x:f>
        <x:v>0</x:v>
      </x:c>
      <x:c r="AR174" s="333" t="n">
        <x:f>IF(OR(J174="Strength",J174="Hypertrophy"),MAX(IF(AB174&gt;0,AA174*(1+AB174/30),0),IF(AD174&gt;0,AC174*(1+AD174/30),0),IF(AF174&gt;0,AE174*(1+AF174/30),0),IF(AH174&gt;0,AG174*(1+AH174/30),0),IF(AJ174&gt;0,AI174*(1+AJ174/30),0)),0)</x:f>
        <x:v>0</x:v>
      </x:c>
      <x:c r="AS174" s="315" t="str">
        <x:f>IF(AN174&lt;&gt;"Yes","Not logged",IF(AL174&gt;='Setup'!$B$14,"STOP / MODIFY",IF(Z174=0,"Complete",IF(OR(AO174=0,AK174=""),"Add set data + RIR",IF(AND(MAX(AB174,AD174,AF174,AH174,AJ174)&gt;=P174,AK174&gt;=Q174+1),"Progress",IF(OR(MAX(AB174,AD174,AF174,AH174,AJ174)&lt;O174,AK174&lt;Q174-1),"Regress","Hold"))))))</x:f>
        <x:v>Not logged</x:v>
      </x:c>
      <x:c r="AT174" s="335" t="n">
        <x:f>IF(OR(Z174=0,AN174&lt;&gt;"Yes",AO174=0,AK174=""),0,IF(AL174&gt;='Setup'!$B$14,-2*'Setup'!$B$11,IF(AND(MAX(AB174,AD174,AF174,AH174,AJ174)&gt;=P174,AK174&gt;=Q174+1),'Setup'!$B$10,IF(OR(MAX(AB174,AD174,AF174,AH174,AJ174)&lt;O174,AK174&lt;Q174-1),-'Setup'!$B$11,0))))</x:f>
        <x:v>0</x:v>
      </x:c>
      <x:c r="AU174" s="333" t="n">
        <x:f>IF(Z174=0,0,IF(AN174&lt;&gt;"Yes",Z174,IF(COUNT(AA174,AC174,AE174,AG174,AI174)=0,Z174,ROUND((MAX(AA174,AC174,AE174,AG174,AI174)*(1+AT174))/'Setup'!$B$9,0)*'Setup'!$B$9)))</x:f>
        <x:v>0</x:v>
      </x:c>
      <x:c r="AV174" s="336"/>
    </x:row>
    <x:row r="175">
      <x:c r="A175" s="310" t="n">
        <x:f>'Setup'!$B$3+(C175-1)*7+(D175-1)</x:f>
        <x:v>46263</x:v>
      </x:c>
      <x:c r="B175" s="311" t="str">
        <x:v>3|6|7</x:v>
      </x:c>
      <x:c r="C175" s="311" t="n">
        <x:v>3</x:v>
      </x:c>
      <x:c r="D175" s="311" t="n">
        <x:v>6</x:v>
      </x:c>
      <x:c r="E175" s="311" t="str">
        <x:v>Accumulation</x:v>
      </x:c>
      <x:c r="F175" s="311" t="str">
        <x:v>Push B</x:v>
      </x:c>
      <x:c r="G175" s="311" t="str">
        <x:v>Upper-body speed + chest volume</x:v>
      </x:c>
      <x:c r="H175" s="311" t="n">
        <x:v>7</x:v>
      </x:c>
      <x:c r="I175" s="311" t="str">
        <x:v>Overhead Cable Triceps Extension</x:v>
      </x:c>
      <x:c r="J175" s="311" t="str">
        <x:v>Hypertrophy</x:v>
      </x:c>
      <x:c r="K175" s="311" t="str">
        <x:v>Triceps</x:v>
      </x:c>
      <x:c r="L175" s="311" t="str">
        <x:v>Straight sets</x:v>
      </x:c>
      <x:c r="M175" s="311"/>
      <x:c r="N175" s="311" t="n">
        <x:v>3</x:v>
      </x:c>
      <x:c r="O175" s="311" t="n">
        <x:v>10</x:v>
      </x:c>
      <x:c r="P175" s="311" t="n">
        <x:v>15</x:v>
      </x:c>
      <x:c r="Q175" s="311" t="n">
        <x:v>1</x:v>
      </x:c>
      <x:c r="R175" s="311" t="n">
        <x:v>60</x:v>
      </x:c>
      <x:c r="S175" s="311" t="str">
        <x:v>3-0-1</x:v>
      </x:c>
      <x:c r="T175" s="330" t="n">
        <x:v>1</x:v>
      </x:c>
      <x:c r="U175" s="330" t="n">
        <x:v>0</x:v>
      </x:c>
      <x:c r="V175" s="331" t="str">
        <x:v>load × reps</x:v>
      </x:c>
      <x:c r="W175" s="332" t="str">
        <x:f>'Readiness'!K24</x:f>
      </x:c>
      <x:c r="X175" s="314" t="n">
        <x:f>'Readiness'!L24</x:f>
        <x:v>1</x:v>
      </x:c>
      <x:c r="Y175" s="315" t="n">
        <x:f>IF(J175="Mobility",N175,MAX(1,ROUND(N175*X175,0)))</x:f>
        <x:v>3</x:v>
      </x:c>
      <x:c r="Z175" s="333" t="n">
        <x:f>ROUND((IF(AU119&gt;0,AU119,IF(Z119&gt;0,Z119,'Setup'!$D$69))*T175)/'Setup'!$B$9,0)*'Setup'!$B$9</x:f>
        <x:v>0</x:v>
      </x:c>
      <x:c r="AA175" s="334"/>
      <x:c r="AB175" s="334"/>
      <x:c r="AC175" s="334"/>
      <x:c r="AD175" s="334"/>
      <x:c r="AE175" s="334"/>
      <x:c r="AF175" s="334"/>
      <x:c r="AG175" s="334"/>
      <x:c r="AH175" s="334"/>
      <x:c r="AI175" s="334"/>
      <x:c r="AJ175" s="312"/>
      <x:c r="AK175" s="312"/>
      <x:c r="AL175" s="312"/>
      <x:c r="AM175" s="312"/>
      <x:c r="AN175" s="312"/>
      <x:c r="AO175" s="315" t="n">
        <x:f>COUNT(AB175,AD175,AF175,AH175,AJ175)</x:f>
        <x:v>0</x:v>
      </x:c>
      <x:c r="AP175" s="315" t="n">
        <x:f>SUM(AB175,AD175,AF175,AH175,AJ175)</x:f>
        <x:v>0</x:v>
      </x:c>
      <x:c r="AQ175" s="333" t="n">
        <x:f>AA175*AB175+AC175*AD175+AE175*AF175+AG175*AH175+AI175*AJ175</x:f>
        <x:v>0</x:v>
      </x:c>
      <x:c r="AR175" s="333" t="n">
        <x:f>IF(OR(J175="Strength",J175="Hypertrophy"),MAX(IF(AB175&gt;0,AA175*(1+AB175/30),0),IF(AD175&gt;0,AC175*(1+AD175/30),0),IF(AF175&gt;0,AE175*(1+AF175/30),0),IF(AH175&gt;0,AG175*(1+AH175/30),0),IF(AJ175&gt;0,AI175*(1+AJ175/30),0)),0)</x:f>
        <x:v>0</x:v>
      </x:c>
      <x:c r="AS175" s="315" t="str">
        <x:f>IF(AN175&lt;&gt;"Yes","Not logged",IF(AL175&gt;='Setup'!$B$14,"STOP / MODIFY",IF(Z175=0,"Complete",IF(OR(AO175=0,AK175=""),"Add set data + RIR",IF(AND(MAX(AB175,AD175,AF175,AH175,AJ175)&gt;=P175,AK175&gt;=Q175+1),"Progress",IF(OR(MAX(AB175,AD175,AF175,AH175,AJ175)&lt;O175,AK175&lt;Q175-1),"Regress","Hold"))))))</x:f>
        <x:v>Not logged</x:v>
      </x:c>
      <x:c r="AT175" s="335" t="n">
        <x:f>IF(OR(Z175=0,AN175&lt;&gt;"Yes",AO175=0,AK175=""),0,IF(AL175&gt;='Setup'!$B$14,-2*'Setup'!$B$11,IF(AND(MAX(AB175,AD175,AF175,AH175,AJ175)&gt;=P175,AK175&gt;=Q175+1),'Setup'!$B$10,IF(OR(MAX(AB175,AD175,AF175,AH175,AJ175)&lt;O175,AK175&lt;Q175-1),-'Setup'!$B$11,0))))</x:f>
        <x:v>0</x:v>
      </x:c>
      <x:c r="AU175" s="333" t="n">
        <x:f>IF(Z175=0,0,IF(AN175&lt;&gt;"Yes",Z175,IF(COUNT(AA175,AC175,AE175,AG175,AI175)=0,Z175,ROUND((MAX(AA175,AC175,AE175,AG175,AI175)*(1+AT175))/'Setup'!$B$9,0)*'Setup'!$B$9)))</x:f>
        <x:v>0</x:v>
      </x:c>
      <x:c r="AV175" s="336"/>
    </x:row>
    <x:row r="176">
      <x:c r="A176" s="310" t="n">
        <x:f>'Setup'!$B$3+(C176-1)*7+(D176-1)</x:f>
        <x:v>46263</x:v>
      </x:c>
      <x:c r="B176" s="311" t="str">
        <x:v>3|6|8</x:v>
      </x:c>
      <x:c r="C176" s="311" t="n">
        <x:v>3</x:v>
      </x:c>
      <x:c r="D176" s="311" t="n">
        <x:v>6</x:v>
      </x:c>
      <x:c r="E176" s="311" t="str">
        <x:v>Accumulation</x:v>
      </x:c>
      <x:c r="F176" s="311" t="str">
        <x:v>Push B</x:v>
      </x:c>
      <x:c r="G176" s="311" t="str">
        <x:v>Upper-body speed + chest volume</x:v>
      </x:c>
      <x:c r="H176" s="311" t="n">
        <x:v>8</x:v>
      </x:c>
      <x:c r="I176" s="311" t="str">
        <x:v>Kettlebell Suitcase Carry</x:v>
      </x:c>
      <x:c r="J176" s="311" t="str">
        <x:v>Athletic</x:v>
      </x:c>
      <x:c r="K176" s="311" t="str">
        <x:v>Core</x:v>
      </x:c>
      <x:c r="L176" s="311" t="str">
        <x:v>Tall posture, no side bend</x:v>
      </x:c>
      <x:c r="M176" s="311"/>
      <x:c r="N176" s="311" t="n">
        <x:v>3</x:v>
      </x:c>
      <x:c r="O176" s="311" t="n">
        <x:v>20</x:v>
      </x:c>
      <x:c r="P176" s="311" t="n">
        <x:v>30</x:v>
      </x:c>
      <x:c r="Q176" s="311" t="n">
        <x:v>2</x:v>
      </x:c>
      <x:c r="R176" s="311" t="n">
        <x:v>60</x:v>
      </x:c>
      <x:c r="S176" s="311" t="str">
        <x:v>Controlled</x:v>
      </x:c>
      <x:c r="T176" s="330" t="n">
        <x:v>1</x:v>
      </x:c>
      <x:c r="U176" s="330" t="n">
        <x:v>0</x:v>
      </x:c>
      <x:c r="V176" s="331" t="str">
        <x:v>load + meters</x:v>
      </x:c>
      <x:c r="W176" s="332" t="str">
        <x:f>'Readiness'!K24</x:f>
      </x:c>
      <x:c r="X176" s="314" t="n">
        <x:f>'Readiness'!L24</x:f>
        <x:v>1</x:v>
      </x:c>
      <x:c r="Y176" s="315" t="n">
        <x:f>IF(J176="Mobility",N176,MAX(1,ROUND(N176*X176,0)))</x:f>
        <x:v>3</x:v>
      </x:c>
      <x:c r="Z176" s="333" t="n">
        <x:f>0</x:f>
        <x:v>0</x:v>
      </x:c>
      <x:c r="AA176" s="334"/>
      <x:c r="AB176" s="334"/>
      <x:c r="AC176" s="334"/>
      <x:c r="AD176" s="334"/>
      <x:c r="AE176" s="334"/>
      <x:c r="AF176" s="334"/>
      <x:c r="AG176" s="334"/>
      <x:c r="AH176" s="334"/>
      <x:c r="AI176" s="334"/>
      <x:c r="AJ176" s="312"/>
      <x:c r="AK176" s="312"/>
      <x:c r="AL176" s="312"/>
      <x:c r="AM176" s="312"/>
      <x:c r="AN176" s="312"/>
      <x:c r="AO176" s="315" t="n">
        <x:f>COUNT(AB176,AD176,AF176,AH176,AJ176)</x:f>
        <x:v>0</x:v>
      </x:c>
      <x:c r="AP176" s="315" t="n">
        <x:f>SUM(AB176,AD176,AF176,AH176,AJ176)</x:f>
        <x:v>0</x:v>
      </x:c>
      <x:c r="AQ176" s="333" t="n">
        <x:f>AA176*AB176+AC176*AD176+AE176*AF176+AG176*AH176+AI176*AJ176</x:f>
        <x:v>0</x:v>
      </x:c>
      <x:c r="AR176" s="333" t="n">
        <x:f>IF(OR(J176="Strength",J176="Hypertrophy"),MAX(IF(AB176&gt;0,AA176*(1+AB176/30),0),IF(AD176&gt;0,AC176*(1+AD176/30),0),IF(AF176&gt;0,AE176*(1+AF176/30),0),IF(AH176&gt;0,AG176*(1+AH176/30),0),IF(AJ176&gt;0,AI176*(1+AJ176/30),0)),0)</x:f>
        <x:v>0</x:v>
      </x:c>
      <x:c r="AS176" s="315" t="str">
        <x:f>IF(AN176&lt;&gt;"Yes","Not logged",IF(AL176&gt;='Setup'!$B$14,"STOP / MODIFY",IF(Z176=0,"Complete",IF(OR(AO176=0,AK176=""),"Add set data + RIR",IF(AND(MAX(AB176,AD176,AF176,AH176,AJ176)&gt;=P176,AK176&gt;=Q176+1),"Progress",IF(OR(MAX(AB176,AD176,AF176,AH176,AJ176)&lt;O176,AK176&lt;Q176-1),"Regress","Hold"))))))</x:f>
        <x:v>Not logged</x:v>
      </x:c>
      <x:c r="AT176" s="335" t="n">
        <x:f>IF(OR(Z176=0,AN176&lt;&gt;"Yes",AO176=0,AK176=""),0,IF(AL176&gt;='Setup'!$B$14,-2*'Setup'!$B$11,IF(AND(MAX(AB176,AD176,AF176,AH176,AJ176)&gt;=P176,AK176&gt;=Q176+1),'Setup'!$B$10,IF(OR(MAX(AB176,AD176,AF176,AH176,AJ176)&lt;O176,AK176&lt;Q176-1),-'Setup'!$B$11,0))))</x:f>
        <x:v>0</x:v>
      </x:c>
      <x:c r="AU176" s="333" t="n">
        <x:f>IF(Z176=0,0,IF(AN176&lt;&gt;"Yes",Z176,IF(COUNT(AA176,AC176,AE176,AG176,AI176)=0,Z176,ROUND((MAX(AA176,AC176,AE176,AG176,AI176)*(1+AT176))/'Setup'!$B$9,0)*'Setup'!$B$9)))</x:f>
        <x:v>0</x:v>
      </x:c>
      <x:c r="AV176" s="336"/>
    </x:row>
    <x:row r="177">
      <x:c r="A177" s="310" t="n">
        <x:f>'Setup'!$B$3+(C177-1)*7+(D177-1)</x:f>
        <x:v>46263</x:v>
      </x:c>
      <x:c r="B177" s="311" t="str">
        <x:v>3|6|9</x:v>
      </x:c>
      <x:c r="C177" s="311" t="n">
        <x:v>3</x:v>
      </x:c>
      <x:c r="D177" s="311" t="n">
        <x:v>6</x:v>
      </x:c>
      <x:c r="E177" s="311" t="str">
        <x:v>Accumulation</x:v>
      </x:c>
      <x:c r="F177" s="311" t="str">
        <x:v>Push B</x:v>
      </x:c>
      <x:c r="G177" s="311" t="str">
        <x:v>Upper-body speed + chest volume</x:v>
      </x:c>
      <x:c r="H177" s="311" t="n">
        <x:v>9</x:v>
      </x:c>
      <x:c r="I177" s="311" t="str">
        <x:v>Open-Book Thoracic Rotation</x:v>
      </x:c>
      <x:c r="J177" s="311" t="str">
        <x:v>Mobility</x:v>
      </x:c>
      <x:c r="K177" s="311" t="str">
        <x:v>Thoracic</x:v>
      </x:c>
      <x:c r="L177" s="311" t="str">
        <x:v>Controlled mobility</x:v>
      </x:c>
      <x:c r="M177" s="311"/>
      <x:c r="N177" s="311" t="n">
        <x:v>2</x:v>
      </x:c>
      <x:c r="O177" s="311" t="n">
        <x:v>6</x:v>
      </x:c>
      <x:c r="P177" s="311" t="n">
        <x:v>10</x:v>
      </x:c>
      <x:c r="Q177" s="311"/>
      <x:c r="R177" s="311" t="n">
        <x:v>20</x:v>
      </x:c>
      <x:c r="S177" s="311" t="str">
        <x:v>Slow</x:v>
      </x:c>
      <x:c r="T177" s="330" t="n">
        <x:v>1</x:v>
      </x:c>
      <x:c r="U177" s="330" t="n">
        <x:v>0</x:v>
      </x:c>
      <x:c r="V177" s="331" t="str">
        <x:v>reps</x:v>
      </x:c>
      <x:c r="W177" s="332" t="str">
        <x:f>'Readiness'!K24</x:f>
      </x:c>
      <x:c r="X177" s="314" t="n">
        <x:f>'Readiness'!L24</x:f>
        <x:v>1</x:v>
      </x:c>
      <x:c r="Y177" s="315" t="n">
        <x:f>IF(J177="Mobility",N177,MAX(1,ROUND(N177*X177,0)))</x:f>
        <x:v>2</x:v>
      </x:c>
      <x:c r="Z177" s="333" t="n">
        <x:f>0</x:f>
        <x:v>0</x:v>
      </x:c>
      <x:c r="AA177" s="334"/>
      <x:c r="AB177" s="334"/>
      <x:c r="AC177" s="334"/>
      <x:c r="AD177" s="334"/>
      <x:c r="AE177" s="334"/>
      <x:c r="AF177" s="334"/>
      <x:c r="AG177" s="334"/>
      <x:c r="AH177" s="334"/>
      <x:c r="AI177" s="334"/>
      <x:c r="AJ177" s="312"/>
      <x:c r="AK177" s="312"/>
      <x:c r="AL177" s="312"/>
      <x:c r="AM177" s="312"/>
      <x:c r="AN177" s="312"/>
      <x:c r="AO177" s="315" t="n">
        <x:f>COUNT(AB177,AD177,AF177,AH177,AJ177)</x:f>
        <x:v>0</x:v>
      </x:c>
      <x:c r="AP177" s="315" t="n">
        <x:f>SUM(AB177,AD177,AF177,AH177,AJ177)</x:f>
        <x:v>0</x:v>
      </x:c>
      <x:c r="AQ177" s="333" t="n">
        <x:f>AA177*AB177+AC177*AD177+AE177*AF177+AG177*AH177+AI177*AJ177</x:f>
        <x:v>0</x:v>
      </x:c>
      <x:c r="AR177" s="333" t="n">
        <x:f>IF(OR(J177="Strength",J177="Hypertrophy"),MAX(IF(AB177&gt;0,AA177*(1+AB177/30),0),IF(AD177&gt;0,AC177*(1+AD177/30),0),IF(AF177&gt;0,AE177*(1+AF177/30),0),IF(AH177&gt;0,AG177*(1+AH177/30),0),IF(AJ177&gt;0,AI177*(1+AJ177/30),0)),0)</x:f>
        <x:v>0</x:v>
      </x:c>
      <x:c r="AS177" s="315" t="str">
        <x:f>IF(AN177&lt;&gt;"Yes","Not logged",IF(AL177&gt;='Setup'!$B$14,"STOP / MODIFY",IF(Z177=0,"Complete",IF(OR(AO177=0,AK177=""),"Add set data + RIR",IF(AND(MAX(AB177,AD177,AF177,AH177,AJ177)&gt;=P177,AK177&gt;=Q177+1),"Progress",IF(OR(MAX(AB177,AD177,AF177,AH177,AJ177)&lt;O177,AK177&lt;Q177-1),"Regress","Hold"))))))</x:f>
        <x:v>Not logged</x:v>
      </x:c>
      <x:c r="AT177" s="335" t="n">
        <x:f>IF(OR(Z177=0,AN177&lt;&gt;"Yes",AO177=0,AK177=""),0,IF(AL177&gt;='Setup'!$B$14,-2*'Setup'!$B$11,IF(AND(MAX(AB177,AD177,AF177,AH177,AJ177)&gt;=P177,AK177&gt;=Q177+1),'Setup'!$B$10,IF(OR(MAX(AB177,AD177,AF177,AH177,AJ177)&lt;O177,AK177&lt;Q177-1),-'Setup'!$B$11,0))))</x:f>
        <x:v>0</x:v>
      </x:c>
      <x:c r="AU177" s="333" t="n">
        <x:f>IF(Z177=0,0,IF(AN177&lt;&gt;"Yes",Z177,IF(COUNT(AA177,AC177,AE177,AG177,AI177)=0,Z177,ROUND((MAX(AA177,AC177,AE177,AG177,AI177)*(1+AT177))/'Setup'!$B$9,0)*'Setup'!$B$9)))</x:f>
        <x:v>0</x:v>
      </x:c>
      <x:c r="AV177" s="336"/>
    </x:row>
    <x:row r="178">
      <x:c r="A178" s="310" t="n">
        <x:f>'Setup'!$B$3+(C178-1)*7+(D178-1)</x:f>
        <x:v>46265</x:v>
      </x:c>
      <x:c r="B178" s="311" t="str">
        <x:v>4|1|1</x:v>
      </x:c>
      <x:c r="C178" s="311" t="n">
        <x:v>4</x:v>
      </x:c>
      <x:c r="D178" s="311" t="n">
        <x:v>1</x:v>
      </x:c>
      <x:c r="E178" s="311" t="str">
        <x:v>Deload 1</x:v>
      </x:c>
      <x:c r="F178" s="311" t="str">
        <x:v>Pull A</x:v>
      </x:c>
      <x:c r="G178" s="311" t="str">
        <x:v>Vertical pull strength + back density</x:v>
      </x:c>
      <x:c r="H178" s="311" t="n">
        <x:v>1</x:v>
      </x:c>
      <x:c r="I178" s="311" t="str">
        <x:v>Medicine Ball Rotational Throw</x:v>
      </x:c>
      <x:c r="J178" s="311" t="str">
        <x:v>Power</x:v>
      </x:c>
      <x:c r="K178" s="311" t="str">
        <x:v>Core</x:v>
      </x:c>
      <x:c r="L178" s="311" t="str">
        <x:v>Straight sets, crisp reps only</x:v>
      </x:c>
      <x:c r="M178" s="311"/>
      <x:c r="N178" s="311" t="n">
        <x:v>2</x:v>
      </x:c>
      <x:c r="O178" s="311" t="n">
        <x:v>4</x:v>
      </x:c>
      <x:c r="P178" s="311" t="n">
        <x:v>4</x:v>
      </x:c>
      <x:c r="Q178" s="311" t="n">
        <x:v>4</x:v>
      </x:c>
      <x:c r="R178" s="311" t="n">
        <x:v>60</x:v>
      </x:c>
      <x:c r="S178" s="311" t="str">
        <x:v>Explosive</x:v>
      </x:c>
      <x:c r="T178" s="330" t="n">
        <x:v>0.9</x:v>
      </x:c>
      <x:c r="U178" s="330" t="n">
        <x:v>0</x:v>
      </x:c>
      <x:c r="V178" s="331" t="str">
        <x:v>throw quality</x:v>
      </x:c>
      <x:c r="W178" s="332" t="str">
        <x:f>'Readiness'!K25</x:f>
      </x:c>
      <x:c r="X178" s="314" t="n">
        <x:f>'Readiness'!L25</x:f>
        <x:v>1</x:v>
      </x:c>
      <x:c r="Y178" s="315" t="n">
        <x:f>IF(J178="Mobility",N178,MAX(1,ROUND(N178*X178,0)))</x:f>
        <x:v>2</x:v>
      </x:c>
      <x:c r="Z178" s="333" t="n">
        <x:f>0</x:f>
        <x:v>0</x:v>
      </x:c>
      <x:c r="AA178" s="334"/>
      <x:c r="AB178" s="334"/>
      <x:c r="AC178" s="334"/>
      <x:c r="AD178" s="334"/>
      <x:c r="AE178" s="334"/>
      <x:c r="AF178" s="334"/>
      <x:c r="AG178" s="334"/>
      <x:c r="AH178" s="334"/>
      <x:c r="AI178" s="334"/>
      <x:c r="AJ178" s="312"/>
      <x:c r="AK178" s="312"/>
      <x:c r="AL178" s="312"/>
      <x:c r="AM178" s="312"/>
      <x:c r="AN178" s="312"/>
      <x:c r="AO178" s="315" t="n">
        <x:f>COUNT(AB178,AD178,AF178,AH178,AJ178)</x:f>
        <x:v>0</x:v>
      </x:c>
      <x:c r="AP178" s="315" t="n">
        <x:f>SUM(AB178,AD178,AF178,AH178,AJ178)</x:f>
        <x:v>0</x:v>
      </x:c>
      <x:c r="AQ178" s="333" t="n">
        <x:f>AA178*AB178+AC178*AD178+AE178*AF178+AG178*AH178+AI178*AJ178</x:f>
        <x:v>0</x:v>
      </x:c>
      <x:c r="AR178" s="333" t="n">
        <x:f>IF(OR(J178="Strength",J178="Hypertrophy"),MAX(IF(AB178&gt;0,AA178*(1+AB178/30),0),IF(AD178&gt;0,AC178*(1+AD178/30),0),IF(AF178&gt;0,AE178*(1+AF178/30),0),IF(AH178&gt;0,AG178*(1+AH178/30),0),IF(AJ178&gt;0,AI178*(1+AJ178/30),0)),0)</x:f>
        <x:v>0</x:v>
      </x:c>
      <x:c r="AS178" s="315" t="str">
        <x:f>IF(AN178&lt;&gt;"Yes","Not logged",IF(AL178&gt;='Setup'!$B$14,"STOP / MODIFY",IF(Z178=0,"Complete",IF(OR(AO178=0,AK178=""),"Add set data + RIR",IF(AND(MAX(AB178,AD178,AF178,AH178,AJ178)&gt;=P178,AK178&gt;=Q178+1),"Progress",IF(OR(MAX(AB178,AD178,AF178,AH178,AJ178)&lt;O178,AK178&lt;Q178-1),"Regress","Hold"))))))</x:f>
        <x:v>Not logged</x:v>
      </x:c>
      <x:c r="AT178" s="335" t="n">
        <x:f>IF(OR(Z178=0,AN178&lt;&gt;"Yes",AO178=0,AK178=""),0,IF(AL178&gt;='Setup'!$B$14,-2*'Setup'!$B$11,IF(AND(MAX(AB178,AD178,AF178,AH178,AJ178)&gt;=P178,AK178&gt;=Q178+1),'Setup'!$B$10,IF(OR(MAX(AB178,AD178,AF178,AH178,AJ178)&lt;O178,AK178&lt;Q178-1),-'Setup'!$B$11,0))))</x:f>
        <x:v>0</x:v>
      </x:c>
      <x:c r="AU178" s="333" t="n">
        <x:f>IF(Z178=0,0,IF(AN178&lt;&gt;"Yes",Z178,IF(COUNT(AA178,AC178,AE178,AG178,AI178)=0,Z178,ROUND((MAX(AA178,AC178,AE178,AG178,AI178)*(1+AT178))/'Setup'!$B$9,0)*'Setup'!$B$9)))</x:f>
        <x:v>0</x:v>
      </x:c>
      <x:c r="AV178" s="336"/>
    </x:row>
    <x:row r="179">
      <x:c r="A179" s="310" t="n">
        <x:f>'Setup'!$B$3+(C179-1)*7+(D179-1)</x:f>
        <x:v>46265</x:v>
      </x:c>
      <x:c r="B179" s="311" t="str">
        <x:v>4|1|2</x:v>
      </x:c>
      <x:c r="C179" s="311" t="n">
        <x:v>4</x:v>
      </x:c>
      <x:c r="D179" s="311" t="n">
        <x:v>1</x:v>
      </x:c>
      <x:c r="E179" s="311" t="str">
        <x:v>Deload 1</x:v>
      </x:c>
      <x:c r="F179" s="311" t="str">
        <x:v>Pull A</x:v>
      </x:c>
      <x:c r="G179" s="311" t="str">
        <x:v>Vertical pull strength + back density</x:v>
      </x:c>
      <x:c r="H179" s="311" t="n">
        <x:v>2</x:v>
      </x:c>
      <x:c r="I179" s="311" t="str">
        <x:v>Weighted Pull-Up</x:v>
      </x:c>
      <x:c r="J179" s="311" t="str">
        <x:v>Strength</x:v>
      </x:c>
      <x:c r="K179" s="311" t="str">
        <x:v>Back</x:v>
      </x:c>
      <x:c r="L179" s="311" t="str">
        <x:v>Straight sets, crisp reps only</x:v>
      </x:c>
      <x:c r="M179" s="311"/>
      <x:c r="N179" s="311" t="n">
        <x:v>2</x:v>
      </x:c>
      <x:c r="O179" s="311" t="n">
        <x:v>5</x:v>
      </x:c>
      <x:c r="P179" s="311" t="n">
        <x:v>7</x:v>
      </x:c>
      <x:c r="Q179" s="311" t="n">
        <x:v>4</x:v>
      </x:c>
      <x:c r="R179" s="311" t="n">
        <x:v>150</x:v>
      </x:c>
      <x:c r="S179" s="311" t="str">
        <x:v>2-1-X</x:v>
      </x:c>
      <x:c r="T179" s="330" t="n">
        <x:v>0.9</x:v>
      </x:c>
      <x:c r="U179" s="330" t="n">
        <x:v>0</x:v>
      </x:c>
      <x:c r="V179" s="331" t="str">
        <x:v>load × reps</x:v>
      </x:c>
      <x:c r="W179" s="332" t="str">
        <x:f>'Readiness'!K25</x:f>
      </x:c>
      <x:c r="X179" s="314" t="n">
        <x:f>'Readiness'!L25</x:f>
        <x:v>1</x:v>
      </x:c>
      <x:c r="Y179" s="315" t="n">
        <x:f>IF(J179="Mobility",N179,MAX(1,ROUND(N179*X179,0)))</x:f>
        <x:v>2</x:v>
      </x:c>
      <x:c r="Z179" s="333" t="n">
        <x:f>ROUND((IF(AU123&gt;0,AU123,IF(Z123&gt;0,Z123,'Setup'!$D$94))*T179)/'Setup'!$B$9,0)*'Setup'!$B$9</x:f>
        <x:v>0</x:v>
      </x:c>
      <x:c r="AA179" s="334"/>
      <x:c r="AB179" s="334"/>
      <x:c r="AC179" s="334"/>
      <x:c r="AD179" s="334"/>
      <x:c r="AE179" s="334"/>
      <x:c r="AF179" s="334"/>
      <x:c r="AG179" s="334"/>
      <x:c r="AH179" s="334"/>
      <x:c r="AI179" s="334"/>
      <x:c r="AJ179" s="312"/>
      <x:c r="AK179" s="312"/>
      <x:c r="AL179" s="312"/>
      <x:c r="AM179" s="312"/>
      <x:c r="AN179" s="312"/>
      <x:c r="AO179" s="315" t="n">
        <x:f>COUNT(AB179,AD179,AF179,AH179,AJ179)</x:f>
        <x:v>0</x:v>
      </x:c>
      <x:c r="AP179" s="315" t="n">
        <x:f>SUM(AB179,AD179,AF179,AH179,AJ179)</x:f>
        <x:v>0</x:v>
      </x:c>
      <x:c r="AQ179" s="333" t="n">
        <x:f>AA179*AB179+AC179*AD179+AE179*AF179+AG179*AH179+AI179*AJ179</x:f>
        <x:v>0</x:v>
      </x:c>
      <x:c r="AR179" s="333" t="n">
        <x:f>IF(OR(J179="Strength",J179="Hypertrophy"),MAX(IF(AB179&gt;0,AA179*(1+AB179/30),0),IF(AD179&gt;0,AC179*(1+AD179/30),0),IF(AF179&gt;0,AE179*(1+AF179/30),0),IF(AH179&gt;0,AG179*(1+AH179/30),0),IF(AJ179&gt;0,AI179*(1+AJ179/30),0)),0)</x:f>
        <x:v>0</x:v>
      </x:c>
      <x:c r="AS179" s="315" t="str">
        <x:f>IF(AN179&lt;&gt;"Yes","Not logged",IF(AL179&gt;='Setup'!$B$14,"STOP / MODIFY",IF(Z179=0,"Complete",IF(OR(AO179=0,AK179=""),"Add set data + RIR",IF(AND(MAX(AB179,AD179,AF179,AH179,AJ179)&gt;=P179,AK179&gt;=Q179+1),"Progress",IF(OR(MAX(AB179,AD179,AF179,AH179,AJ179)&lt;O179,AK179&lt;Q179-1),"Regress","Hold"))))))</x:f>
        <x:v>Not logged</x:v>
      </x:c>
      <x:c r="AT179" s="335" t="n">
        <x:f>IF(OR(Z179=0,AN179&lt;&gt;"Yes",AO179=0,AK179=""),0,IF(AL179&gt;='Setup'!$B$14,-2*'Setup'!$B$11,IF(AND(MAX(AB179,AD179,AF179,AH179,AJ179)&gt;=P179,AK179&gt;=Q179+1),'Setup'!$B$10,IF(OR(MAX(AB179,AD179,AF179,AH179,AJ179)&lt;O179,AK179&lt;Q179-1),-'Setup'!$B$11,0))))</x:f>
        <x:v>0</x:v>
      </x:c>
      <x:c r="AU179" s="333" t="n">
        <x:f>IF(Z179=0,0,IF(AN179&lt;&gt;"Yes",Z179,IF(COUNT(AA179,AC179,AE179,AG179,AI179)=0,Z179,ROUND((MAX(AA179,AC179,AE179,AG179,AI179)*(1+AT179))/'Setup'!$B$9,0)*'Setup'!$B$9)))</x:f>
        <x:v>0</x:v>
      </x:c>
      <x:c r="AV179" s="336"/>
    </x:row>
    <x:row r="180">
      <x:c r="A180" s="310" t="n">
        <x:f>'Setup'!$B$3+(C180-1)*7+(D180-1)</x:f>
        <x:v>46265</x:v>
      </x:c>
      <x:c r="B180" s="311" t="str">
        <x:v>4|1|3</x:v>
      </x:c>
      <x:c r="C180" s="311" t="n">
        <x:v>4</x:v>
      </x:c>
      <x:c r="D180" s="311" t="n">
        <x:v>1</x:v>
      </x:c>
      <x:c r="E180" s="311" t="str">
        <x:v>Deload 1</x:v>
      </x:c>
      <x:c r="F180" s="311" t="str">
        <x:v>Pull A</x:v>
      </x:c>
      <x:c r="G180" s="311" t="str">
        <x:v>Vertical pull strength + back density</x:v>
      </x:c>
      <x:c r="H180" s="311" t="n">
        <x:v>3</x:v>
      </x:c>
      <x:c r="I180" s="311" t="str">
        <x:v>Barbell Row</x:v>
      </x:c>
      <x:c r="J180" s="311" t="str">
        <x:v>Strength</x:v>
      </x:c>
      <x:c r="K180" s="311" t="str">
        <x:v>Back</x:v>
      </x:c>
      <x:c r="L180" s="311" t="str">
        <x:v>Straight sets, crisp reps only</x:v>
      </x:c>
      <x:c r="M180" s="311"/>
      <x:c r="N180" s="311" t="n">
        <x:v>2</x:v>
      </x:c>
      <x:c r="O180" s="311" t="n">
        <x:v>6</x:v>
      </x:c>
      <x:c r="P180" s="311" t="n">
        <x:v>8</x:v>
      </x:c>
      <x:c r="Q180" s="311" t="n">
        <x:v>4</x:v>
      </x:c>
      <x:c r="R180" s="311" t="n">
        <x:v>120</x:v>
      </x:c>
      <x:c r="S180" s="311" t="str">
        <x:v>2-1-1</x:v>
      </x:c>
      <x:c r="T180" s="330" t="n">
        <x:v>0.9</x:v>
      </x:c>
      <x:c r="U180" s="330" t="n">
        <x:v>0</x:v>
      </x:c>
      <x:c r="V180" s="331" t="str">
        <x:v>load × reps</x:v>
      </x:c>
      <x:c r="W180" s="332" t="str">
        <x:f>'Readiness'!K25</x:f>
      </x:c>
      <x:c r="X180" s="314" t="n">
        <x:f>'Readiness'!L25</x:f>
        <x:v>1</x:v>
      </x:c>
      <x:c r="Y180" s="315" t="n">
        <x:f>IF(J180="Mobility",N180,MAX(1,ROUND(N180*X180,0)))</x:f>
        <x:v>2</x:v>
      </x:c>
      <x:c r="Z180" s="333" t="n">
        <x:f>ROUND((IF(AU124&gt;0,AU124,IF(Z124&gt;0,Z124,'Setup'!$D$26))*T180)/'Setup'!$B$9,0)*'Setup'!$B$9</x:f>
        <x:v>0</x:v>
      </x:c>
      <x:c r="AA180" s="334"/>
      <x:c r="AB180" s="334"/>
      <x:c r="AC180" s="334"/>
      <x:c r="AD180" s="334"/>
      <x:c r="AE180" s="334"/>
      <x:c r="AF180" s="334"/>
      <x:c r="AG180" s="334"/>
      <x:c r="AH180" s="334"/>
      <x:c r="AI180" s="334"/>
      <x:c r="AJ180" s="312"/>
      <x:c r="AK180" s="312"/>
      <x:c r="AL180" s="312"/>
      <x:c r="AM180" s="312"/>
      <x:c r="AN180" s="312"/>
      <x:c r="AO180" s="315" t="n">
        <x:f>COUNT(AB180,AD180,AF180,AH180,AJ180)</x:f>
        <x:v>0</x:v>
      </x:c>
      <x:c r="AP180" s="315" t="n">
        <x:f>SUM(AB180,AD180,AF180,AH180,AJ180)</x:f>
        <x:v>0</x:v>
      </x:c>
      <x:c r="AQ180" s="333" t="n">
        <x:f>AA180*AB180+AC180*AD180+AE180*AF180+AG180*AH180+AI180*AJ180</x:f>
        <x:v>0</x:v>
      </x:c>
      <x:c r="AR180" s="333" t="n">
        <x:f>IF(OR(J180="Strength",J180="Hypertrophy"),MAX(IF(AB180&gt;0,AA180*(1+AB180/30),0),IF(AD180&gt;0,AC180*(1+AD180/30),0),IF(AF180&gt;0,AE180*(1+AF180/30),0),IF(AH180&gt;0,AG180*(1+AH180/30),0),IF(AJ180&gt;0,AI180*(1+AJ180/30),0)),0)</x:f>
        <x:v>0</x:v>
      </x:c>
      <x:c r="AS180" s="315" t="str">
        <x:f>IF(AN180&lt;&gt;"Yes","Not logged",IF(AL180&gt;='Setup'!$B$14,"STOP / MODIFY",IF(Z180=0,"Complete",IF(OR(AO180=0,AK180=""),"Add set data + RIR",IF(AND(MAX(AB180,AD180,AF180,AH180,AJ180)&gt;=P180,AK180&gt;=Q180+1),"Progress",IF(OR(MAX(AB180,AD180,AF180,AH180,AJ180)&lt;O180,AK180&lt;Q180-1),"Regress","Hold"))))))</x:f>
        <x:v>Not logged</x:v>
      </x:c>
      <x:c r="AT180" s="335" t="n">
        <x:f>IF(OR(Z180=0,AN180&lt;&gt;"Yes",AO180=0,AK180=""),0,IF(AL180&gt;='Setup'!$B$14,-2*'Setup'!$B$11,IF(AND(MAX(AB180,AD180,AF180,AH180,AJ180)&gt;=P180,AK180&gt;=Q180+1),'Setup'!$B$10,IF(OR(MAX(AB180,AD180,AF180,AH180,AJ180)&lt;O180,AK180&lt;Q180-1),-'Setup'!$B$11,0))))</x:f>
        <x:v>0</x:v>
      </x:c>
      <x:c r="AU180" s="333" t="n">
        <x:f>IF(Z180=0,0,IF(AN180&lt;&gt;"Yes",Z180,IF(COUNT(AA180,AC180,AE180,AG180,AI180)=0,Z180,ROUND((MAX(AA180,AC180,AE180,AG180,AI180)*(1+AT180))/'Setup'!$B$9,0)*'Setup'!$B$9)))</x:f>
        <x:v>0</x:v>
      </x:c>
      <x:c r="AV180" s="336"/>
    </x:row>
    <x:row r="181">
      <x:c r="A181" s="310" t="n">
        <x:f>'Setup'!$B$3+(C181-1)*7+(D181-1)</x:f>
        <x:v>46265</x:v>
      </x:c>
      <x:c r="B181" s="311" t="str">
        <x:v>4|1|4</x:v>
      </x:c>
      <x:c r="C181" s="311" t="n">
        <x:v>4</x:v>
      </x:c>
      <x:c r="D181" s="311" t="n">
        <x:v>1</x:v>
      </x:c>
      <x:c r="E181" s="311" t="str">
        <x:v>Deload 1</x:v>
      </x:c>
      <x:c r="F181" s="311" t="str">
        <x:v>Pull A</x:v>
      </x:c>
      <x:c r="G181" s="311" t="str">
        <x:v>Vertical pull strength + back density</x:v>
      </x:c>
      <x:c r="H181" s="311" t="n">
        <x:v>4</x:v>
      </x:c>
      <x:c r="I181" s="311" t="str">
        <x:v>Chest-Supported Dumbbell Row</x:v>
      </x:c>
      <x:c r="J181" s="311" t="str">
        <x:v>Hypertrophy</x:v>
      </x:c>
      <x:c r="K181" s="311" t="str">
        <x:v>Back</x:v>
      </x:c>
      <x:c r="L181" s="311" t="str">
        <x:v>Straight sets, crisp reps only</x:v>
      </x:c>
      <x:c r="M181" s="311"/>
      <x:c r="N181" s="311" t="n">
        <x:v>2</x:v>
      </x:c>
      <x:c r="O181" s="311" t="n">
        <x:v>8</x:v>
      </x:c>
      <x:c r="P181" s="311" t="n">
        <x:v>12</x:v>
      </x:c>
      <x:c r="Q181" s="311" t="n">
        <x:v>4</x:v>
      </x:c>
      <x:c r="R181" s="311" t="n">
        <x:v>90</x:v>
      </x:c>
      <x:c r="S181" s="311" t="str">
        <x:v>2-1-1</x:v>
      </x:c>
      <x:c r="T181" s="330" t="n">
        <x:v>0.9</x:v>
      </x:c>
      <x:c r="U181" s="330" t="n">
        <x:v>0</x:v>
      </x:c>
      <x:c r="V181" s="331" t="str">
        <x:v>load × reps</x:v>
      </x:c>
      <x:c r="W181" s="332" t="str">
        <x:f>'Readiness'!K25</x:f>
      </x:c>
      <x:c r="X181" s="314" t="n">
        <x:f>'Readiness'!L25</x:f>
        <x:v>1</x:v>
      </x:c>
      <x:c r="Y181" s="315" t="n">
        <x:f>IF(J181="Mobility",N181,MAX(1,ROUND(N181*X181,0)))</x:f>
        <x:v>2</x:v>
      </x:c>
      <x:c r="Z181" s="333" t="n">
        <x:f>ROUND((IF(AU125&gt;0,AU125,IF(Z125&gt;0,Z125,'Setup'!$D$34))*T181)/'Setup'!$B$9,0)*'Setup'!$B$9</x:f>
        <x:v>0</x:v>
      </x:c>
      <x:c r="AA181" s="334"/>
      <x:c r="AB181" s="334"/>
      <x:c r="AC181" s="334"/>
      <x:c r="AD181" s="334"/>
      <x:c r="AE181" s="334"/>
      <x:c r="AF181" s="334"/>
      <x:c r="AG181" s="334"/>
      <x:c r="AH181" s="334"/>
      <x:c r="AI181" s="334"/>
      <x:c r="AJ181" s="312"/>
      <x:c r="AK181" s="312"/>
      <x:c r="AL181" s="312"/>
      <x:c r="AM181" s="312"/>
      <x:c r="AN181" s="312"/>
      <x:c r="AO181" s="315" t="n">
        <x:f>COUNT(AB181,AD181,AF181,AH181,AJ181)</x:f>
        <x:v>0</x:v>
      </x:c>
      <x:c r="AP181" s="315" t="n">
        <x:f>SUM(AB181,AD181,AF181,AH181,AJ181)</x:f>
        <x:v>0</x:v>
      </x:c>
      <x:c r="AQ181" s="333" t="n">
        <x:f>AA181*AB181+AC181*AD181+AE181*AF181+AG181*AH181+AI181*AJ181</x:f>
        <x:v>0</x:v>
      </x:c>
      <x:c r="AR181" s="333" t="n">
        <x:f>IF(OR(J181="Strength",J181="Hypertrophy"),MAX(IF(AB181&gt;0,AA181*(1+AB181/30),0),IF(AD181&gt;0,AC181*(1+AD181/30),0),IF(AF181&gt;0,AE181*(1+AF181/30),0),IF(AH181&gt;0,AG181*(1+AH181/30),0),IF(AJ181&gt;0,AI181*(1+AJ181/30),0)),0)</x:f>
        <x:v>0</x:v>
      </x:c>
      <x:c r="AS181" s="315" t="str">
        <x:f>IF(AN181&lt;&gt;"Yes","Not logged",IF(AL181&gt;='Setup'!$B$14,"STOP / MODIFY",IF(Z181=0,"Complete",IF(OR(AO181=0,AK181=""),"Add set data + RIR",IF(AND(MAX(AB181,AD181,AF181,AH181,AJ181)&gt;=P181,AK181&gt;=Q181+1),"Progress",IF(OR(MAX(AB181,AD181,AF181,AH181,AJ181)&lt;O181,AK181&lt;Q181-1),"Regress","Hold"))))))</x:f>
        <x:v>Not logged</x:v>
      </x:c>
      <x:c r="AT181" s="335" t="n">
        <x:f>IF(OR(Z181=0,AN181&lt;&gt;"Yes",AO181=0,AK181=""),0,IF(AL181&gt;='Setup'!$B$14,-2*'Setup'!$B$11,IF(AND(MAX(AB181,AD181,AF181,AH181,AJ181)&gt;=P181,AK181&gt;=Q181+1),'Setup'!$B$10,IF(OR(MAX(AB181,AD181,AF181,AH181,AJ181)&lt;O181,AK181&lt;Q181-1),-'Setup'!$B$11,0))))</x:f>
        <x:v>0</x:v>
      </x:c>
      <x:c r="AU181" s="333" t="n">
        <x:f>IF(Z181=0,0,IF(AN181&lt;&gt;"Yes",Z181,IF(COUNT(AA181,AC181,AE181,AG181,AI181)=0,Z181,ROUND((MAX(AA181,AC181,AE181,AG181,AI181)*(1+AT181))/'Setup'!$B$9,0)*'Setup'!$B$9)))</x:f>
        <x:v>0</x:v>
      </x:c>
      <x:c r="AV181" s="336"/>
    </x:row>
    <x:row r="182">
      <x:c r="A182" s="310" t="n">
        <x:f>'Setup'!$B$3+(C182-1)*7+(D182-1)</x:f>
        <x:v>46265</x:v>
      </x:c>
      <x:c r="B182" s="311" t="str">
        <x:v>4|1|5</x:v>
      </x:c>
      <x:c r="C182" s="311" t="n">
        <x:v>4</x:v>
      </x:c>
      <x:c r="D182" s="311" t="n">
        <x:v>1</x:v>
      </x:c>
      <x:c r="E182" s="311" t="str">
        <x:v>Deload 1</x:v>
      </x:c>
      <x:c r="F182" s="311" t="str">
        <x:v>Pull A</x:v>
      </x:c>
      <x:c r="G182" s="311" t="str">
        <x:v>Vertical pull strength + back density</x:v>
      </x:c>
      <x:c r="H182" s="311" t="n">
        <x:v>5</x:v>
      </x:c>
      <x:c r="I182" s="311" t="str">
        <x:v>Lat Pulldown</x:v>
      </x:c>
      <x:c r="J182" s="311" t="str">
        <x:v>Hypertrophy</x:v>
      </x:c>
      <x:c r="K182" s="311" t="str">
        <x:v>Back</x:v>
      </x:c>
      <x:c r="L182" s="311" t="str">
        <x:v>Straight sets, crisp reps only</x:v>
      </x:c>
      <x:c r="M182" s="311"/>
      <x:c r="N182" s="311" t="n">
        <x:v>2</x:v>
      </x:c>
      <x:c r="O182" s="311" t="n">
        <x:v>10</x:v>
      </x:c>
      <x:c r="P182" s="311" t="n">
        <x:v>12</x:v>
      </x:c>
      <x:c r="Q182" s="311" t="n">
        <x:v>4</x:v>
      </x:c>
      <x:c r="R182" s="311" t="n">
        <x:v>75</x:v>
      </x:c>
      <x:c r="S182" s="311" t="str">
        <x:v>2-1-1</x:v>
      </x:c>
      <x:c r="T182" s="330" t="n">
        <x:v>0.9</x:v>
      </x:c>
      <x:c r="U182" s="330" t="n">
        <x:v>0</x:v>
      </x:c>
      <x:c r="V182" s="331" t="str">
        <x:v>load × reps</x:v>
      </x:c>
      <x:c r="W182" s="332" t="str">
        <x:f>'Readiness'!K25</x:f>
      </x:c>
      <x:c r="X182" s="314" t="n">
        <x:f>'Readiness'!L25</x:f>
        <x:v>1</x:v>
      </x:c>
      <x:c r="Y182" s="315" t="n">
        <x:f>IF(J182="Mobility",N182,MAX(1,ROUND(N182*X182,0)))</x:f>
        <x:v>2</x:v>
      </x:c>
      <x:c r="Z182" s="333" t="n">
        <x:f>ROUND((IF(AU126&gt;0,AU126,IF(Z126&gt;0,Z126,'Setup'!$D$55))*T182)/'Setup'!$B$9,0)*'Setup'!$B$9</x:f>
        <x:v>0</x:v>
      </x:c>
      <x:c r="AA182" s="334"/>
      <x:c r="AB182" s="334"/>
      <x:c r="AC182" s="334"/>
      <x:c r="AD182" s="334"/>
      <x:c r="AE182" s="334"/>
      <x:c r="AF182" s="334"/>
      <x:c r="AG182" s="334"/>
      <x:c r="AH182" s="334"/>
      <x:c r="AI182" s="334"/>
      <x:c r="AJ182" s="312"/>
      <x:c r="AK182" s="312"/>
      <x:c r="AL182" s="312"/>
      <x:c r="AM182" s="312"/>
      <x:c r="AN182" s="312"/>
      <x:c r="AO182" s="315" t="n">
        <x:f>COUNT(AB182,AD182,AF182,AH182,AJ182)</x:f>
        <x:v>0</x:v>
      </x:c>
      <x:c r="AP182" s="315" t="n">
        <x:f>SUM(AB182,AD182,AF182,AH182,AJ182)</x:f>
        <x:v>0</x:v>
      </x:c>
      <x:c r="AQ182" s="333" t="n">
        <x:f>AA182*AB182+AC182*AD182+AE182*AF182+AG182*AH182+AI182*AJ182</x:f>
        <x:v>0</x:v>
      </x:c>
      <x:c r="AR182" s="333" t="n">
        <x:f>IF(OR(J182="Strength",J182="Hypertrophy"),MAX(IF(AB182&gt;0,AA182*(1+AB182/30),0),IF(AD182&gt;0,AC182*(1+AD182/30),0),IF(AF182&gt;0,AE182*(1+AF182/30),0),IF(AH182&gt;0,AG182*(1+AH182/30),0),IF(AJ182&gt;0,AI182*(1+AJ182/30),0)),0)</x:f>
        <x:v>0</x:v>
      </x:c>
      <x:c r="AS182" s="315" t="str">
        <x:f>IF(AN182&lt;&gt;"Yes","Not logged",IF(AL182&gt;='Setup'!$B$14,"STOP / MODIFY",IF(Z182=0,"Complete",IF(OR(AO182=0,AK182=""),"Add set data + RIR",IF(AND(MAX(AB182,AD182,AF182,AH182,AJ182)&gt;=P182,AK182&gt;=Q182+1),"Progress",IF(OR(MAX(AB182,AD182,AF182,AH182,AJ182)&lt;O182,AK182&lt;Q182-1),"Regress","Hold"))))))</x:f>
        <x:v>Not logged</x:v>
      </x:c>
      <x:c r="AT182" s="335" t="n">
        <x:f>IF(OR(Z182=0,AN182&lt;&gt;"Yes",AO182=0,AK182=""),0,IF(AL182&gt;='Setup'!$B$14,-2*'Setup'!$B$11,IF(AND(MAX(AB182,AD182,AF182,AH182,AJ182)&gt;=P182,AK182&gt;=Q182+1),'Setup'!$B$10,IF(OR(MAX(AB182,AD182,AF182,AH182,AJ182)&lt;O182,AK182&lt;Q182-1),-'Setup'!$B$11,0))))</x:f>
        <x:v>0</x:v>
      </x:c>
      <x:c r="AU182" s="333" t="n">
        <x:f>IF(Z182=0,0,IF(AN182&lt;&gt;"Yes",Z182,IF(COUNT(AA182,AC182,AE182,AG182,AI182)=0,Z182,ROUND((MAX(AA182,AC182,AE182,AG182,AI182)*(1+AT182))/'Setup'!$B$9,0)*'Setup'!$B$9)))</x:f>
        <x:v>0</x:v>
      </x:c>
      <x:c r="AV182" s="336"/>
    </x:row>
    <x:row r="183">
      <x:c r="A183" s="310" t="n">
        <x:f>'Setup'!$B$3+(C183-1)*7+(D183-1)</x:f>
        <x:v>46265</x:v>
      </x:c>
      <x:c r="B183" s="311" t="str">
        <x:v>4|1|6</x:v>
      </x:c>
      <x:c r="C183" s="311" t="n">
        <x:v>4</x:v>
      </x:c>
      <x:c r="D183" s="311" t="n">
        <x:v>1</x:v>
      </x:c>
      <x:c r="E183" s="311" t="str">
        <x:v>Deload 1</x:v>
      </x:c>
      <x:c r="F183" s="311" t="str">
        <x:v>Pull A</x:v>
      </x:c>
      <x:c r="G183" s="311" t="str">
        <x:v>Vertical pull strength + back density</x:v>
      </x:c>
      <x:c r="H183" s="311" t="n">
        <x:v>6</x:v>
      </x:c>
      <x:c r="I183" s="311" t="str">
        <x:v>Rear Delt Cable Fly</x:v>
      </x:c>
      <x:c r="J183" s="311" t="str">
        <x:v>Hypertrophy</x:v>
      </x:c>
      <x:c r="K183" s="311" t="str">
        <x:v>Rear Delts</x:v>
      </x:c>
      <x:c r="L183" s="311" t="str">
        <x:v>Straight sets, crisp reps only</x:v>
      </x:c>
      <x:c r="M183" s="311" t="str">
        <x:v>A1</x:v>
      </x:c>
      <x:c r="N183" s="311" t="n">
        <x:v>2</x:v>
      </x:c>
      <x:c r="O183" s="311" t="n">
        <x:v>12</x:v>
      </x:c>
      <x:c r="P183" s="311" t="n">
        <x:v>20</x:v>
      </x:c>
      <x:c r="Q183" s="311" t="n">
        <x:v>4</x:v>
      </x:c>
      <x:c r="R183" s="311" t="n">
        <x:v>30</x:v>
      </x:c>
      <x:c r="S183" s="311" t="str">
        <x:v>2-1-2</x:v>
      </x:c>
      <x:c r="T183" s="330" t="n">
        <x:v>0.9</x:v>
      </x:c>
      <x:c r="U183" s="330" t="n">
        <x:v>0</x:v>
      </x:c>
      <x:c r="V183" s="331" t="str">
        <x:v>load × reps</x:v>
      </x:c>
      <x:c r="W183" s="332" t="str">
        <x:f>'Readiness'!K25</x:f>
      </x:c>
      <x:c r="X183" s="314" t="n">
        <x:f>'Readiness'!L25</x:f>
        <x:v>1</x:v>
      </x:c>
      <x:c r="Y183" s="315" t="n">
        <x:f>IF(J183="Mobility",N183,MAX(1,ROUND(N183*X183,0)))</x:f>
        <x:v>2</x:v>
      </x:c>
      <x:c r="Z183" s="333" t="n">
        <x:f>ROUND((IF(AU127&gt;0,AU127,IF(Z127&gt;0,Z127,'Setup'!$D$78))*T183)/'Setup'!$B$9,0)*'Setup'!$B$9</x:f>
        <x:v>0</x:v>
      </x:c>
      <x:c r="AA183" s="334"/>
      <x:c r="AB183" s="334"/>
      <x:c r="AC183" s="334"/>
      <x:c r="AD183" s="334"/>
      <x:c r="AE183" s="334"/>
      <x:c r="AF183" s="334"/>
      <x:c r="AG183" s="334"/>
      <x:c r="AH183" s="334"/>
      <x:c r="AI183" s="334"/>
      <x:c r="AJ183" s="312"/>
      <x:c r="AK183" s="312"/>
      <x:c r="AL183" s="312"/>
      <x:c r="AM183" s="312"/>
      <x:c r="AN183" s="312"/>
      <x:c r="AO183" s="315" t="n">
        <x:f>COUNT(AB183,AD183,AF183,AH183,AJ183)</x:f>
        <x:v>0</x:v>
      </x:c>
      <x:c r="AP183" s="315" t="n">
        <x:f>SUM(AB183,AD183,AF183,AH183,AJ183)</x:f>
        <x:v>0</x:v>
      </x:c>
      <x:c r="AQ183" s="333" t="n">
        <x:f>AA183*AB183+AC183*AD183+AE183*AF183+AG183*AH183+AI183*AJ183</x:f>
        <x:v>0</x:v>
      </x:c>
      <x:c r="AR183" s="333" t="n">
        <x:f>IF(OR(J183="Strength",J183="Hypertrophy"),MAX(IF(AB183&gt;0,AA183*(1+AB183/30),0),IF(AD183&gt;0,AC183*(1+AD183/30),0),IF(AF183&gt;0,AE183*(1+AF183/30),0),IF(AH183&gt;0,AG183*(1+AH183/30),0),IF(AJ183&gt;0,AI183*(1+AJ183/30),0)),0)</x:f>
        <x:v>0</x:v>
      </x:c>
      <x:c r="AS183" s="315" t="str">
        <x:f>IF(AN183&lt;&gt;"Yes","Not logged",IF(AL183&gt;='Setup'!$B$14,"STOP / MODIFY",IF(Z183=0,"Complete",IF(OR(AO183=0,AK183=""),"Add set data + RIR",IF(AND(MAX(AB183,AD183,AF183,AH183,AJ183)&gt;=P183,AK183&gt;=Q183+1),"Progress",IF(OR(MAX(AB183,AD183,AF183,AH183,AJ183)&lt;O183,AK183&lt;Q183-1),"Regress","Hold"))))))</x:f>
        <x:v>Not logged</x:v>
      </x:c>
      <x:c r="AT183" s="335" t="n">
        <x:f>IF(OR(Z183=0,AN183&lt;&gt;"Yes",AO183=0,AK183=""),0,IF(AL183&gt;='Setup'!$B$14,-2*'Setup'!$B$11,IF(AND(MAX(AB183,AD183,AF183,AH183,AJ183)&gt;=P183,AK183&gt;=Q183+1),'Setup'!$B$10,IF(OR(MAX(AB183,AD183,AF183,AH183,AJ183)&lt;O183,AK183&lt;Q183-1),-'Setup'!$B$11,0))))</x:f>
        <x:v>0</x:v>
      </x:c>
      <x:c r="AU183" s="333" t="n">
        <x:f>IF(Z183=0,0,IF(AN183&lt;&gt;"Yes",Z183,IF(COUNT(AA183,AC183,AE183,AG183,AI183)=0,Z183,ROUND((MAX(AA183,AC183,AE183,AG183,AI183)*(1+AT183))/'Setup'!$B$9,0)*'Setup'!$B$9)))</x:f>
        <x:v>0</x:v>
      </x:c>
      <x:c r="AV183" s="336"/>
    </x:row>
    <x:row r="184">
      <x:c r="A184" s="310" t="n">
        <x:f>'Setup'!$B$3+(C184-1)*7+(D184-1)</x:f>
        <x:v>46265</x:v>
      </x:c>
      <x:c r="B184" s="311" t="str">
        <x:v>4|1|7</x:v>
      </x:c>
      <x:c r="C184" s="311" t="n">
        <x:v>4</x:v>
      </x:c>
      <x:c r="D184" s="311" t="n">
        <x:v>1</x:v>
      </x:c>
      <x:c r="E184" s="311" t="str">
        <x:v>Deload 1</x:v>
      </x:c>
      <x:c r="F184" s="311" t="str">
        <x:v>Pull A</x:v>
      </x:c>
      <x:c r="G184" s="311" t="str">
        <x:v>Vertical pull strength + back density</x:v>
      </x:c>
      <x:c r="H184" s="311" t="n">
        <x:v>7</x:v>
      </x:c>
      <x:c r="I184" s="311" t="str">
        <x:v>EZ-Bar Curl</x:v>
      </x:c>
      <x:c r="J184" s="311" t="str">
        <x:v>Hypertrophy</x:v>
      </x:c>
      <x:c r="K184" s="311" t="str">
        <x:v>Biceps</x:v>
      </x:c>
      <x:c r="L184" s="311" t="str">
        <x:v>Straight sets, crisp reps only</x:v>
      </x:c>
      <x:c r="M184" s="311" t="str">
        <x:v>A2</x:v>
      </x:c>
      <x:c r="N184" s="311" t="n">
        <x:v>2</x:v>
      </x:c>
      <x:c r="O184" s="311" t="n">
        <x:v>8</x:v>
      </x:c>
      <x:c r="P184" s="311" t="n">
        <x:v>12</x:v>
      </x:c>
      <x:c r="Q184" s="311" t="n">
        <x:v>4</x:v>
      </x:c>
      <x:c r="R184" s="311" t="n">
        <x:v>45</x:v>
      </x:c>
      <x:c r="S184" s="311" t="str">
        <x:v>3-0-1</x:v>
      </x:c>
      <x:c r="T184" s="330" t="n">
        <x:v>0.9</x:v>
      </x:c>
      <x:c r="U184" s="330" t="n">
        <x:v>0</x:v>
      </x:c>
      <x:c r="V184" s="331" t="str">
        <x:v>load × reps</x:v>
      </x:c>
      <x:c r="W184" s="332" t="str">
        <x:f>'Readiness'!K25</x:f>
      </x:c>
      <x:c r="X184" s="314" t="n">
        <x:f>'Readiness'!L25</x:f>
        <x:v>1</x:v>
      </x:c>
      <x:c r="Y184" s="315" t="n">
        <x:f>IF(J184="Mobility",N184,MAX(1,ROUND(N184*X184,0)))</x:f>
        <x:v>2</x:v>
      </x:c>
      <x:c r="Z184" s="333" t="n">
        <x:f>ROUND((IF(AU128&gt;0,AU128,IF(Z128&gt;0,Z128,'Setup'!$D$40))*T184)/'Setup'!$B$9,0)*'Setup'!$B$9</x:f>
        <x:v>0</x:v>
      </x:c>
      <x:c r="AA184" s="334"/>
      <x:c r="AB184" s="334"/>
      <x:c r="AC184" s="334"/>
      <x:c r="AD184" s="334"/>
      <x:c r="AE184" s="334"/>
      <x:c r="AF184" s="334"/>
      <x:c r="AG184" s="334"/>
      <x:c r="AH184" s="334"/>
      <x:c r="AI184" s="334"/>
      <x:c r="AJ184" s="312"/>
      <x:c r="AK184" s="312"/>
      <x:c r="AL184" s="312"/>
      <x:c r="AM184" s="312"/>
      <x:c r="AN184" s="312"/>
      <x:c r="AO184" s="315" t="n">
        <x:f>COUNT(AB184,AD184,AF184,AH184,AJ184)</x:f>
        <x:v>0</x:v>
      </x:c>
      <x:c r="AP184" s="315" t="n">
        <x:f>SUM(AB184,AD184,AF184,AH184,AJ184)</x:f>
        <x:v>0</x:v>
      </x:c>
      <x:c r="AQ184" s="333" t="n">
        <x:f>AA184*AB184+AC184*AD184+AE184*AF184+AG184*AH184+AI184*AJ184</x:f>
        <x:v>0</x:v>
      </x:c>
      <x:c r="AR184" s="333" t="n">
        <x:f>IF(OR(J184="Strength",J184="Hypertrophy"),MAX(IF(AB184&gt;0,AA184*(1+AB184/30),0),IF(AD184&gt;0,AC184*(1+AD184/30),0),IF(AF184&gt;0,AE184*(1+AF184/30),0),IF(AH184&gt;0,AG184*(1+AH184/30),0),IF(AJ184&gt;0,AI184*(1+AJ184/30),0)),0)</x:f>
        <x:v>0</x:v>
      </x:c>
      <x:c r="AS184" s="315" t="str">
        <x:f>IF(AN184&lt;&gt;"Yes","Not logged",IF(AL184&gt;='Setup'!$B$14,"STOP / MODIFY",IF(Z184=0,"Complete",IF(OR(AO184=0,AK184=""),"Add set data + RIR",IF(AND(MAX(AB184,AD184,AF184,AH184,AJ184)&gt;=P184,AK184&gt;=Q184+1),"Progress",IF(OR(MAX(AB184,AD184,AF184,AH184,AJ184)&lt;O184,AK184&lt;Q184-1),"Regress","Hold"))))))</x:f>
        <x:v>Not logged</x:v>
      </x:c>
      <x:c r="AT184" s="335" t="n">
        <x:f>IF(OR(Z184=0,AN184&lt;&gt;"Yes",AO184=0,AK184=""),0,IF(AL184&gt;='Setup'!$B$14,-2*'Setup'!$B$11,IF(AND(MAX(AB184,AD184,AF184,AH184,AJ184)&gt;=P184,AK184&gt;=Q184+1),'Setup'!$B$10,IF(OR(MAX(AB184,AD184,AF184,AH184,AJ184)&lt;O184,AK184&lt;Q184-1),-'Setup'!$B$11,0))))</x:f>
        <x:v>0</x:v>
      </x:c>
      <x:c r="AU184" s="333" t="n">
        <x:f>IF(Z184=0,0,IF(AN184&lt;&gt;"Yes",Z184,IF(COUNT(AA184,AC184,AE184,AG184,AI184)=0,Z184,ROUND((MAX(AA184,AC184,AE184,AG184,AI184)*(1+AT184))/'Setup'!$B$9,0)*'Setup'!$B$9)))</x:f>
        <x:v>0</x:v>
      </x:c>
      <x:c r="AV184" s="336"/>
    </x:row>
    <x:row r="185">
      <x:c r="A185" s="310" t="n">
        <x:f>'Setup'!$B$3+(C185-1)*7+(D185-1)</x:f>
        <x:v>46265</x:v>
      </x:c>
      <x:c r="B185" s="311" t="str">
        <x:v>4|1|8</x:v>
      </x:c>
      <x:c r="C185" s="311" t="n">
        <x:v>4</x:v>
      </x:c>
      <x:c r="D185" s="311" t="n">
        <x:v>1</x:v>
      </x:c>
      <x:c r="E185" s="311" t="str">
        <x:v>Deload 1</x:v>
      </x:c>
      <x:c r="F185" s="311" t="str">
        <x:v>Pull A</x:v>
      </x:c>
      <x:c r="G185" s="311" t="str">
        <x:v>Vertical pull strength + back density</x:v>
      </x:c>
      <x:c r="H185" s="311" t="n">
        <x:v>8</x:v>
      </x:c>
      <x:c r="I185" s="311" t="str">
        <x:v>SkiErg Power Intervals</x:v>
      </x:c>
      <x:c r="J185" s="311" t="str">
        <x:v>Athletic</x:v>
      </x:c>
      <x:c r="K185" s="311" t="str">
        <x:v>Full Body</x:v>
      </x:c>
      <x:c r="L185" s="311" t="str">
        <x:v>Straight sets, crisp reps only</x:v>
      </x:c>
      <x:c r="M185" s="311"/>
      <x:c r="N185" s="311" t="n">
        <x:v>3</x:v>
      </x:c>
      <x:c r="O185" s="311" t="n">
        <x:v>15</x:v>
      </x:c>
      <x:c r="P185" s="311" t="n">
        <x:v>15</x:v>
      </x:c>
      <x:c r="Q185" s="311" t="n">
        <x:v>4</x:v>
      </x:c>
      <x:c r="R185" s="311" t="n">
        <x:v>45</x:v>
      </x:c>
      <x:c r="S185" s="311" t="str">
        <x:v>Powerful</x:v>
      </x:c>
      <x:c r="T185" s="330" t="n">
        <x:v>0.9</x:v>
      </x:c>
      <x:c r="U185" s="330" t="n">
        <x:v>0</x:v>
      </x:c>
      <x:c r="V185" s="331" t="str">
        <x:v>watts / meters</x:v>
      </x:c>
      <x:c r="W185" s="332" t="str">
        <x:f>'Readiness'!K25</x:f>
      </x:c>
      <x:c r="X185" s="314" t="n">
        <x:f>'Readiness'!L25</x:f>
        <x:v>1</x:v>
      </x:c>
      <x:c r="Y185" s="315" t="n">
        <x:f>IF(J185="Mobility",N185,MAX(1,ROUND(N185*X185,0)))</x:f>
        <x:v>3</x:v>
      </x:c>
      <x:c r="Z185" s="333" t="n">
        <x:f>0</x:f>
        <x:v>0</x:v>
      </x:c>
      <x:c r="AA185" s="334"/>
      <x:c r="AB185" s="334"/>
      <x:c r="AC185" s="334"/>
      <x:c r="AD185" s="334"/>
      <x:c r="AE185" s="334"/>
      <x:c r="AF185" s="334"/>
      <x:c r="AG185" s="334"/>
      <x:c r="AH185" s="334"/>
      <x:c r="AI185" s="334"/>
      <x:c r="AJ185" s="312"/>
      <x:c r="AK185" s="312"/>
      <x:c r="AL185" s="312"/>
      <x:c r="AM185" s="312"/>
      <x:c r="AN185" s="312"/>
      <x:c r="AO185" s="315" t="n">
        <x:f>COUNT(AB185,AD185,AF185,AH185,AJ185)</x:f>
        <x:v>0</x:v>
      </x:c>
      <x:c r="AP185" s="315" t="n">
        <x:f>SUM(AB185,AD185,AF185,AH185,AJ185)</x:f>
        <x:v>0</x:v>
      </x:c>
      <x:c r="AQ185" s="333" t="n">
        <x:f>AA185*AB185+AC185*AD185+AE185*AF185+AG185*AH185+AI185*AJ185</x:f>
        <x:v>0</x:v>
      </x:c>
      <x:c r="AR185" s="333" t="n">
        <x:f>IF(OR(J185="Strength",J185="Hypertrophy"),MAX(IF(AB185&gt;0,AA185*(1+AB185/30),0),IF(AD185&gt;0,AC185*(1+AD185/30),0),IF(AF185&gt;0,AE185*(1+AF185/30),0),IF(AH185&gt;0,AG185*(1+AH185/30),0),IF(AJ185&gt;0,AI185*(1+AJ185/30),0)),0)</x:f>
        <x:v>0</x:v>
      </x:c>
      <x:c r="AS185" s="315" t="str">
        <x:f>IF(AN185&lt;&gt;"Yes","Not logged",IF(AL185&gt;='Setup'!$B$14,"STOP / MODIFY",IF(Z185=0,"Complete",IF(OR(AO185=0,AK185=""),"Add set data + RIR",IF(AND(MAX(AB185,AD185,AF185,AH185,AJ185)&gt;=P185,AK185&gt;=Q185+1),"Progress",IF(OR(MAX(AB185,AD185,AF185,AH185,AJ185)&lt;O185,AK185&lt;Q185-1),"Regress","Hold"))))))</x:f>
        <x:v>Not logged</x:v>
      </x:c>
      <x:c r="AT185" s="335" t="n">
        <x:f>IF(OR(Z185=0,AN185&lt;&gt;"Yes",AO185=0,AK185=""),0,IF(AL185&gt;='Setup'!$B$14,-2*'Setup'!$B$11,IF(AND(MAX(AB185,AD185,AF185,AH185,AJ185)&gt;=P185,AK185&gt;=Q185+1),'Setup'!$B$10,IF(OR(MAX(AB185,AD185,AF185,AH185,AJ185)&lt;O185,AK185&lt;Q185-1),-'Setup'!$B$11,0))))</x:f>
        <x:v>0</x:v>
      </x:c>
      <x:c r="AU185" s="333" t="n">
        <x:f>IF(Z185=0,0,IF(AN185&lt;&gt;"Yes",Z185,IF(COUNT(AA185,AC185,AE185,AG185,AI185)=0,Z185,ROUND((MAX(AA185,AC185,AE185,AG185,AI185)*(1+AT185))/'Setup'!$B$9,0)*'Setup'!$B$9)))</x:f>
        <x:v>0</x:v>
      </x:c>
      <x:c r="AV185" s="336"/>
    </x:row>
    <x:row r="186">
      <x:c r="A186" s="310" t="n">
        <x:f>'Setup'!$B$3+(C186-1)*7+(D186-1)</x:f>
        <x:v>46265</x:v>
      </x:c>
      <x:c r="B186" s="311" t="str">
        <x:v>4|1|9</x:v>
      </x:c>
      <x:c r="C186" s="311" t="n">
        <x:v>4</x:v>
      </x:c>
      <x:c r="D186" s="311" t="n">
        <x:v>1</x:v>
      </x:c>
      <x:c r="E186" s="311" t="str">
        <x:v>Deload 1</x:v>
      </x:c>
      <x:c r="F186" s="311" t="str">
        <x:v>Pull A</x:v>
      </x:c>
      <x:c r="G186" s="311" t="str">
        <x:v>Vertical pull strength + back density</x:v>
      </x:c>
      <x:c r="H186" s="311" t="n">
        <x:v>9</x:v>
      </x:c>
      <x:c r="I186" s="311" t="str">
        <x:v>Passive Hang</x:v>
      </x:c>
      <x:c r="J186" s="311" t="str">
        <x:v>Mobility</x:v>
      </x:c>
      <x:c r="K186" s="311" t="str">
        <x:v>Shoulders</x:v>
      </x:c>
      <x:c r="L186" s="311" t="str">
        <x:v>Straight sets, crisp reps only</x:v>
      </x:c>
      <x:c r="M186" s="311"/>
      <x:c r="N186" s="311" t="n">
        <x:v>2</x:v>
      </x:c>
      <x:c r="O186" s="311" t="n">
        <x:v>20</x:v>
      </x:c>
      <x:c r="P186" s="311" t="n">
        <x:v>40</x:v>
      </x:c>
      <x:c r="Q186" s="311"/>
      <x:c r="R186" s="311" t="n">
        <x:v>30</x:v>
      </x:c>
      <x:c r="S186" s="311" t="str">
        <x:v>Hold</x:v>
      </x:c>
      <x:c r="T186" s="330" t="n">
        <x:v>0.9</x:v>
      </x:c>
      <x:c r="U186" s="330" t="n">
        <x:v>0</x:v>
      </x:c>
      <x:c r="V186" s="331" t="str">
        <x:v>seconds</x:v>
      </x:c>
      <x:c r="W186" s="332" t="str">
        <x:f>'Readiness'!K25</x:f>
      </x:c>
      <x:c r="X186" s="314" t="n">
        <x:f>'Readiness'!L25</x:f>
        <x:v>1</x:v>
      </x:c>
      <x:c r="Y186" s="315" t="n">
        <x:f>IF(J186="Mobility",N186,MAX(1,ROUND(N186*X186,0)))</x:f>
        <x:v>2</x:v>
      </x:c>
      <x:c r="Z186" s="333" t="n">
        <x:f>0</x:f>
        <x:v>0</x:v>
      </x:c>
      <x:c r="AA186" s="334"/>
      <x:c r="AB186" s="334"/>
      <x:c r="AC186" s="334"/>
      <x:c r="AD186" s="334"/>
      <x:c r="AE186" s="334"/>
      <x:c r="AF186" s="334"/>
      <x:c r="AG186" s="334"/>
      <x:c r="AH186" s="334"/>
      <x:c r="AI186" s="334"/>
      <x:c r="AJ186" s="312"/>
      <x:c r="AK186" s="312"/>
      <x:c r="AL186" s="312"/>
      <x:c r="AM186" s="312"/>
      <x:c r="AN186" s="312"/>
      <x:c r="AO186" s="315" t="n">
        <x:f>COUNT(AB186,AD186,AF186,AH186,AJ186)</x:f>
        <x:v>0</x:v>
      </x:c>
      <x:c r="AP186" s="315" t="n">
        <x:f>SUM(AB186,AD186,AF186,AH186,AJ186)</x:f>
        <x:v>0</x:v>
      </x:c>
      <x:c r="AQ186" s="333" t="n">
        <x:f>AA186*AB186+AC186*AD186+AE186*AF186+AG186*AH186+AI186*AJ186</x:f>
        <x:v>0</x:v>
      </x:c>
      <x:c r="AR186" s="333" t="n">
        <x:f>IF(OR(J186="Strength",J186="Hypertrophy"),MAX(IF(AB186&gt;0,AA186*(1+AB186/30),0),IF(AD186&gt;0,AC186*(1+AD186/30),0),IF(AF186&gt;0,AE186*(1+AF186/30),0),IF(AH186&gt;0,AG186*(1+AH186/30),0),IF(AJ186&gt;0,AI186*(1+AJ186/30),0)),0)</x:f>
        <x:v>0</x:v>
      </x:c>
      <x:c r="AS186" s="315" t="str">
        <x:f>IF(AN186&lt;&gt;"Yes","Not logged",IF(AL186&gt;='Setup'!$B$14,"STOP / MODIFY",IF(Z186=0,"Complete",IF(OR(AO186=0,AK186=""),"Add set data + RIR",IF(AND(MAX(AB186,AD186,AF186,AH186,AJ186)&gt;=P186,AK186&gt;=Q186+1),"Progress",IF(OR(MAX(AB186,AD186,AF186,AH186,AJ186)&lt;O186,AK186&lt;Q186-1),"Regress","Hold"))))))</x:f>
        <x:v>Not logged</x:v>
      </x:c>
      <x:c r="AT186" s="335" t="n">
        <x:f>IF(OR(Z186=0,AN186&lt;&gt;"Yes",AO186=0,AK186=""),0,IF(AL186&gt;='Setup'!$B$14,-2*'Setup'!$B$11,IF(AND(MAX(AB186,AD186,AF186,AH186,AJ186)&gt;=P186,AK186&gt;=Q186+1),'Setup'!$B$10,IF(OR(MAX(AB186,AD186,AF186,AH186,AJ186)&lt;O186,AK186&lt;Q186-1),-'Setup'!$B$11,0))))</x:f>
        <x:v>0</x:v>
      </x:c>
      <x:c r="AU186" s="333" t="n">
        <x:f>IF(Z186=0,0,IF(AN186&lt;&gt;"Yes",Z186,IF(COUNT(AA186,AC186,AE186,AG186,AI186)=0,Z186,ROUND((MAX(AA186,AC186,AE186,AG186,AI186)*(1+AT186))/'Setup'!$B$9,0)*'Setup'!$B$9)))</x:f>
        <x:v>0</x:v>
      </x:c>
      <x:c r="AV186" s="336"/>
    </x:row>
    <x:row r="187">
      <x:c r="A187" s="310" t="n">
        <x:f>'Setup'!$B$3+(C187-1)*7+(D187-1)</x:f>
        <x:v>46266</x:v>
      </x:c>
      <x:c r="B187" s="311" t="str">
        <x:v>4|2|1</x:v>
      </x:c>
      <x:c r="C187" s="311" t="n">
        <x:v>4</x:v>
      </x:c>
      <x:c r="D187" s="311" t="n">
        <x:v>2</x:v>
      </x:c>
      <x:c r="E187" s="311" t="str">
        <x:v>Deload 1</x:v>
      </x:c>
      <x:c r="F187" s="311" t="str">
        <x:v>Legs A</x:v>
      </x:c>
      <x:c r="G187" s="311" t="str">
        <x:v>Squat strength + lower-body power</x:v>
      </x:c>
      <x:c r="H187" s="311" t="n">
        <x:v>1</x:v>
      </x:c>
      <x:c r="I187" s="311" t="str">
        <x:v>Pogo Jump</x:v>
      </x:c>
      <x:c r="J187" s="311" t="str">
        <x:v>Power</x:v>
      </x:c>
      <x:c r="K187" s="311" t="str">
        <x:v>Calves</x:v>
      </x:c>
      <x:c r="L187" s="311" t="str">
        <x:v>Straight sets, crisp reps only</x:v>
      </x:c>
      <x:c r="M187" s="311"/>
      <x:c r="N187" s="311" t="n">
        <x:v>2</x:v>
      </x:c>
      <x:c r="O187" s="311" t="n">
        <x:v>15</x:v>
      </x:c>
      <x:c r="P187" s="311" t="n">
        <x:v>20</x:v>
      </x:c>
      <x:c r="Q187" s="311" t="n">
        <x:v>4</x:v>
      </x:c>
      <x:c r="R187" s="311" t="n">
        <x:v>45</x:v>
      </x:c>
      <x:c r="S187" s="311" t="str">
        <x:v>Explosive</x:v>
      </x:c>
      <x:c r="T187" s="330" t="n">
        <x:v>0.9</x:v>
      </x:c>
      <x:c r="U187" s="330" t="n">
        <x:v>0</x:v>
      </x:c>
      <x:c r="V187" s="331" t="str">
        <x:v>contacts</x:v>
      </x:c>
      <x:c r="W187" s="332" t="str">
        <x:f>'Readiness'!K26</x:f>
      </x:c>
      <x:c r="X187" s="314" t="n">
        <x:f>'Readiness'!L26</x:f>
        <x:v>1</x:v>
      </x:c>
      <x:c r="Y187" s="315" t="n">
        <x:f>IF(J187="Mobility",N187,MAX(1,ROUND(N187*X187,0)))</x:f>
        <x:v>2</x:v>
      </x:c>
      <x:c r="Z187" s="333" t="n">
        <x:f>0</x:f>
        <x:v>0</x:v>
      </x:c>
      <x:c r="AA187" s="334"/>
      <x:c r="AB187" s="334"/>
      <x:c r="AC187" s="334"/>
      <x:c r="AD187" s="334"/>
      <x:c r="AE187" s="334"/>
      <x:c r="AF187" s="334"/>
      <x:c r="AG187" s="334"/>
      <x:c r="AH187" s="334"/>
      <x:c r="AI187" s="334"/>
      <x:c r="AJ187" s="312"/>
      <x:c r="AK187" s="312"/>
      <x:c r="AL187" s="312"/>
      <x:c r="AM187" s="312"/>
      <x:c r="AN187" s="312"/>
      <x:c r="AO187" s="315" t="n">
        <x:f>COUNT(AB187,AD187,AF187,AH187,AJ187)</x:f>
        <x:v>0</x:v>
      </x:c>
      <x:c r="AP187" s="315" t="n">
        <x:f>SUM(AB187,AD187,AF187,AH187,AJ187)</x:f>
        <x:v>0</x:v>
      </x:c>
      <x:c r="AQ187" s="333" t="n">
        <x:f>AA187*AB187+AC187*AD187+AE187*AF187+AG187*AH187+AI187*AJ187</x:f>
        <x:v>0</x:v>
      </x:c>
      <x:c r="AR187" s="333" t="n">
        <x:f>IF(OR(J187="Strength",J187="Hypertrophy"),MAX(IF(AB187&gt;0,AA187*(1+AB187/30),0),IF(AD187&gt;0,AC187*(1+AD187/30),0),IF(AF187&gt;0,AE187*(1+AF187/30),0),IF(AH187&gt;0,AG187*(1+AH187/30),0),IF(AJ187&gt;0,AI187*(1+AJ187/30),0)),0)</x:f>
        <x:v>0</x:v>
      </x:c>
      <x:c r="AS187" s="315" t="str">
        <x:f>IF(AN187&lt;&gt;"Yes","Not logged",IF(AL187&gt;='Setup'!$B$14,"STOP / MODIFY",IF(Z187=0,"Complete",IF(OR(AO187=0,AK187=""),"Add set data + RIR",IF(AND(MAX(AB187,AD187,AF187,AH187,AJ187)&gt;=P187,AK187&gt;=Q187+1),"Progress",IF(OR(MAX(AB187,AD187,AF187,AH187,AJ187)&lt;O187,AK187&lt;Q187-1),"Regress","Hold"))))))</x:f>
        <x:v>Not logged</x:v>
      </x:c>
      <x:c r="AT187" s="335" t="n">
        <x:f>IF(OR(Z187=0,AN187&lt;&gt;"Yes",AO187=0,AK187=""),0,IF(AL187&gt;='Setup'!$B$14,-2*'Setup'!$B$11,IF(AND(MAX(AB187,AD187,AF187,AH187,AJ187)&gt;=P187,AK187&gt;=Q187+1),'Setup'!$B$10,IF(OR(MAX(AB187,AD187,AF187,AH187,AJ187)&lt;O187,AK187&lt;Q187-1),-'Setup'!$B$11,0))))</x:f>
        <x:v>0</x:v>
      </x:c>
      <x:c r="AU187" s="333" t="n">
        <x:f>IF(Z187=0,0,IF(AN187&lt;&gt;"Yes",Z187,IF(COUNT(AA187,AC187,AE187,AG187,AI187)=0,Z187,ROUND((MAX(AA187,AC187,AE187,AG187,AI187)*(1+AT187))/'Setup'!$B$9,0)*'Setup'!$B$9)))</x:f>
        <x:v>0</x:v>
      </x:c>
      <x:c r="AV187" s="336"/>
    </x:row>
    <x:row r="188">
      <x:c r="A188" s="310" t="n">
        <x:f>'Setup'!$B$3+(C188-1)*7+(D188-1)</x:f>
        <x:v>46266</x:v>
      </x:c>
      <x:c r="B188" s="311" t="str">
        <x:v>4|2|2</x:v>
      </x:c>
      <x:c r="C188" s="311" t="n">
        <x:v>4</x:v>
      </x:c>
      <x:c r="D188" s="311" t="n">
        <x:v>2</x:v>
      </x:c>
      <x:c r="E188" s="311" t="str">
        <x:v>Deload 1</x:v>
      </x:c>
      <x:c r="F188" s="311" t="str">
        <x:v>Legs A</x:v>
      </x:c>
      <x:c r="G188" s="311" t="str">
        <x:v>Squat strength + lower-body power</x:v>
      </x:c>
      <x:c r="H188" s="311" t="n">
        <x:v>2</x:v>
      </x:c>
      <x:c r="I188" s="311" t="str">
        <x:v>Box Jump</x:v>
      </x:c>
      <x:c r="J188" s="311" t="str">
        <x:v>Power</x:v>
      </x:c>
      <x:c r="K188" s="311" t="str">
        <x:v>Quads</x:v>
      </x:c>
      <x:c r="L188" s="311" t="str">
        <x:v>Straight sets, crisp reps only</x:v>
      </x:c>
      <x:c r="M188" s="311"/>
      <x:c r="N188" s="311" t="n">
        <x:v>2</x:v>
      </x:c>
      <x:c r="O188" s="311" t="n">
        <x:v>3</x:v>
      </x:c>
      <x:c r="P188" s="311" t="n">
        <x:v>3</x:v>
      </x:c>
      <x:c r="Q188" s="311" t="n">
        <x:v>4</x:v>
      </x:c>
      <x:c r="R188" s="311" t="n">
        <x:v>75</x:v>
      </x:c>
      <x:c r="S188" s="311" t="str">
        <x:v>Explosive</x:v>
      </x:c>
      <x:c r="T188" s="330" t="n">
        <x:v>0.9</x:v>
      </x:c>
      <x:c r="U188" s="330" t="n">
        <x:v>0</x:v>
      </x:c>
      <x:c r="V188" s="331" t="str">
        <x:v>height</x:v>
      </x:c>
      <x:c r="W188" s="332" t="str">
        <x:f>'Readiness'!K26</x:f>
      </x:c>
      <x:c r="X188" s="314" t="n">
        <x:f>'Readiness'!L26</x:f>
        <x:v>1</x:v>
      </x:c>
      <x:c r="Y188" s="315" t="n">
        <x:f>IF(J188="Mobility",N188,MAX(1,ROUND(N188*X188,0)))</x:f>
        <x:v>2</x:v>
      </x:c>
      <x:c r="Z188" s="333" t="n">
        <x:f>0</x:f>
        <x:v>0</x:v>
      </x:c>
      <x:c r="AA188" s="334"/>
      <x:c r="AB188" s="334"/>
      <x:c r="AC188" s="334"/>
      <x:c r="AD188" s="334"/>
      <x:c r="AE188" s="334"/>
      <x:c r="AF188" s="334"/>
      <x:c r="AG188" s="334"/>
      <x:c r="AH188" s="334"/>
      <x:c r="AI188" s="334"/>
      <x:c r="AJ188" s="312"/>
      <x:c r="AK188" s="312"/>
      <x:c r="AL188" s="312"/>
      <x:c r="AM188" s="312"/>
      <x:c r="AN188" s="312"/>
      <x:c r="AO188" s="315" t="n">
        <x:f>COUNT(AB188,AD188,AF188,AH188,AJ188)</x:f>
        <x:v>0</x:v>
      </x:c>
      <x:c r="AP188" s="315" t="n">
        <x:f>SUM(AB188,AD188,AF188,AH188,AJ188)</x:f>
        <x:v>0</x:v>
      </x:c>
      <x:c r="AQ188" s="333" t="n">
        <x:f>AA188*AB188+AC188*AD188+AE188*AF188+AG188*AH188+AI188*AJ188</x:f>
        <x:v>0</x:v>
      </x:c>
      <x:c r="AR188" s="333" t="n">
        <x:f>IF(OR(J188="Strength",J188="Hypertrophy"),MAX(IF(AB188&gt;0,AA188*(1+AB188/30),0),IF(AD188&gt;0,AC188*(1+AD188/30),0),IF(AF188&gt;0,AE188*(1+AF188/30),0),IF(AH188&gt;0,AG188*(1+AH188/30),0),IF(AJ188&gt;0,AI188*(1+AJ188/30),0)),0)</x:f>
        <x:v>0</x:v>
      </x:c>
      <x:c r="AS188" s="315" t="str">
        <x:f>IF(AN188&lt;&gt;"Yes","Not logged",IF(AL188&gt;='Setup'!$B$14,"STOP / MODIFY",IF(Z188=0,"Complete",IF(OR(AO188=0,AK188=""),"Add set data + RIR",IF(AND(MAX(AB188,AD188,AF188,AH188,AJ188)&gt;=P188,AK188&gt;=Q188+1),"Progress",IF(OR(MAX(AB188,AD188,AF188,AH188,AJ188)&lt;O188,AK188&lt;Q188-1),"Regress","Hold"))))))</x:f>
        <x:v>Not logged</x:v>
      </x:c>
      <x:c r="AT188" s="335" t="n">
        <x:f>IF(OR(Z188=0,AN188&lt;&gt;"Yes",AO188=0,AK188=""),0,IF(AL188&gt;='Setup'!$B$14,-2*'Setup'!$B$11,IF(AND(MAX(AB188,AD188,AF188,AH188,AJ188)&gt;=P188,AK188&gt;=Q188+1),'Setup'!$B$10,IF(OR(MAX(AB188,AD188,AF188,AH188,AJ188)&lt;O188,AK188&lt;Q188-1),-'Setup'!$B$11,0))))</x:f>
        <x:v>0</x:v>
      </x:c>
      <x:c r="AU188" s="333" t="n">
        <x:f>IF(Z188=0,0,IF(AN188&lt;&gt;"Yes",Z188,IF(COUNT(AA188,AC188,AE188,AG188,AI188)=0,Z188,ROUND((MAX(AA188,AC188,AE188,AG188,AI188)*(1+AT188))/'Setup'!$B$9,0)*'Setup'!$B$9)))</x:f>
        <x:v>0</x:v>
      </x:c>
      <x:c r="AV188" s="336"/>
    </x:row>
    <x:row r="189">
      <x:c r="A189" s="310" t="n">
        <x:f>'Setup'!$B$3+(C189-1)*7+(D189-1)</x:f>
        <x:v>46266</x:v>
      </x:c>
      <x:c r="B189" s="311" t="str">
        <x:v>4|2|3</x:v>
      </x:c>
      <x:c r="C189" s="311" t="n">
        <x:v>4</x:v>
      </x:c>
      <x:c r="D189" s="311" t="n">
        <x:v>2</x:v>
      </x:c>
      <x:c r="E189" s="311" t="str">
        <x:v>Deload 1</x:v>
      </x:c>
      <x:c r="F189" s="311" t="str">
        <x:v>Legs A</x:v>
      </x:c>
      <x:c r="G189" s="311" t="str">
        <x:v>Squat strength + lower-body power</x:v>
      </x:c>
      <x:c r="H189" s="311" t="n">
        <x:v>3</x:v>
      </x:c>
      <x:c r="I189" s="311" t="str">
        <x:v>Back Squat</x:v>
      </x:c>
      <x:c r="J189" s="311" t="str">
        <x:v>Strength</x:v>
      </x:c>
      <x:c r="K189" s="311" t="str">
        <x:v>Quads</x:v>
      </x:c>
      <x:c r="L189" s="311" t="str">
        <x:v>Straight sets, crisp reps only</x:v>
      </x:c>
      <x:c r="M189" s="311"/>
      <x:c r="N189" s="311" t="n">
        <x:v>2</x:v>
      </x:c>
      <x:c r="O189" s="311" t="n">
        <x:v>5</x:v>
      </x:c>
      <x:c r="P189" s="311" t="n">
        <x:v>7</x:v>
      </x:c>
      <x:c r="Q189" s="311" t="n">
        <x:v>4</x:v>
      </x:c>
      <x:c r="R189" s="311" t="n">
        <x:v>180</x:v>
      </x:c>
      <x:c r="S189" s="311" t="str">
        <x:v>3-1-X</x:v>
      </x:c>
      <x:c r="T189" s="330" t="n">
        <x:v>0.9</x:v>
      </x:c>
      <x:c r="U189" s="330" t="n">
        <x:v>0.7</x:v>
      </x:c>
      <x:c r="V189" s="331" t="str">
        <x:v>load × reps</x:v>
      </x:c>
      <x:c r="W189" s="332" t="str">
        <x:f>'Readiness'!K26</x:f>
      </x:c>
      <x:c r="X189" s="314" t="n">
        <x:f>'Readiness'!L26</x:f>
        <x:v>1</x:v>
      </x:c>
      <x:c r="Y189" s="315" t="n">
        <x:f>IF(J189="Mobility",N189,MAX(1,ROUND(N189*X189,0)))</x:f>
        <x:v>2</x:v>
      </x:c>
      <x:c r="Z189" s="333" t="n">
        <x:f>ROUND((IF(AU133&gt;0,AU133,IF(Z133&gt;0,Z133,'Setup'!$D$23))*T189)/'Setup'!$B$9,0)*'Setup'!$B$9</x:f>
        <x:v>0</x:v>
      </x:c>
      <x:c r="AA189" s="334"/>
      <x:c r="AB189" s="334"/>
      <x:c r="AC189" s="334"/>
      <x:c r="AD189" s="334"/>
      <x:c r="AE189" s="334"/>
      <x:c r="AF189" s="334"/>
      <x:c r="AG189" s="334"/>
      <x:c r="AH189" s="334"/>
      <x:c r="AI189" s="334"/>
      <x:c r="AJ189" s="312"/>
      <x:c r="AK189" s="312"/>
      <x:c r="AL189" s="312"/>
      <x:c r="AM189" s="312"/>
      <x:c r="AN189" s="312"/>
      <x:c r="AO189" s="315" t="n">
        <x:f>COUNT(AB189,AD189,AF189,AH189,AJ189)</x:f>
        <x:v>0</x:v>
      </x:c>
      <x:c r="AP189" s="315" t="n">
        <x:f>SUM(AB189,AD189,AF189,AH189,AJ189)</x:f>
        <x:v>0</x:v>
      </x:c>
      <x:c r="AQ189" s="333" t="n">
        <x:f>AA189*AB189+AC189*AD189+AE189*AF189+AG189*AH189+AI189*AJ189</x:f>
        <x:v>0</x:v>
      </x:c>
      <x:c r="AR189" s="333" t="n">
        <x:f>IF(OR(J189="Strength",J189="Hypertrophy"),MAX(IF(AB189&gt;0,AA189*(1+AB189/30),0),IF(AD189&gt;0,AC189*(1+AD189/30),0),IF(AF189&gt;0,AE189*(1+AF189/30),0),IF(AH189&gt;0,AG189*(1+AH189/30),0),IF(AJ189&gt;0,AI189*(1+AJ189/30),0)),0)</x:f>
        <x:v>0</x:v>
      </x:c>
      <x:c r="AS189" s="315" t="str">
        <x:f>IF(AN189&lt;&gt;"Yes","Not logged",IF(AL189&gt;='Setup'!$B$14,"STOP / MODIFY",IF(Z189=0,"Complete",IF(OR(AO189=0,AK189=""),"Add set data + RIR",IF(AND(MAX(AB189,AD189,AF189,AH189,AJ189)&gt;=P189,AK189&gt;=Q189+1),"Progress",IF(OR(MAX(AB189,AD189,AF189,AH189,AJ189)&lt;O189,AK189&lt;Q189-1),"Regress","Hold"))))))</x:f>
        <x:v>Not logged</x:v>
      </x:c>
      <x:c r="AT189" s="335" t="n">
        <x:f>IF(OR(Z189=0,AN189&lt;&gt;"Yes",AO189=0,AK189=""),0,IF(AL189&gt;='Setup'!$B$14,-2*'Setup'!$B$11,IF(AND(MAX(AB189,AD189,AF189,AH189,AJ189)&gt;=P189,AK189&gt;=Q189+1),'Setup'!$B$10,IF(OR(MAX(AB189,AD189,AF189,AH189,AJ189)&lt;O189,AK189&lt;Q189-1),-'Setup'!$B$11,0))))</x:f>
        <x:v>0</x:v>
      </x:c>
      <x:c r="AU189" s="333" t="n">
        <x:f>IF(Z189=0,0,IF(AN189&lt;&gt;"Yes",Z189,IF(COUNT(AA189,AC189,AE189,AG189,AI189)=0,Z189,ROUND((MAX(AA189,AC189,AE189,AG189,AI189)*(1+AT189))/'Setup'!$B$9,0)*'Setup'!$B$9)))</x:f>
        <x:v>0</x:v>
      </x:c>
      <x:c r="AV189" s="336"/>
    </x:row>
    <x:row r="190">
      <x:c r="A190" s="310" t="n">
        <x:f>'Setup'!$B$3+(C190-1)*7+(D190-1)</x:f>
        <x:v>46266</x:v>
      </x:c>
      <x:c r="B190" s="311" t="str">
        <x:v>4|2|4</x:v>
      </x:c>
      <x:c r="C190" s="311" t="n">
        <x:v>4</x:v>
      </x:c>
      <x:c r="D190" s="311" t="n">
        <x:v>2</x:v>
      </x:c>
      <x:c r="E190" s="311" t="str">
        <x:v>Deload 1</x:v>
      </x:c>
      <x:c r="F190" s="311" t="str">
        <x:v>Legs A</x:v>
      </x:c>
      <x:c r="G190" s="311" t="str">
        <x:v>Squat strength + lower-body power</x:v>
      </x:c>
      <x:c r="H190" s="311" t="n">
        <x:v>4</x:v>
      </x:c>
      <x:c r="I190" s="311" t="str">
        <x:v>Romanian Deadlift</x:v>
      </x:c>
      <x:c r="J190" s="311" t="str">
        <x:v>Strength</x:v>
      </x:c>
      <x:c r="K190" s="311" t="str">
        <x:v>Hamstrings</x:v>
      </x:c>
      <x:c r="L190" s="311" t="str">
        <x:v>Straight sets, crisp reps only</x:v>
      </x:c>
      <x:c r="M190" s="311"/>
      <x:c r="N190" s="311" t="n">
        <x:v>2</x:v>
      </x:c>
      <x:c r="O190" s="311" t="n">
        <x:v>6</x:v>
      </x:c>
      <x:c r="P190" s="311" t="n">
        <x:v>8</x:v>
      </x:c>
      <x:c r="Q190" s="311" t="n">
        <x:v>4</x:v>
      </x:c>
      <x:c r="R190" s="311" t="n">
        <x:v>150</x:v>
      </x:c>
      <x:c r="S190" s="311" t="str">
        <x:v>3-1-1</x:v>
      </x:c>
      <x:c r="T190" s="330" t="n">
        <x:v>0.9</x:v>
      </x:c>
      <x:c r="U190" s="330" t="n">
        <x:v>0.55</x:v>
      </x:c>
      <x:c r="V190" s="331" t="str">
        <x:v>load × reps</x:v>
      </x:c>
      <x:c r="W190" s="332" t="str">
        <x:f>'Readiness'!K26</x:f>
      </x:c>
      <x:c r="X190" s="314" t="n">
        <x:f>'Readiness'!L26</x:f>
        <x:v>1</x:v>
      </x:c>
      <x:c r="Y190" s="315" t="n">
        <x:f>IF(J190="Mobility",N190,MAX(1,ROUND(N190*X190,0)))</x:f>
        <x:v>2</x:v>
      </x:c>
      <x:c r="Z190" s="333" t="n">
        <x:f>ROUND((IF(AU134&gt;0,AU134,IF(Z134&gt;0,Z134,'Setup'!$D$79))*T190)/'Setup'!$B$9,0)*'Setup'!$B$9</x:f>
        <x:v>0</x:v>
      </x:c>
      <x:c r="AA190" s="334"/>
      <x:c r="AB190" s="334"/>
      <x:c r="AC190" s="334"/>
      <x:c r="AD190" s="334"/>
      <x:c r="AE190" s="334"/>
      <x:c r="AF190" s="334"/>
      <x:c r="AG190" s="334"/>
      <x:c r="AH190" s="334"/>
      <x:c r="AI190" s="334"/>
      <x:c r="AJ190" s="312"/>
      <x:c r="AK190" s="312"/>
      <x:c r="AL190" s="312"/>
      <x:c r="AM190" s="312"/>
      <x:c r="AN190" s="312"/>
      <x:c r="AO190" s="315" t="n">
        <x:f>COUNT(AB190,AD190,AF190,AH190,AJ190)</x:f>
        <x:v>0</x:v>
      </x:c>
      <x:c r="AP190" s="315" t="n">
        <x:f>SUM(AB190,AD190,AF190,AH190,AJ190)</x:f>
        <x:v>0</x:v>
      </x:c>
      <x:c r="AQ190" s="333" t="n">
        <x:f>AA190*AB190+AC190*AD190+AE190*AF190+AG190*AH190+AI190*AJ190</x:f>
        <x:v>0</x:v>
      </x:c>
      <x:c r="AR190" s="333" t="n">
        <x:f>IF(OR(J190="Strength",J190="Hypertrophy"),MAX(IF(AB190&gt;0,AA190*(1+AB190/30),0),IF(AD190&gt;0,AC190*(1+AD190/30),0),IF(AF190&gt;0,AE190*(1+AF190/30),0),IF(AH190&gt;0,AG190*(1+AH190/30),0),IF(AJ190&gt;0,AI190*(1+AJ190/30),0)),0)</x:f>
        <x:v>0</x:v>
      </x:c>
      <x:c r="AS190" s="315" t="str">
        <x:f>IF(AN190&lt;&gt;"Yes","Not logged",IF(AL190&gt;='Setup'!$B$14,"STOP / MODIFY",IF(Z190=0,"Complete",IF(OR(AO190=0,AK190=""),"Add set data + RIR",IF(AND(MAX(AB190,AD190,AF190,AH190,AJ190)&gt;=P190,AK190&gt;=Q190+1),"Progress",IF(OR(MAX(AB190,AD190,AF190,AH190,AJ190)&lt;O190,AK190&lt;Q190-1),"Regress","Hold"))))))</x:f>
        <x:v>Not logged</x:v>
      </x:c>
      <x:c r="AT190" s="335" t="n">
        <x:f>IF(OR(Z190=0,AN190&lt;&gt;"Yes",AO190=0,AK190=""),0,IF(AL190&gt;='Setup'!$B$14,-2*'Setup'!$B$11,IF(AND(MAX(AB190,AD190,AF190,AH190,AJ190)&gt;=P190,AK190&gt;=Q190+1),'Setup'!$B$10,IF(OR(MAX(AB190,AD190,AF190,AH190,AJ190)&lt;O190,AK190&lt;Q190-1),-'Setup'!$B$11,0))))</x:f>
        <x:v>0</x:v>
      </x:c>
      <x:c r="AU190" s="333" t="n">
        <x:f>IF(Z190=0,0,IF(AN190&lt;&gt;"Yes",Z190,IF(COUNT(AA190,AC190,AE190,AG190,AI190)=0,Z190,ROUND((MAX(AA190,AC190,AE190,AG190,AI190)*(1+AT190))/'Setup'!$B$9,0)*'Setup'!$B$9)))</x:f>
        <x:v>0</x:v>
      </x:c>
      <x:c r="AV190" s="336"/>
    </x:row>
    <x:row r="191">
      <x:c r="A191" s="310" t="n">
        <x:f>'Setup'!$B$3+(C191-1)*7+(D191-1)</x:f>
        <x:v>46266</x:v>
      </x:c>
      <x:c r="B191" s="311" t="str">
        <x:v>4|2|5</x:v>
      </x:c>
      <x:c r="C191" s="311" t="n">
        <x:v>4</x:v>
      </x:c>
      <x:c r="D191" s="311" t="n">
        <x:v>2</x:v>
      </x:c>
      <x:c r="E191" s="311" t="str">
        <x:v>Deload 1</x:v>
      </x:c>
      <x:c r="F191" s="311" t="str">
        <x:v>Legs A</x:v>
      </x:c>
      <x:c r="G191" s="311" t="str">
        <x:v>Squat strength + lower-body power</x:v>
      </x:c>
      <x:c r="H191" s="311" t="n">
        <x:v>5</x:v>
      </x:c>
      <x:c r="I191" s="311" t="str">
        <x:v>Bulgarian Split Squat</x:v>
      </x:c>
      <x:c r="J191" s="311" t="str">
        <x:v>Hypertrophy</x:v>
      </x:c>
      <x:c r="K191" s="311" t="str">
        <x:v>Quads</x:v>
      </x:c>
      <x:c r="L191" s="311" t="str">
        <x:v>Straight sets, crisp reps only</x:v>
      </x:c>
      <x:c r="M191" s="311"/>
      <x:c r="N191" s="311" t="n">
        <x:v>2</x:v>
      </x:c>
      <x:c r="O191" s="311" t="n">
        <x:v>8</x:v>
      </x:c>
      <x:c r="P191" s="311" t="n">
        <x:v>10</x:v>
      </x:c>
      <x:c r="Q191" s="311" t="n">
        <x:v>4</x:v>
      </x:c>
      <x:c r="R191" s="311" t="n">
        <x:v>90</x:v>
      </x:c>
      <x:c r="S191" s="311" t="str">
        <x:v>3-0-1</x:v>
      </x:c>
      <x:c r="T191" s="330" t="n">
        <x:v>0.9</x:v>
      </x:c>
      <x:c r="U191" s="330" t="n">
        <x:v>0</x:v>
      </x:c>
      <x:c r="V191" s="331" t="str">
        <x:v>load × reps</x:v>
      </x:c>
      <x:c r="W191" s="332" t="str">
        <x:f>'Readiness'!K26</x:f>
      </x:c>
      <x:c r="X191" s="314" t="n">
        <x:f>'Readiness'!L26</x:f>
        <x:v>1</x:v>
      </x:c>
      <x:c r="Y191" s="315" t="n">
        <x:f>IF(J191="Mobility",N191,MAX(1,ROUND(N191*X191,0)))</x:f>
        <x:v>2</x:v>
      </x:c>
      <x:c r="Z191" s="333" t="n">
        <x:f>ROUND((IF(AU135&gt;0,AU135,IF(Z135&gt;0,Z135,'Setup'!$D$30))*T191)/'Setup'!$B$9,0)*'Setup'!$B$9</x:f>
        <x:v>0</x:v>
      </x:c>
      <x:c r="AA191" s="334"/>
      <x:c r="AB191" s="334"/>
      <x:c r="AC191" s="334"/>
      <x:c r="AD191" s="334"/>
      <x:c r="AE191" s="334"/>
      <x:c r="AF191" s="334"/>
      <x:c r="AG191" s="334"/>
      <x:c r="AH191" s="334"/>
      <x:c r="AI191" s="334"/>
      <x:c r="AJ191" s="312"/>
      <x:c r="AK191" s="312"/>
      <x:c r="AL191" s="312"/>
      <x:c r="AM191" s="312"/>
      <x:c r="AN191" s="312"/>
      <x:c r="AO191" s="315" t="n">
        <x:f>COUNT(AB191,AD191,AF191,AH191,AJ191)</x:f>
        <x:v>0</x:v>
      </x:c>
      <x:c r="AP191" s="315" t="n">
        <x:f>SUM(AB191,AD191,AF191,AH191,AJ191)</x:f>
        <x:v>0</x:v>
      </x:c>
      <x:c r="AQ191" s="333" t="n">
        <x:f>AA191*AB191+AC191*AD191+AE191*AF191+AG191*AH191+AI191*AJ191</x:f>
        <x:v>0</x:v>
      </x:c>
      <x:c r="AR191" s="333" t="n">
        <x:f>IF(OR(J191="Strength",J191="Hypertrophy"),MAX(IF(AB191&gt;0,AA191*(1+AB191/30),0),IF(AD191&gt;0,AC191*(1+AD191/30),0),IF(AF191&gt;0,AE191*(1+AF191/30),0),IF(AH191&gt;0,AG191*(1+AH191/30),0),IF(AJ191&gt;0,AI191*(1+AJ191/30),0)),0)</x:f>
        <x:v>0</x:v>
      </x:c>
      <x:c r="AS191" s="315" t="str">
        <x:f>IF(AN191&lt;&gt;"Yes","Not logged",IF(AL191&gt;='Setup'!$B$14,"STOP / MODIFY",IF(Z191=0,"Complete",IF(OR(AO191=0,AK191=""),"Add set data + RIR",IF(AND(MAX(AB191,AD191,AF191,AH191,AJ191)&gt;=P191,AK191&gt;=Q191+1),"Progress",IF(OR(MAX(AB191,AD191,AF191,AH191,AJ191)&lt;O191,AK191&lt;Q191-1),"Regress","Hold"))))))</x:f>
        <x:v>Not logged</x:v>
      </x:c>
      <x:c r="AT191" s="335" t="n">
        <x:f>IF(OR(Z191=0,AN191&lt;&gt;"Yes",AO191=0,AK191=""),0,IF(AL191&gt;='Setup'!$B$14,-2*'Setup'!$B$11,IF(AND(MAX(AB191,AD191,AF191,AH191,AJ191)&gt;=P191,AK191&gt;=Q191+1),'Setup'!$B$10,IF(OR(MAX(AB191,AD191,AF191,AH191,AJ191)&lt;O191,AK191&lt;Q191-1),-'Setup'!$B$11,0))))</x:f>
        <x:v>0</x:v>
      </x:c>
      <x:c r="AU191" s="333" t="n">
        <x:f>IF(Z191=0,0,IF(AN191&lt;&gt;"Yes",Z191,IF(COUNT(AA191,AC191,AE191,AG191,AI191)=0,Z191,ROUND((MAX(AA191,AC191,AE191,AG191,AI191)*(1+AT191))/'Setup'!$B$9,0)*'Setup'!$B$9)))</x:f>
        <x:v>0</x:v>
      </x:c>
      <x:c r="AV191" s="336"/>
    </x:row>
    <x:row r="192">
      <x:c r="A192" s="310" t="n">
        <x:f>'Setup'!$B$3+(C192-1)*7+(D192-1)</x:f>
        <x:v>46266</x:v>
      </x:c>
      <x:c r="B192" s="311" t="str">
        <x:v>4|2|6</x:v>
      </x:c>
      <x:c r="C192" s="311" t="n">
        <x:v>4</x:v>
      </x:c>
      <x:c r="D192" s="311" t="n">
        <x:v>2</x:v>
      </x:c>
      <x:c r="E192" s="311" t="str">
        <x:v>Deload 1</x:v>
      </x:c>
      <x:c r="F192" s="311" t="str">
        <x:v>Legs A</x:v>
      </x:c>
      <x:c r="G192" s="311" t="str">
        <x:v>Squat strength + lower-body power</x:v>
      </x:c>
      <x:c r="H192" s="311" t="n">
        <x:v>6</x:v>
      </x:c>
      <x:c r="I192" s="311" t="str">
        <x:v>Lying Leg Curl</x:v>
      </x:c>
      <x:c r="J192" s="311" t="str">
        <x:v>Hypertrophy</x:v>
      </x:c>
      <x:c r="K192" s="311" t="str">
        <x:v>Hamstrings</x:v>
      </x:c>
      <x:c r="L192" s="311" t="str">
        <x:v>Straight sets, crisp reps only</x:v>
      </x:c>
      <x:c r="M192" s="311"/>
      <x:c r="N192" s="311" t="n">
        <x:v>2</x:v>
      </x:c>
      <x:c r="O192" s="311" t="n">
        <x:v>10</x:v>
      </x:c>
      <x:c r="P192" s="311" t="n">
        <x:v>15</x:v>
      </x:c>
      <x:c r="Q192" s="311" t="n">
        <x:v>4</x:v>
      </x:c>
      <x:c r="R192" s="311" t="n">
        <x:v>60</x:v>
      </x:c>
      <x:c r="S192" s="311" t="str">
        <x:v>2-1-2</x:v>
      </x:c>
      <x:c r="T192" s="330" t="n">
        <x:v>0.9</x:v>
      </x:c>
      <x:c r="U192" s="330" t="n">
        <x:v>0</x:v>
      </x:c>
      <x:c r="V192" s="331" t="str">
        <x:v>load × reps</x:v>
      </x:c>
      <x:c r="W192" s="332" t="str">
        <x:f>'Readiness'!K26</x:f>
      </x:c>
      <x:c r="X192" s="314" t="n">
        <x:f>'Readiness'!L26</x:f>
        <x:v>1</x:v>
      </x:c>
      <x:c r="Y192" s="315" t="n">
        <x:f>IF(J192="Mobility",N192,MAX(1,ROUND(N192*X192,0)))</x:f>
        <x:v>2</x:v>
      </x:c>
      <x:c r="Z192" s="333" t="n">
        <x:f>ROUND((IF(AU136&gt;0,AU136,IF(Z136&gt;0,Z136,'Setup'!$D$59))*T192)/'Setup'!$B$9,0)*'Setup'!$B$9</x:f>
        <x:v>0</x:v>
      </x:c>
      <x:c r="AA192" s="334"/>
      <x:c r="AB192" s="334"/>
      <x:c r="AC192" s="334"/>
      <x:c r="AD192" s="334"/>
      <x:c r="AE192" s="334"/>
      <x:c r="AF192" s="334"/>
      <x:c r="AG192" s="334"/>
      <x:c r="AH192" s="334"/>
      <x:c r="AI192" s="334"/>
      <x:c r="AJ192" s="312"/>
      <x:c r="AK192" s="312"/>
      <x:c r="AL192" s="312"/>
      <x:c r="AM192" s="312"/>
      <x:c r="AN192" s="312"/>
      <x:c r="AO192" s="315" t="n">
        <x:f>COUNT(AB192,AD192,AF192,AH192,AJ192)</x:f>
        <x:v>0</x:v>
      </x:c>
      <x:c r="AP192" s="315" t="n">
        <x:f>SUM(AB192,AD192,AF192,AH192,AJ192)</x:f>
        <x:v>0</x:v>
      </x:c>
      <x:c r="AQ192" s="333" t="n">
        <x:f>AA192*AB192+AC192*AD192+AE192*AF192+AG192*AH192+AI192*AJ192</x:f>
        <x:v>0</x:v>
      </x:c>
      <x:c r="AR192" s="333" t="n">
        <x:f>IF(OR(J192="Strength",J192="Hypertrophy"),MAX(IF(AB192&gt;0,AA192*(1+AB192/30),0),IF(AD192&gt;0,AC192*(1+AD192/30),0),IF(AF192&gt;0,AE192*(1+AF192/30),0),IF(AH192&gt;0,AG192*(1+AH192/30),0),IF(AJ192&gt;0,AI192*(1+AJ192/30),0)),0)</x:f>
        <x:v>0</x:v>
      </x:c>
      <x:c r="AS192" s="315" t="str">
        <x:f>IF(AN192&lt;&gt;"Yes","Not logged",IF(AL192&gt;='Setup'!$B$14,"STOP / MODIFY",IF(Z192=0,"Complete",IF(OR(AO192=0,AK192=""),"Add set data + RIR",IF(AND(MAX(AB192,AD192,AF192,AH192,AJ192)&gt;=P192,AK192&gt;=Q192+1),"Progress",IF(OR(MAX(AB192,AD192,AF192,AH192,AJ192)&lt;O192,AK192&lt;Q192-1),"Regress","Hold"))))))</x:f>
        <x:v>Not logged</x:v>
      </x:c>
      <x:c r="AT192" s="335" t="n">
        <x:f>IF(OR(Z192=0,AN192&lt;&gt;"Yes",AO192=0,AK192=""),0,IF(AL192&gt;='Setup'!$B$14,-2*'Setup'!$B$11,IF(AND(MAX(AB192,AD192,AF192,AH192,AJ192)&gt;=P192,AK192&gt;=Q192+1),'Setup'!$B$10,IF(OR(MAX(AB192,AD192,AF192,AH192,AJ192)&lt;O192,AK192&lt;Q192-1),-'Setup'!$B$11,0))))</x:f>
        <x:v>0</x:v>
      </x:c>
      <x:c r="AU192" s="333" t="n">
        <x:f>IF(Z192=0,0,IF(AN192&lt;&gt;"Yes",Z192,IF(COUNT(AA192,AC192,AE192,AG192,AI192)=0,Z192,ROUND((MAX(AA192,AC192,AE192,AG192,AI192)*(1+AT192))/'Setup'!$B$9,0)*'Setup'!$B$9)))</x:f>
        <x:v>0</x:v>
      </x:c>
      <x:c r="AV192" s="336"/>
    </x:row>
    <x:row r="193">
      <x:c r="A193" s="310" t="n">
        <x:f>'Setup'!$B$3+(C193-1)*7+(D193-1)</x:f>
        <x:v>46266</x:v>
      </x:c>
      <x:c r="B193" s="311" t="str">
        <x:v>4|2|7</x:v>
      </x:c>
      <x:c r="C193" s="311" t="n">
        <x:v>4</x:v>
      </x:c>
      <x:c r="D193" s="311" t="n">
        <x:v>2</x:v>
      </x:c>
      <x:c r="E193" s="311" t="str">
        <x:v>Deload 1</x:v>
      </x:c>
      <x:c r="F193" s="311" t="str">
        <x:v>Legs A</x:v>
      </x:c>
      <x:c r="G193" s="311" t="str">
        <x:v>Squat strength + lower-body power</x:v>
      </x:c>
      <x:c r="H193" s="311" t="n">
        <x:v>7</x:v>
      </x:c>
      <x:c r="I193" s="311" t="str">
        <x:v>Standing Calf Raise</x:v>
      </x:c>
      <x:c r="J193" s="311" t="str">
        <x:v>Hypertrophy</x:v>
      </x:c>
      <x:c r="K193" s="311" t="str">
        <x:v>Calves</x:v>
      </x:c>
      <x:c r="L193" s="311" t="str">
        <x:v>Straight sets, crisp reps only</x:v>
      </x:c>
      <x:c r="M193" s="311"/>
      <x:c r="N193" s="311" t="n">
        <x:v>2</x:v>
      </x:c>
      <x:c r="O193" s="311" t="n">
        <x:v>10</x:v>
      </x:c>
      <x:c r="P193" s="311" t="n">
        <x:v>15</x:v>
      </x:c>
      <x:c r="Q193" s="311" t="n">
        <x:v>4</x:v>
      </x:c>
      <x:c r="R193" s="311" t="n">
        <x:v>60</x:v>
      </x:c>
      <x:c r="S193" s="311" t="str">
        <x:v>2-2-1</x:v>
      </x:c>
      <x:c r="T193" s="330" t="n">
        <x:v>0.9</x:v>
      </x:c>
      <x:c r="U193" s="330" t="n">
        <x:v>0</x:v>
      </x:c>
      <x:c r="V193" s="331" t="str">
        <x:v>load × reps</x:v>
      </x:c>
      <x:c r="W193" s="332" t="str">
        <x:f>'Readiness'!K26</x:f>
      </x:c>
      <x:c r="X193" s="314" t="n">
        <x:f>'Readiness'!L26</x:f>
        <x:v>1</x:v>
      </x:c>
      <x:c r="Y193" s="315" t="n">
        <x:f>IF(J193="Mobility",N193,MAX(1,ROUND(N193*X193,0)))</x:f>
        <x:v>2</x:v>
      </x:c>
      <x:c r="Z193" s="333" t="n">
        <x:f>ROUND((IF(AU137&gt;0,AU137,IF(Z137&gt;0,Z137,'Setup'!$D$90))*T193)/'Setup'!$B$9,0)*'Setup'!$B$9</x:f>
        <x:v>0</x:v>
      </x:c>
      <x:c r="AA193" s="334"/>
      <x:c r="AB193" s="334"/>
      <x:c r="AC193" s="334"/>
      <x:c r="AD193" s="334"/>
      <x:c r="AE193" s="334"/>
      <x:c r="AF193" s="334"/>
      <x:c r="AG193" s="334"/>
      <x:c r="AH193" s="334"/>
      <x:c r="AI193" s="334"/>
      <x:c r="AJ193" s="312"/>
      <x:c r="AK193" s="312"/>
      <x:c r="AL193" s="312"/>
      <x:c r="AM193" s="312"/>
      <x:c r="AN193" s="312"/>
      <x:c r="AO193" s="315" t="n">
        <x:f>COUNT(AB193,AD193,AF193,AH193,AJ193)</x:f>
        <x:v>0</x:v>
      </x:c>
      <x:c r="AP193" s="315" t="n">
        <x:f>SUM(AB193,AD193,AF193,AH193,AJ193)</x:f>
        <x:v>0</x:v>
      </x:c>
      <x:c r="AQ193" s="333" t="n">
        <x:f>AA193*AB193+AC193*AD193+AE193*AF193+AG193*AH193+AI193*AJ193</x:f>
        <x:v>0</x:v>
      </x:c>
      <x:c r="AR193" s="333" t="n">
        <x:f>IF(OR(J193="Strength",J193="Hypertrophy"),MAX(IF(AB193&gt;0,AA193*(1+AB193/30),0),IF(AD193&gt;0,AC193*(1+AD193/30),0),IF(AF193&gt;0,AE193*(1+AF193/30),0),IF(AH193&gt;0,AG193*(1+AH193/30),0),IF(AJ193&gt;0,AI193*(1+AJ193/30),0)),0)</x:f>
        <x:v>0</x:v>
      </x:c>
      <x:c r="AS193" s="315" t="str">
        <x:f>IF(AN193&lt;&gt;"Yes","Not logged",IF(AL193&gt;='Setup'!$B$14,"STOP / MODIFY",IF(Z193=0,"Complete",IF(OR(AO193=0,AK193=""),"Add set data + RIR",IF(AND(MAX(AB193,AD193,AF193,AH193,AJ193)&gt;=P193,AK193&gt;=Q193+1),"Progress",IF(OR(MAX(AB193,AD193,AF193,AH193,AJ193)&lt;O193,AK193&lt;Q193-1),"Regress","Hold"))))))</x:f>
        <x:v>Not logged</x:v>
      </x:c>
      <x:c r="AT193" s="335" t="n">
        <x:f>IF(OR(Z193=0,AN193&lt;&gt;"Yes",AO193=0,AK193=""),0,IF(AL193&gt;='Setup'!$B$14,-2*'Setup'!$B$11,IF(AND(MAX(AB193,AD193,AF193,AH193,AJ193)&gt;=P193,AK193&gt;=Q193+1),'Setup'!$B$10,IF(OR(MAX(AB193,AD193,AF193,AH193,AJ193)&lt;O193,AK193&lt;Q193-1),-'Setup'!$B$11,0))))</x:f>
        <x:v>0</x:v>
      </x:c>
      <x:c r="AU193" s="333" t="n">
        <x:f>IF(Z193=0,0,IF(AN193&lt;&gt;"Yes",Z193,IF(COUNT(AA193,AC193,AE193,AG193,AI193)=0,Z193,ROUND((MAX(AA193,AC193,AE193,AG193,AI193)*(1+AT193))/'Setup'!$B$9,0)*'Setup'!$B$9)))</x:f>
        <x:v>0</x:v>
      </x:c>
      <x:c r="AV193" s="336"/>
    </x:row>
    <x:row r="194">
      <x:c r="A194" s="310" t="n">
        <x:f>'Setup'!$B$3+(C194-1)*7+(D194-1)</x:f>
        <x:v>46266</x:v>
      </x:c>
      <x:c r="B194" s="311" t="str">
        <x:v>4|2|8</x:v>
      </x:c>
      <x:c r="C194" s="311" t="n">
        <x:v>4</x:v>
      </x:c>
      <x:c r="D194" s="311" t="n">
        <x:v>2</x:v>
      </x:c>
      <x:c r="E194" s="311" t="str">
        <x:v>Deload 1</x:v>
      </x:c>
      <x:c r="F194" s="311" t="str">
        <x:v>Legs A</x:v>
      </x:c>
      <x:c r="G194" s="311" t="str">
        <x:v>Squat strength + lower-body power</x:v>
      </x:c>
      <x:c r="H194" s="311" t="n">
        <x:v>8</x:v>
      </x:c>
      <x:c r="I194" s="311" t="str">
        <x:v>Backward Sled Drag</x:v>
      </x:c>
      <x:c r="J194" s="311" t="str">
        <x:v>Athletic</x:v>
      </x:c>
      <x:c r="K194" s="311" t="str">
        <x:v>Quads</x:v>
      </x:c>
      <x:c r="L194" s="311" t="str">
        <x:v>Straight sets, crisp reps only</x:v>
      </x:c>
      <x:c r="M194" s="311"/>
      <x:c r="N194" s="311" t="n">
        <x:v>3</x:v>
      </x:c>
      <x:c r="O194" s="311" t="n">
        <x:v>20</x:v>
      </x:c>
      <x:c r="P194" s="311" t="n">
        <x:v>25</x:v>
      </x:c>
      <x:c r="Q194" s="311" t="n">
        <x:v>4</x:v>
      </x:c>
      <x:c r="R194" s="311" t="n">
        <x:v>60</x:v>
      </x:c>
      <x:c r="S194" s="311" t="str">
        <x:v>Controlled</x:v>
      </x:c>
      <x:c r="T194" s="330" t="n">
        <x:v>0.9</x:v>
      </x:c>
      <x:c r="U194" s="330" t="n">
        <x:v>0</x:v>
      </x:c>
      <x:c r="V194" s="331" t="str">
        <x:v>load + meters</x:v>
      </x:c>
      <x:c r="W194" s="332" t="str">
        <x:f>'Readiness'!K26</x:f>
      </x:c>
      <x:c r="X194" s="314" t="n">
        <x:f>'Readiness'!L26</x:f>
        <x:v>1</x:v>
      </x:c>
      <x:c r="Y194" s="315" t="n">
        <x:f>IF(J194="Mobility",N194,MAX(1,ROUND(N194*X194,0)))</x:f>
        <x:v>3</x:v>
      </x:c>
      <x:c r="Z194" s="333" t="n">
        <x:f>0</x:f>
        <x:v>0</x:v>
      </x:c>
      <x:c r="AA194" s="334"/>
      <x:c r="AB194" s="334"/>
      <x:c r="AC194" s="334"/>
      <x:c r="AD194" s="334"/>
      <x:c r="AE194" s="334"/>
      <x:c r="AF194" s="334"/>
      <x:c r="AG194" s="334"/>
      <x:c r="AH194" s="334"/>
      <x:c r="AI194" s="334"/>
      <x:c r="AJ194" s="312"/>
      <x:c r="AK194" s="312"/>
      <x:c r="AL194" s="312"/>
      <x:c r="AM194" s="312"/>
      <x:c r="AN194" s="312"/>
      <x:c r="AO194" s="315" t="n">
        <x:f>COUNT(AB194,AD194,AF194,AH194,AJ194)</x:f>
        <x:v>0</x:v>
      </x:c>
      <x:c r="AP194" s="315" t="n">
        <x:f>SUM(AB194,AD194,AF194,AH194,AJ194)</x:f>
        <x:v>0</x:v>
      </x:c>
      <x:c r="AQ194" s="333" t="n">
        <x:f>AA194*AB194+AC194*AD194+AE194*AF194+AG194*AH194+AI194*AJ194</x:f>
        <x:v>0</x:v>
      </x:c>
      <x:c r="AR194" s="333" t="n">
        <x:f>IF(OR(J194="Strength",J194="Hypertrophy"),MAX(IF(AB194&gt;0,AA194*(1+AB194/30),0),IF(AD194&gt;0,AC194*(1+AD194/30),0),IF(AF194&gt;0,AE194*(1+AF194/30),0),IF(AH194&gt;0,AG194*(1+AH194/30),0),IF(AJ194&gt;0,AI194*(1+AJ194/30),0)),0)</x:f>
        <x:v>0</x:v>
      </x:c>
      <x:c r="AS194" s="315" t="str">
        <x:f>IF(AN194&lt;&gt;"Yes","Not logged",IF(AL194&gt;='Setup'!$B$14,"STOP / MODIFY",IF(Z194=0,"Complete",IF(OR(AO194=0,AK194=""),"Add set data + RIR",IF(AND(MAX(AB194,AD194,AF194,AH194,AJ194)&gt;=P194,AK194&gt;=Q194+1),"Progress",IF(OR(MAX(AB194,AD194,AF194,AH194,AJ194)&lt;O194,AK194&lt;Q194-1),"Regress","Hold"))))))</x:f>
        <x:v>Not logged</x:v>
      </x:c>
      <x:c r="AT194" s="335" t="n">
        <x:f>IF(OR(Z194=0,AN194&lt;&gt;"Yes",AO194=0,AK194=""),0,IF(AL194&gt;='Setup'!$B$14,-2*'Setup'!$B$11,IF(AND(MAX(AB194,AD194,AF194,AH194,AJ194)&gt;=P194,AK194&gt;=Q194+1),'Setup'!$B$10,IF(OR(MAX(AB194,AD194,AF194,AH194,AJ194)&lt;O194,AK194&lt;Q194-1),-'Setup'!$B$11,0))))</x:f>
        <x:v>0</x:v>
      </x:c>
      <x:c r="AU194" s="333" t="n">
        <x:f>IF(Z194=0,0,IF(AN194&lt;&gt;"Yes",Z194,IF(COUNT(AA194,AC194,AE194,AG194,AI194)=0,Z194,ROUND((MAX(AA194,AC194,AE194,AG194,AI194)*(1+AT194))/'Setup'!$B$9,0)*'Setup'!$B$9)))</x:f>
        <x:v>0</x:v>
      </x:c>
      <x:c r="AV194" s="336"/>
    </x:row>
    <x:row r="195">
      <x:c r="A195" s="310" t="n">
        <x:f>'Setup'!$B$3+(C195-1)*7+(D195-1)</x:f>
        <x:v>46266</x:v>
      </x:c>
      <x:c r="B195" s="311" t="str">
        <x:v>4|2|9</x:v>
      </x:c>
      <x:c r="C195" s="311" t="n">
        <x:v>4</x:v>
      </x:c>
      <x:c r="D195" s="311" t="n">
        <x:v>2</x:v>
      </x:c>
      <x:c r="E195" s="311" t="str">
        <x:v>Deload 1</x:v>
      </x:c>
      <x:c r="F195" s="311" t="str">
        <x:v>Legs A</x:v>
      </x:c>
      <x:c r="G195" s="311" t="str">
        <x:v>Squat strength + lower-body power</x:v>
      </x:c>
      <x:c r="H195" s="311" t="n">
        <x:v>9</x:v>
      </x:c>
      <x:c r="I195" s="311" t="str">
        <x:v>Ankle Dorsiflexion Mobilization</x:v>
      </x:c>
      <x:c r="J195" s="311" t="str">
        <x:v>Mobility</x:v>
      </x:c>
      <x:c r="K195" s="311" t="str">
        <x:v>Ankles</x:v>
      </x:c>
      <x:c r="L195" s="311" t="str">
        <x:v>Straight sets, crisp reps only</x:v>
      </x:c>
      <x:c r="M195" s="311"/>
      <x:c r="N195" s="311" t="n">
        <x:v>2</x:v>
      </x:c>
      <x:c r="O195" s="311" t="n">
        <x:v>8</x:v>
      </x:c>
      <x:c r="P195" s="311" t="n">
        <x:v>12</x:v>
      </x:c>
      <x:c r="Q195" s="311"/>
      <x:c r="R195" s="311" t="n">
        <x:v>20</x:v>
      </x:c>
      <x:c r="S195" s="311" t="str">
        <x:v>Slow</x:v>
      </x:c>
      <x:c r="T195" s="330" t="n">
        <x:v>0.9</x:v>
      </x:c>
      <x:c r="U195" s="330" t="n">
        <x:v>0</x:v>
      </x:c>
      <x:c r="V195" s="331" t="str">
        <x:v>reps</x:v>
      </x:c>
      <x:c r="W195" s="332" t="str">
        <x:f>'Readiness'!K26</x:f>
      </x:c>
      <x:c r="X195" s="314" t="n">
        <x:f>'Readiness'!L26</x:f>
        <x:v>1</x:v>
      </x:c>
      <x:c r="Y195" s="315" t="n">
        <x:f>IF(J195="Mobility",N195,MAX(1,ROUND(N195*X195,0)))</x:f>
        <x:v>2</x:v>
      </x:c>
      <x:c r="Z195" s="333" t="n">
        <x:f>0</x:f>
        <x:v>0</x:v>
      </x:c>
      <x:c r="AA195" s="334"/>
      <x:c r="AB195" s="334"/>
      <x:c r="AC195" s="334"/>
      <x:c r="AD195" s="334"/>
      <x:c r="AE195" s="334"/>
      <x:c r="AF195" s="334"/>
      <x:c r="AG195" s="334"/>
      <x:c r="AH195" s="334"/>
      <x:c r="AI195" s="334"/>
      <x:c r="AJ195" s="312"/>
      <x:c r="AK195" s="312"/>
      <x:c r="AL195" s="312"/>
      <x:c r="AM195" s="312"/>
      <x:c r="AN195" s="312"/>
      <x:c r="AO195" s="315" t="n">
        <x:f>COUNT(AB195,AD195,AF195,AH195,AJ195)</x:f>
        <x:v>0</x:v>
      </x:c>
      <x:c r="AP195" s="315" t="n">
        <x:f>SUM(AB195,AD195,AF195,AH195,AJ195)</x:f>
        <x:v>0</x:v>
      </x:c>
      <x:c r="AQ195" s="333" t="n">
        <x:f>AA195*AB195+AC195*AD195+AE195*AF195+AG195*AH195+AI195*AJ195</x:f>
        <x:v>0</x:v>
      </x:c>
      <x:c r="AR195" s="333" t="n">
        <x:f>IF(OR(J195="Strength",J195="Hypertrophy"),MAX(IF(AB195&gt;0,AA195*(1+AB195/30),0),IF(AD195&gt;0,AC195*(1+AD195/30),0),IF(AF195&gt;0,AE195*(1+AF195/30),0),IF(AH195&gt;0,AG195*(1+AH195/30),0),IF(AJ195&gt;0,AI195*(1+AJ195/30),0)),0)</x:f>
        <x:v>0</x:v>
      </x:c>
      <x:c r="AS195" s="315" t="str">
        <x:f>IF(AN195&lt;&gt;"Yes","Not logged",IF(AL195&gt;='Setup'!$B$14,"STOP / MODIFY",IF(Z195=0,"Complete",IF(OR(AO195=0,AK195=""),"Add set data + RIR",IF(AND(MAX(AB195,AD195,AF195,AH195,AJ195)&gt;=P195,AK195&gt;=Q195+1),"Progress",IF(OR(MAX(AB195,AD195,AF195,AH195,AJ195)&lt;O195,AK195&lt;Q195-1),"Regress","Hold"))))))</x:f>
        <x:v>Not logged</x:v>
      </x:c>
      <x:c r="AT195" s="335" t="n">
        <x:f>IF(OR(Z195=0,AN195&lt;&gt;"Yes",AO195=0,AK195=""),0,IF(AL195&gt;='Setup'!$B$14,-2*'Setup'!$B$11,IF(AND(MAX(AB195,AD195,AF195,AH195,AJ195)&gt;=P195,AK195&gt;=Q195+1),'Setup'!$B$10,IF(OR(MAX(AB195,AD195,AF195,AH195,AJ195)&lt;O195,AK195&lt;Q195-1),-'Setup'!$B$11,0))))</x:f>
        <x:v>0</x:v>
      </x:c>
      <x:c r="AU195" s="333" t="n">
        <x:f>IF(Z195=0,0,IF(AN195&lt;&gt;"Yes",Z195,IF(COUNT(AA195,AC195,AE195,AG195,AI195)=0,Z195,ROUND((MAX(AA195,AC195,AE195,AG195,AI195)*(1+AT195))/'Setup'!$B$9,0)*'Setup'!$B$9)))</x:f>
        <x:v>0</x:v>
      </x:c>
      <x:c r="AV195" s="336"/>
    </x:row>
    <x:row r="196">
      <x:c r="A196" s="310" t="n">
        <x:f>'Setup'!$B$3+(C196-1)*7+(D196-1)</x:f>
        <x:v>46266</x:v>
      </x:c>
      <x:c r="B196" s="311" t="str">
        <x:v>4|2|10</x:v>
      </x:c>
      <x:c r="C196" s="311" t="n">
        <x:v>4</x:v>
      </x:c>
      <x:c r="D196" s="311" t="n">
        <x:v>2</x:v>
      </x:c>
      <x:c r="E196" s="311" t="str">
        <x:v>Deload 1</x:v>
      </x:c>
      <x:c r="F196" s="311" t="str">
        <x:v>Legs A</x:v>
      </x:c>
      <x:c r="G196" s="311" t="str">
        <x:v>Squat strength + lower-body power</x:v>
      </x:c>
      <x:c r="H196" s="311" t="n">
        <x:v>10</x:v>
      </x:c>
      <x:c r="I196" s="311" t="str">
        <x:v>90/90 Hip Switch</x:v>
      </x:c>
      <x:c r="J196" s="311" t="str">
        <x:v>Mobility</x:v>
      </x:c>
      <x:c r="K196" s="311" t="str">
        <x:v>Hips</x:v>
      </x:c>
      <x:c r="L196" s="311" t="str">
        <x:v>Straight sets, crisp reps only</x:v>
      </x:c>
      <x:c r="M196" s="311"/>
      <x:c r="N196" s="311" t="n">
        <x:v>2</x:v>
      </x:c>
      <x:c r="O196" s="311" t="n">
        <x:v>6</x:v>
      </x:c>
      <x:c r="P196" s="311" t="n">
        <x:v>10</x:v>
      </x:c>
      <x:c r="Q196" s="311"/>
      <x:c r="R196" s="311" t="n">
        <x:v>20</x:v>
      </x:c>
      <x:c r="S196" s="311" t="str">
        <x:v>Slow</x:v>
      </x:c>
      <x:c r="T196" s="330" t="n">
        <x:v>0.9</x:v>
      </x:c>
      <x:c r="U196" s="330" t="n">
        <x:v>0</x:v>
      </x:c>
      <x:c r="V196" s="331" t="str">
        <x:v>reps</x:v>
      </x:c>
      <x:c r="W196" s="332" t="str">
        <x:f>'Readiness'!K26</x:f>
      </x:c>
      <x:c r="X196" s="314" t="n">
        <x:f>'Readiness'!L26</x:f>
        <x:v>1</x:v>
      </x:c>
      <x:c r="Y196" s="315" t="n">
        <x:f>IF(J196="Mobility",N196,MAX(1,ROUND(N196*X196,0)))</x:f>
        <x:v>2</x:v>
      </x:c>
      <x:c r="Z196" s="333" t="n">
        <x:f>0</x:f>
        <x:v>0</x:v>
      </x:c>
      <x:c r="AA196" s="334"/>
      <x:c r="AB196" s="334"/>
      <x:c r="AC196" s="334"/>
      <x:c r="AD196" s="334"/>
      <x:c r="AE196" s="334"/>
      <x:c r="AF196" s="334"/>
      <x:c r="AG196" s="334"/>
      <x:c r="AH196" s="334"/>
      <x:c r="AI196" s="334"/>
      <x:c r="AJ196" s="312"/>
      <x:c r="AK196" s="312"/>
      <x:c r="AL196" s="312"/>
      <x:c r="AM196" s="312"/>
      <x:c r="AN196" s="312"/>
      <x:c r="AO196" s="315" t="n">
        <x:f>COUNT(AB196,AD196,AF196,AH196,AJ196)</x:f>
        <x:v>0</x:v>
      </x:c>
      <x:c r="AP196" s="315" t="n">
        <x:f>SUM(AB196,AD196,AF196,AH196,AJ196)</x:f>
        <x:v>0</x:v>
      </x:c>
      <x:c r="AQ196" s="333" t="n">
        <x:f>AA196*AB196+AC196*AD196+AE196*AF196+AG196*AH196+AI196*AJ196</x:f>
        <x:v>0</x:v>
      </x:c>
      <x:c r="AR196" s="333" t="n">
        <x:f>IF(OR(J196="Strength",J196="Hypertrophy"),MAX(IF(AB196&gt;0,AA196*(1+AB196/30),0),IF(AD196&gt;0,AC196*(1+AD196/30),0),IF(AF196&gt;0,AE196*(1+AF196/30),0),IF(AH196&gt;0,AG196*(1+AH196/30),0),IF(AJ196&gt;0,AI196*(1+AJ196/30),0)),0)</x:f>
        <x:v>0</x:v>
      </x:c>
      <x:c r="AS196" s="315" t="str">
        <x:f>IF(AN196&lt;&gt;"Yes","Not logged",IF(AL196&gt;='Setup'!$B$14,"STOP / MODIFY",IF(Z196=0,"Complete",IF(OR(AO196=0,AK196=""),"Add set data + RIR",IF(AND(MAX(AB196,AD196,AF196,AH196,AJ196)&gt;=P196,AK196&gt;=Q196+1),"Progress",IF(OR(MAX(AB196,AD196,AF196,AH196,AJ196)&lt;O196,AK196&lt;Q196-1),"Regress","Hold"))))))</x:f>
        <x:v>Not logged</x:v>
      </x:c>
      <x:c r="AT196" s="335" t="n">
        <x:f>IF(OR(Z196=0,AN196&lt;&gt;"Yes",AO196=0,AK196=""),0,IF(AL196&gt;='Setup'!$B$14,-2*'Setup'!$B$11,IF(AND(MAX(AB196,AD196,AF196,AH196,AJ196)&gt;=P196,AK196&gt;=Q196+1),'Setup'!$B$10,IF(OR(MAX(AB196,AD196,AF196,AH196,AJ196)&lt;O196,AK196&lt;Q196-1),-'Setup'!$B$11,0))))</x:f>
        <x:v>0</x:v>
      </x:c>
      <x:c r="AU196" s="333" t="n">
        <x:f>IF(Z196=0,0,IF(AN196&lt;&gt;"Yes",Z196,IF(COUNT(AA196,AC196,AE196,AG196,AI196)=0,Z196,ROUND((MAX(AA196,AC196,AE196,AG196,AI196)*(1+AT196))/'Setup'!$B$9,0)*'Setup'!$B$9)))</x:f>
        <x:v>0</x:v>
      </x:c>
      <x:c r="AV196" s="336"/>
    </x:row>
    <x:row r="197">
      <x:c r="A197" s="310" t="n">
        <x:f>'Setup'!$B$3+(C197-1)*7+(D197-1)</x:f>
        <x:v>46267</x:v>
      </x:c>
      <x:c r="B197" s="311" t="str">
        <x:v>4|3|1</x:v>
      </x:c>
      <x:c r="C197" s="311" t="n">
        <x:v>4</x:v>
      </x:c>
      <x:c r="D197" s="311" t="n">
        <x:v>3</x:v>
      </x:c>
      <x:c r="E197" s="311" t="str">
        <x:v>Deload 1</x:v>
      </x:c>
      <x:c r="F197" s="311" t="str">
        <x:v>Push A</x:v>
      </x:c>
      <x:c r="G197" s="311" t="str">
        <x:v>Chest strength + shoulder hypertrophy</x:v>
      </x:c>
      <x:c r="H197" s="311" t="n">
        <x:v>1</x:v>
      </x:c>
      <x:c r="I197" s="311" t="str">
        <x:v>Medicine Ball Chest Pass</x:v>
      </x:c>
      <x:c r="J197" s="311" t="str">
        <x:v>Power</x:v>
      </x:c>
      <x:c r="K197" s="311" t="str">
        <x:v>Chest</x:v>
      </x:c>
      <x:c r="L197" s="311" t="str">
        <x:v>Straight sets, crisp reps only</x:v>
      </x:c>
      <x:c r="M197" s="311"/>
      <x:c r="N197" s="311" t="n">
        <x:v>2</x:v>
      </x:c>
      <x:c r="O197" s="311" t="n">
        <x:v>3</x:v>
      </x:c>
      <x:c r="P197" s="311" t="n">
        <x:v>3</x:v>
      </x:c>
      <x:c r="Q197" s="311" t="n">
        <x:v>4</x:v>
      </x:c>
      <x:c r="R197" s="311" t="n">
        <x:v>60</x:v>
      </x:c>
      <x:c r="S197" s="311" t="str">
        <x:v>Explosive</x:v>
      </x:c>
      <x:c r="T197" s="330" t="n">
        <x:v>0.9</x:v>
      </x:c>
      <x:c r="U197" s="330" t="n">
        <x:v>0</x:v>
      </x:c>
      <x:c r="V197" s="331" t="str">
        <x:v>throw quality</x:v>
      </x:c>
      <x:c r="W197" s="332" t="str">
        <x:f>'Readiness'!K27</x:f>
      </x:c>
      <x:c r="X197" s="314" t="n">
        <x:f>'Readiness'!L27</x:f>
        <x:v>1</x:v>
      </x:c>
      <x:c r="Y197" s="315" t="n">
        <x:f>IF(J197="Mobility",N197,MAX(1,ROUND(N197*X197,0)))</x:f>
        <x:v>2</x:v>
      </x:c>
      <x:c r="Z197" s="333" t="n">
        <x:f>0</x:f>
        <x:v>0</x:v>
      </x:c>
      <x:c r="AA197" s="334"/>
      <x:c r="AB197" s="334"/>
      <x:c r="AC197" s="334"/>
      <x:c r="AD197" s="334"/>
      <x:c r="AE197" s="334"/>
      <x:c r="AF197" s="334"/>
      <x:c r="AG197" s="334"/>
      <x:c r="AH197" s="334"/>
      <x:c r="AI197" s="334"/>
      <x:c r="AJ197" s="312"/>
      <x:c r="AK197" s="312"/>
      <x:c r="AL197" s="312"/>
      <x:c r="AM197" s="312"/>
      <x:c r="AN197" s="312"/>
      <x:c r="AO197" s="315" t="n">
        <x:f>COUNT(AB197,AD197,AF197,AH197,AJ197)</x:f>
        <x:v>0</x:v>
      </x:c>
      <x:c r="AP197" s="315" t="n">
        <x:f>SUM(AB197,AD197,AF197,AH197,AJ197)</x:f>
        <x:v>0</x:v>
      </x:c>
      <x:c r="AQ197" s="333" t="n">
        <x:f>AA197*AB197+AC197*AD197+AE197*AF197+AG197*AH197+AI197*AJ197</x:f>
        <x:v>0</x:v>
      </x:c>
      <x:c r="AR197" s="333" t="n">
        <x:f>IF(OR(J197="Strength",J197="Hypertrophy"),MAX(IF(AB197&gt;0,AA197*(1+AB197/30),0),IF(AD197&gt;0,AC197*(1+AD197/30),0),IF(AF197&gt;0,AE197*(1+AF197/30),0),IF(AH197&gt;0,AG197*(1+AH197/30),0),IF(AJ197&gt;0,AI197*(1+AJ197/30),0)),0)</x:f>
        <x:v>0</x:v>
      </x:c>
      <x:c r="AS197" s="315" t="str">
        <x:f>IF(AN197&lt;&gt;"Yes","Not logged",IF(AL197&gt;='Setup'!$B$14,"STOP / MODIFY",IF(Z197=0,"Complete",IF(OR(AO197=0,AK197=""),"Add set data + RIR",IF(AND(MAX(AB197,AD197,AF197,AH197,AJ197)&gt;=P197,AK197&gt;=Q197+1),"Progress",IF(OR(MAX(AB197,AD197,AF197,AH197,AJ197)&lt;O197,AK197&lt;Q197-1),"Regress","Hold"))))))</x:f>
        <x:v>Not logged</x:v>
      </x:c>
      <x:c r="AT197" s="335" t="n">
        <x:f>IF(OR(Z197=0,AN197&lt;&gt;"Yes",AO197=0,AK197=""),0,IF(AL197&gt;='Setup'!$B$14,-2*'Setup'!$B$11,IF(AND(MAX(AB197,AD197,AF197,AH197,AJ197)&gt;=P197,AK197&gt;=Q197+1),'Setup'!$B$10,IF(OR(MAX(AB197,AD197,AF197,AH197,AJ197)&lt;O197,AK197&lt;Q197-1),-'Setup'!$B$11,0))))</x:f>
        <x:v>0</x:v>
      </x:c>
      <x:c r="AU197" s="333" t="n">
        <x:f>IF(Z197=0,0,IF(AN197&lt;&gt;"Yes",Z197,IF(COUNT(AA197,AC197,AE197,AG197,AI197)=0,Z197,ROUND((MAX(AA197,AC197,AE197,AG197,AI197)*(1+AT197))/'Setup'!$B$9,0)*'Setup'!$B$9)))</x:f>
        <x:v>0</x:v>
      </x:c>
      <x:c r="AV197" s="336"/>
    </x:row>
    <x:row r="198">
      <x:c r="A198" s="310" t="n">
        <x:f>'Setup'!$B$3+(C198-1)*7+(D198-1)</x:f>
        <x:v>46267</x:v>
      </x:c>
      <x:c r="B198" s="311" t="str">
        <x:v>4|3|2</x:v>
      </x:c>
      <x:c r="C198" s="311" t="n">
        <x:v>4</x:v>
      </x:c>
      <x:c r="D198" s="311" t="n">
        <x:v>3</x:v>
      </x:c>
      <x:c r="E198" s="311" t="str">
        <x:v>Deload 1</x:v>
      </x:c>
      <x:c r="F198" s="311" t="str">
        <x:v>Push A</x:v>
      </x:c>
      <x:c r="G198" s="311" t="str">
        <x:v>Chest strength + shoulder hypertrophy</x:v>
      </x:c>
      <x:c r="H198" s="311" t="n">
        <x:v>2</x:v>
      </x:c>
      <x:c r="I198" s="311" t="str">
        <x:v>Bench Press</x:v>
      </x:c>
      <x:c r="J198" s="311" t="str">
        <x:v>Strength</x:v>
      </x:c>
      <x:c r="K198" s="311" t="str">
        <x:v>Chest</x:v>
      </x:c>
      <x:c r="L198" s="311" t="str">
        <x:v>Straight sets, crisp reps only</x:v>
      </x:c>
      <x:c r="M198" s="311"/>
      <x:c r="N198" s="311" t="n">
        <x:v>2</x:v>
      </x:c>
      <x:c r="O198" s="311" t="n">
        <x:v>5</x:v>
      </x:c>
      <x:c r="P198" s="311" t="n">
        <x:v>7</x:v>
      </x:c>
      <x:c r="Q198" s="311" t="n">
        <x:v>4</x:v>
      </x:c>
      <x:c r="R198" s="311" t="n">
        <x:v>180</x:v>
      </x:c>
      <x:c r="S198" s="311" t="str">
        <x:v>2-0-X</x:v>
      </x:c>
      <x:c r="T198" s="330" t="n">
        <x:v>0.9</x:v>
      </x:c>
      <x:c r="U198" s="330" t="n">
        <x:v>0.7</x:v>
      </x:c>
      <x:c r="V198" s="331" t="str">
        <x:v>load × reps</x:v>
      </x:c>
      <x:c r="W198" s="332" t="str">
        <x:f>'Readiness'!K27</x:f>
      </x:c>
      <x:c r="X198" s="314" t="n">
        <x:f>'Readiness'!L27</x:f>
        <x:v>1</x:v>
      </x:c>
      <x:c r="Y198" s="315" t="n">
        <x:f>IF(J198="Mobility",N198,MAX(1,ROUND(N198*X198,0)))</x:f>
        <x:v>2</x:v>
      </x:c>
      <x:c r="Z198" s="333" t="n">
        <x:f>ROUND((IF(AU142&gt;0,AU142,IF(Z142&gt;0,Z142,'Setup'!$D$27))*T198)/'Setup'!$B$9,0)*'Setup'!$B$9</x:f>
        <x:v>0</x:v>
      </x:c>
      <x:c r="AA198" s="334"/>
      <x:c r="AB198" s="334"/>
      <x:c r="AC198" s="334"/>
      <x:c r="AD198" s="334"/>
      <x:c r="AE198" s="334"/>
      <x:c r="AF198" s="334"/>
      <x:c r="AG198" s="334"/>
      <x:c r="AH198" s="334"/>
      <x:c r="AI198" s="334"/>
      <x:c r="AJ198" s="312"/>
      <x:c r="AK198" s="312"/>
      <x:c r="AL198" s="312"/>
      <x:c r="AM198" s="312"/>
      <x:c r="AN198" s="312"/>
      <x:c r="AO198" s="315" t="n">
        <x:f>COUNT(AB198,AD198,AF198,AH198,AJ198)</x:f>
        <x:v>0</x:v>
      </x:c>
      <x:c r="AP198" s="315" t="n">
        <x:f>SUM(AB198,AD198,AF198,AH198,AJ198)</x:f>
        <x:v>0</x:v>
      </x:c>
      <x:c r="AQ198" s="333" t="n">
        <x:f>AA198*AB198+AC198*AD198+AE198*AF198+AG198*AH198+AI198*AJ198</x:f>
        <x:v>0</x:v>
      </x:c>
      <x:c r="AR198" s="333" t="n">
        <x:f>IF(OR(J198="Strength",J198="Hypertrophy"),MAX(IF(AB198&gt;0,AA198*(1+AB198/30),0),IF(AD198&gt;0,AC198*(1+AD198/30),0),IF(AF198&gt;0,AE198*(1+AF198/30),0),IF(AH198&gt;0,AG198*(1+AH198/30),0),IF(AJ198&gt;0,AI198*(1+AJ198/30),0)),0)</x:f>
        <x:v>0</x:v>
      </x:c>
      <x:c r="AS198" s="315" t="str">
        <x:f>IF(AN198&lt;&gt;"Yes","Not logged",IF(AL198&gt;='Setup'!$B$14,"STOP / MODIFY",IF(Z198=0,"Complete",IF(OR(AO198=0,AK198=""),"Add set data + RIR",IF(AND(MAX(AB198,AD198,AF198,AH198,AJ198)&gt;=P198,AK198&gt;=Q198+1),"Progress",IF(OR(MAX(AB198,AD198,AF198,AH198,AJ198)&lt;O198,AK198&lt;Q198-1),"Regress","Hold"))))))</x:f>
        <x:v>Not logged</x:v>
      </x:c>
      <x:c r="AT198" s="335" t="n">
        <x:f>IF(OR(Z198=0,AN198&lt;&gt;"Yes",AO198=0,AK198=""),0,IF(AL198&gt;='Setup'!$B$14,-2*'Setup'!$B$11,IF(AND(MAX(AB198,AD198,AF198,AH198,AJ198)&gt;=P198,AK198&gt;=Q198+1),'Setup'!$B$10,IF(OR(MAX(AB198,AD198,AF198,AH198,AJ198)&lt;O198,AK198&lt;Q198-1),-'Setup'!$B$11,0))))</x:f>
        <x:v>0</x:v>
      </x:c>
      <x:c r="AU198" s="333" t="n">
        <x:f>IF(Z198=0,0,IF(AN198&lt;&gt;"Yes",Z198,IF(COUNT(AA198,AC198,AE198,AG198,AI198)=0,Z198,ROUND((MAX(AA198,AC198,AE198,AG198,AI198)*(1+AT198))/'Setup'!$B$9,0)*'Setup'!$B$9)))</x:f>
        <x:v>0</x:v>
      </x:c>
      <x:c r="AV198" s="336"/>
    </x:row>
    <x:row r="199">
      <x:c r="A199" s="310" t="n">
        <x:f>'Setup'!$B$3+(C199-1)*7+(D199-1)</x:f>
        <x:v>46267</x:v>
      </x:c>
      <x:c r="B199" s="311" t="str">
        <x:v>4|3|3</x:v>
      </x:c>
      <x:c r="C199" s="311" t="n">
        <x:v>4</x:v>
      </x:c>
      <x:c r="D199" s="311" t="n">
        <x:v>3</x:v>
      </x:c>
      <x:c r="E199" s="311" t="str">
        <x:v>Deload 1</x:v>
      </x:c>
      <x:c r="F199" s="311" t="str">
        <x:v>Push A</x:v>
      </x:c>
      <x:c r="G199" s="311" t="str">
        <x:v>Chest strength + shoulder hypertrophy</x:v>
      </x:c>
      <x:c r="H199" s="311" t="n">
        <x:v>3</x:v>
      </x:c>
      <x:c r="I199" s="311" t="str">
        <x:v>Incline Dumbbell Bench Press</x:v>
      </x:c>
      <x:c r="J199" s="311" t="str">
        <x:v>Hypertrophy</x:v>
      </x:c>
      <x:c r="K199" s="311" t="str">
        <x:v>Chest</x:v>
      </x:c>
      <x:c r="L199" s="311" t="str">
        <x:v>Straight sets, crisp reps only</x:v>
      </x:c>
      <x:c r="M199" s="311"/>
      <x:c r="N199" s="311" t="n">
        <x:v>2</x:v>
      </x:c>
      <x:c r="O199" s="311" t="n">
        <x:v>8</x:v>
      </x:c>
      <x:c r="P199" s="311" t="n">
        <x:v>10</x:v>
      </x:c>
      <x:c r="Q199" s="311" t="n">
        <x:v>4</x:v>
      </x:c>
      <x:c r="R199" s="311" t="n">
        <x:v>90</x:v>
      </x:c>
      <x:c r="S199" s="311" t="str">
        <x:v>3-0-1</x:v>
      </x:c>
      <x:c r="T199" s="330" t="n">
        <x:v>0.9</x:v>
      </x:c>
      <x:c r="U199" s="330" t="n">
        <x:v>0</x:v>
      </x:c>
      <x:c r="V199" s="331" t="str">
        <x:v>load × reps</x:v>
      </x:c>
      <x:c r="W199" s="332" t="str">
        <x:f>'Readiness'!K27</x:f>
      </x:c>
      <x:c r="X199" s="314" t="n">
        <x:f>'Readiness'!L27</x:f>
        <x:v>1</x:v>
      </x:c>
      <x:c r="Y199" s="315" t="n">
        <x:f>IF(J199="Mobility",N199,MAX(1,ROUND(N199*X199,0)))</x:f>
        <x:v>2</x:v>
      </x:c>
      <x:c r="Z199" s="333" t="n">
        <x:f>ROUND((IF(AU143&gt;0,AU143,IF(Z143&gt;0,Z143,'Setup'!$D$50))*T199)/'Setup'!$B$9,0)*'Setup'!$B$9</x:f>
        <x:v>0</x:v>
      </x:c>
      <x:c r="AA199" s="334"/>
      <x:c r="AB199" s="334"/>
      <x:c r="AC199" s="334"/>
      <x:c r="AD199" s="334"/>
      <x:c r="AE199" s="334"/>
      <x:c r="AF199" s="334"/>
      <x:c r="AG199" s="334"/>
      <x:c r="AH199" s="334"/>
      <x:c r="AI199" s="334"/>
      <x:c r="AJ199" s="312"/>
      <x:c r="AK199" s="312"/>
      <x:c r="AL199" s="312"/>
      <x:c r="AM199" s="312"/>
      <x:c r="AN199" s="312"/>
      <x:c r="AO199" s="315" t="n">
        <x:f>COUNT(AB199,AD199,AF199,AH199,AJ199)</x:f>
        <x:v>0</x:v>
      </x:c>
      <x:c r="AP199" s="315" t="n">
        <x:f>SUM(AB199,AD199,AF199,AH199,AJ199)</x:f>
        <x:v>0</x:v>
      </x:c>
      <x:c r="AQ199" s="333" t="n">
        <x:f>AA199*AB199+AC199*AD199+AE199*AF199+AG199*AH199+AI199*AJ199</x:f>
        <x:v>0</x:v>
      </x:c>
      <x:c r="AR199" s="333" t="n">
        <x:f>IF(OR(J199="Strength",J199="Hypertrophy"),MAX(IF(AB199&gt;0,AA199*(1+AB199/30),0),IF(AD199&gt;0,AC199*(1+AD199/30),0),IF(AF199&gt;0,AE199*(1+AF199/30),0),IF(AH199&gt;0,AG199*(1+AH199/30),0),IF(AJ199&gt;0,AI199*(1+AJ199/30),0)),0)</x:f>
        <x:v>0</x:v>
      </x:c>
      <x:c r="AS199" s="315" t="str">
        <x:f>IF(AN199&lt;&gt;"Yes","Not logged",IF(AL199&gt;='Setup'!$B$14,"STOP / MODIFY",IF(Z199=0,"Complete",IF(OR(AO199=0,AK199=""),"Add set data + RIR",IF(AND(MAX(AB199,AD199,AF199,AH199,AJ199)&gt;=P199,AK199&gt;=Q199+1),"Progress",IF(OR(MAX(AB199,AD199,AF199,AH199,AJ199)&lt;O199,AK199&lt;Q199-1),"Regress","Hold"))))))</x:f>
        <x:v>Not logged</x:v>
      </x:c>
      <x:c r="AT199" s="335" t="n">
        <x:f>IF(OR(Z199=0,AN199&lt;&gt;"Yes",AO199=0,AK199=""),0,IF(AL199&gt;='Setup'!$B$14,-2*'Setup'!$B$11,IF(AND(MAX(AB199,AD199,AF199,AH199,AJ199)&gt;=P199,AK199&gt;=Q199+1),'Setup'!$B$10,IF(OR(MAX(AB199,AD199,AF199,AH199,AJ199)&lt;O199,AK199&lt;Q199-1),-'Setup'!$B$11,0))))</x:f>
        <x:v>0</x:v>
      </x:c>
      <x:c r="AU199" s="333" t="n">
        <x:f>IF(Z199=0,0,IF(AN199&lt;&gt;"Yes",Z199,IF(COUNT(AA199,AC199,AE199,AG199,AI199)=0,Z199,ROUND((MAX(AA199,AC199,AE199,AG199,AI199)*(1+AT199))/'Setup'!$B$9,0)*'Setup'!$B$9)))</x:f>
        <x:v>0</x:v>
      </x:c>
      <x:c r="AV199" s="336"/>
    </x:row>
    <x:row r="200">
      <x:c r="A200" s="310" t="n">
        <x:f>'Setup'!$B$3+(C200-1)*7+(D200-1)</x:f>
        <x:v>46267</x:v>
      </x:c>
      <x:c r="B200" s="311" t="str">
        <x:v>4|3|4</x:v>
      </x:c>
      <x:c r="C200" s="311" t="n">
        <x:v>4</x:v>
      </x:c>
      <x:c r="D200" s="311" t="n">
        <x:v>3</x:v>
      </x:c>
      <x:c r="E200" s="311" t="str">
        <x:v>Deload 1</x:v>
      </x:c>
      <x:c r="F200" s="311" t="str">
        <x:v>Push A</x:v>
      </x:c>
      <x:c r="G200" s="311" t="str">
        <x:v>Chest strength + shoulder hypertrophy</x:v>
      </x:c>
      <x:c r="H200" s="311" t="n">
        <x:v>4</x:v>
      </x:c>
      <x:c r="I200" s="311" t="str">
        <x:v>Seated Dumbbell Shoulder Press</x:v>
      </x:c>
      <x:c r="J200" s="311" t="str">
        <x:v>Hypertrophy</x:v>
      </x:c>
      <x:c r="K200" s="311" t="str">
        <x:v>Shoulders</x:v>
      </x:c>
      <x:c r="L200" s="311" t="str">
        <x:v>Straight sets, crisp reps only</x:v>
      </x:c>
      <x:c r="M200" s="311"/>
      <x:c r="N200" s="311" t="n">
        <x:v>2</x:v>
      </x:c>
      <x:c r="O200" s="311" t="n">
        <x:v>8</x:v>
      </x:c>
      <x:c r="P200" s="311" t="n">
        <x:v>10</x:v>
      </x:c>
      <x:c r="Q200" s="311" t="n">
        <x:v>4</x:v>
      </x:c>
      <x:c r="R200" s="311" t="n">
        <x:v>90</x:v>
      </x:c>
      <x:c r="S200" s="311" t="str">
        <x:v>2-0-1</x:v>
      </x:c>
      <x:c r="T200" s="330" t="n">
        <x:v>0.9</x:v>
      </x:c>
      <x:c r="U200" s="330" t="n">
        <x:v>0</x:v>
      </x:c>
      <x:c r="V200" s="331" t="str">
        <x:v>load × reps</x:v>
      </x:c>
      <x:c r="W200" s="332" t="str">
        <x:f>'Readiness'!K27</x:f>
      </x:c>
      <x:c r="X200" s="314" t="n">
        <x:f>'Readiness'!L27</x:f>
        <x:v>1</x:v>
      </x:c>
      <x:c r="Y200" s="315" t="n">
        <x:f>IF(J200="Mobility",N200,MAX(1,ROUND(N200*X200,0)))</x:f>
        <x:v>2</x:v>
      </x:c>
      <x:c r="Z200" s="333" t="n">
        <x:f>ROUND((IF(AU144&gt;0,AU144,IF(Z144&gt;0,Z144,'Setup'!$D$83))*T200)/'Setup'!$B$9,0)*'Setup'!$B$9</x:f>
        <x:v>0</x:v>
      </x:c>
      <x:c r="AA200" s="334"/>
      <x:c r="AB200" s="334"/>
      <x:c r="AC200" s="334"/>
      <x:c r="AD200" s="334"/>
      <x:c r="AE200" s="334"/>
      <x:c r="AF200" s="334"/>
      <x:c r="AG200" s="334"/>
      <x:c r="AH200" s="334"/>
      <x:c r="AI200" s="334"/>
      <x:c r="AJ200" s="312"/>
      <x:c r="AK200" s="312"/>
      <x:c r="AL200" s="312"/>
      <x:c r="AM200" s="312"/>
      <x:c r="AN200" s="312"/>
      <x:c r="AO200" s="315" t="n">
        <x:f>COUNT(AB200,AD200,AF200,AH200,AJ200)</x:f>
        <x:v>0</x:v>
      </x:c>
      <x:c r="AP200" s="315" t="n">
        <x:f>SUM(AB200,AD200,AF200,AH200,AJ200)</x:f>
        <x:v>0</x:v>
      </x:c>
      <x:c r="AQ200" s="333" t="n">
        <x:f>AA200*AB200+AC200*AD200+AE200*AF200+AG200*AH200+AI200*AJ200</x:f>
        <x:v>0</x:v>
      </x:c>
      <x:c r="AR200" s="333" t="n">
        <x:f>IF(OR(J200="Strength",J200="Hypertrophy"),MAX(IF(AB200&gt;0,AA200*(1+AB200/30),0),IF(AD200&gt;0,AC200*(1+AD200/30),0),IF(AF200&gt;0,AE200*(1+AF200/30),0),IF(AH200&gt;0,AG200*(1+AH200/30),0),IF(AJ200&gt;0,AI200*(1+AJ200/30),0)),0)</x:f>
        <x:v>0</x:v>
      </x:c>
      <x:c r="AS200" s="315" t="str">
        <x:f>IF(AN200&lt;&gt;"Yes","Not logged",IF(AL200&gt;='Setup'!$B$14,"STOP / MODIFY",IF(Z200=0,"Complete",IF(OR(AO200=0,AK200=""),"Add set data + RIR",IF(AND(MAX(AB200,AD200,AF200,AH200,AJ200)&gt;=P200,AK200&gt;=Q200+1),"Progress",IF(OR(MAX(AB200,AD200,AF200,AH200,AJ200)&lt;O200,AK200&lt;Q200-1),"Regress","Hold"))))))</x:f>
        <x:v>Not logged</x:v>
      </x:c>
      <x:c r="AT200" s="335" t="n">
        <x:f>IF(OR(Z200=0,AN200&lt;&gt;"Yes",AO200=0,AK200=""),0,IF(AL200&gt;='Setup'!$B$14,-2*'Setup'!$B$11,IF(AND(MAX(AB200,AD200,AF200,AH200,AJ200)&gt;=P200,AK200&gt;=Q200+1),'Setup'!$B$10,IF(OR(MAX(AB200,AD200,AF200,AH200,AJ200)&lt;O200,AK200&lt;Q200-1),-'Setup'!$B$11,0))))</x:f>
        <x:v>0</x:v>
      </x:c>
      <x:c r="AU200" s="333" t="n">
        <x:f>IF(Z200=0,0,IF(AN200&lt;&gt;"Yes",Z200,IF(COUNT(AA200,AC200,AE200,AG200,AI200)=0,Z200,ROUND((MAX(AA200,AC200,AE200,AG200,AI200)*(1+AT200))/'Setup'!$B$9,0)*'Setup'!$B$9)))</x:f>
        <x:v>0</x:v>
      </x:c>
      <x:c r="AV200" s="336"/>
    </x:row>
    <x:row r="201">
      <x:c r="A201" s="310" t="n">
        <x:f>'Setup'!$B$3+(C201-1)*7+(D201-1)</x:f>
        <x:v>46267</x:v>
      </x:c>
      <x:c r="B201" s="311" t="str">
        <x:v>4|3|5</x:v>
      </x:c>
      <x:c r="C201" s="311" t="n">
        <x:v>4</x:v>
      </x:c>
      <x:c r="D201" s="311" t="n">
        <x:v>3</x:v>
      </x:c>
      <x:c r="E201" s="311" t="str">
        <x:v>Deload 1</x:v>
      </x:c>
      <x:c r="F201" s="311" t="str">
        <x:v>Push A</x:v>
      </x:c>
      <x:c r="G201" s="311" t="str">
        <x:v>Chest strength + shoulder hypertrophy</x:v>
      </x:c>
      <x:c r="H201" s="311" t="n">
        <x:v>5</x:v>
      </x:c>
      <x:c r="I201" s="311" t="str">
        <x:v>Cable Fly</x:v>
      </x:c>
      <x:c r="J201" s="311" t="str">
        <x:v>Hypertrophy</x:v>
      </x:c>
      <x:c r="K201" s="311" t="str">
        <x:v>Chest</x:v>
      </x:c>
      <x:c r="L201" s="311" t="str">
        <x:v>Straight sets, crisp reps only</x:v>
      </x:c>
      <x:c r="M201" s="311" t="str">
        <x:v>A1</x:v>
      </x:c>
      <x:c r="N201" s="311" t="n">
        <x:v>2</x:v>
      </x:c>
      <x:c r="O201" s="311" t="n">
        <x:v>12</x:v>
      </x:c>
      <x:c r="P201" s="311" t="n">
        <x:v>15</x:v>
      </x:c>
      <x:c r="Q201" s="311" t="n">
        <x:v>4</x:v>
      </x:c>
      <x:c r="R201" s="311" t="n">
        <x:v>30</x:v>
      </x:c>
      <x:c r="S201" s="311" t="str">
        <x:v>2-1-2</x:v>
      </x:c>
      <x:c r="T201" s="330" t="n">
        <x:v>0.9</x:v>
      </x:c>
      <x:c r="U201" s="330" t="n">
        <x:v>0</x:v>
      </x:c>
      <x:c r="V201" s="331" t="str">
        <x:v>load × reps</x:v>
      </x:c>
      <x:c r="W201" s="332" t="str">
        <x:f>'Readiness'!K27</x:f>
      </x:c>
      <x:c r="X201" s="314" t="n">
        <x:f>'Readiness'!L27</x:f>
        <x:v>1</x:v>
      </x:c>
      <x:c r="Y201" s="315" t="n">
        <x:f>IF(J201="Mobility",N201,MAX(1,ROUND(N201*X201,0)))</x:f>
        <x:v>2</x:v>
      </x:c>
      <x:c r="Z201" s="333" t="n">
        <x:f>ROUND((IF(AU145&gt;0,AU145,IF(Z145&gt;0,Z145,'Setup'!$D$31))*T201)/'Setup'!$B$9,0)*'Setup'!$B$9</x:f>
        <x:v>0</x:v>
      </x:c>
      <x:c r="AA201" s="334"/>
      <x:c r="AB201" s="334"/>
      <x:c r="AC201" s="334"/>
      <x:c r="AD201" s="334"/>
      <x:c r="AE201" s="334"/>
      <x:c r="AF201" s="334"/>
      <x:c r="AG201" s="334"/>
      <x:c r="AH201" s="334"/>
      <x:c r="AI201" s="334"/>
      <x:c r="AJ201" s="312"/>
      <x:c r="AK201" s="312"/>
      <x:c r="AL201" s="312"/>
      <x:c r="AM201" s="312"/>
      <x:c r="AN201" s="312"/>
      <x:c r="AO201" s="315" t="n">
        <x:f>COUNT(AB201,AD201,AF201,AH201,AJ201)</x:f>
        <x:v>0</x:v>
      </x:c>
      <x:c r="AP201" s="315" t="n">
        <x:f>SUM(AB201,AD201,AF201,AH201,AJ201)</x:f>
        <x:v>0</x:v>
      </x:c>
      <x:c r="AQ201" s="333" t="n">
        <x:f>AA201*AB201+AC201*AD201+AE201*AF201+AG201*AH201+AI201*AJ201</x:f>
        <x:v>0</x:v>
      </x:c>
      <x:c r="AR201" s="333" t="n">
        <x:f>IF(OR(J201="Strength",J201="Hypertrophy"),MAX(IF(AB201&gt;0,AA201*(1+AB201/30),0),IF(AD201&gt;0,AC201*(1+AD201/30),0),IF(AF201&gt;0,AE201*(1+AF201/30),0),IF(AH201&gt;0,AG201*(1+AH201/30),0),IF(AJ201&gt;0,AI201*(1+AJ201/30),0)),0)</x:f>
        <x:v>0</x:v>
      </x:c>
      <x:c r="AS201" s="315" t="str">
        <x:f>IF(AN201&lt;&gt;"Yes","Not logged",IF(AL201&gt;='Setup'!$B$14,"STOP / MODIFY",IF(Z201=0,"Complete",IF(OR(AO201=0,AK201=""),"Add set data + RIR",IF(AND(MAX(AB201,AD201,AF201,AH201,AJ201)&gt;=P201,AK201&gt;=Q201+1),"Progress",IF(OR(MAX(AB201,AD201,AF201,AH201,AJ201)&lt;O201,AK201&lt;Q201-1),"Regress","Hold"))))))</x:f>
        <x:v>Not logged</x:v>
      </x:c>
      <x:c r="AT201" s="335" t="n">
        <x:f>IF(OR(Z201=0,AN201&lt;&gt;"Yes",AO201=0,AK201=""),0,IF(AL201&gt;='Setup'!$B$14,-2*'Setup'!$B$11,IF(AND(MAX(AB201,AD201,AF201,AH201,AJ201)&gt;=P201,AK201&gt;=Q201+1),'Setup'!$B$10,IF(OR(MAX(AB201,AD201,AF201,AH201,AJ201)&lt;O201,AK201&lt;Q201-1),-'Setup'!$B$11,0))))</x:f>
        <x:v>0</x:v>
      </x:c>
      <x:c r="AU201" s="333" t="n">
        <x:f>IF(Z201=0,0,IF(AN201&lt;&gt;"Yes",Z201,IF(COUNT(AA201,AC201,AE201,AG201,AI201)=0,Z201,ROUND((MAX(AA201,AC201,AE201,AG201,AI201)*(1+AT201))/'Setup'!$B$9,0)*'Setup'!$B$9)))</x:f>
        <x:v>0</x:v>
      </x:c>
      <x:c r="AV201" s="336"/>
    </x:row>
    <x:row r="202">
      <x:c r="A202" s="310" t="n">
        <x:f>'Setup'!$B$3+(C202-1)*7+(D202-1)</x:f>
        <x:v>46267</x:v>
      </x:c>
      <x:c r="B202" s="311" t="str">
        <x:v>4|3|6</x:v>
      </x:c>
      <x:c r="C202" s="311" t="n">
        <x:v>4</x:v>
      </x:c>
      <x:c r="D202" s="311" t="n">
        <x:v>3</x:v>
      </x:c>
      <x:c r="E202" s="311" t="str">
        <x:v>Deload 1</x:v>
      </x:c>
      <x:c r="F202" s="311" t="str">
        <x:v>Push A</x:v>
      </x:c>
      <x:c r="G202" s="311" t="str">
        <x:v>Chest strength + shoulder hypertrophy</x:v>
      </x:c>
      <x:c r="H202" s="311" t="n">
        <x:v>6</x:v>
      </x:c>
      <x:c r="I202" s="311" t="str">
        <x:v>Cable Lateral Raise</x:v>
      </x:c>
      <x:c r="J202" s="311" t="str">
        <x:v>Hypertrophy</x:v>
      </x:c>
      <x:c r="K202" s="311" t="str">
        <x:v>Shoulders</x:v>
      </x:c>
      <x:c r="L202" s="311" t="str">
        <x:v>Straight sets, crisp reps only</x:v>
      </x:c>
      <x:c r="M202" s="311" t="str">
        <x:v>A2</x:v>
      </x:c>
      <x:c r="N202" s="311" t="n">
        <x:v>2</x:v>
      </x:c>
      <x:c r="O202" s="311" t="n">
        <x:v>12</x:v>
      </x:c>
      <x:c r="P202" s="311" t="n">
        <x:v>20</x:v>
      </x:c>
      <x:c r="Q202" s="311" t="n">
        <x:v>4</x:v>
      </x:c>
      <x:c r="R202" s="311" t="n">
        <x:v>30</x:v>
      </x:c>
      <x:c r="S202" s="311" t="str">
        <x:v>2-1-2</x:v>
      </x:c>
      <x:c r="T202" s="330" t="n">
        <x:v>0.9</x:v>
      </x:c>
      <x:c r="U202" s="330" t="n">
        <x:v>0</x:v>
      </x:c>
      <x:c r="V202" s="331" t="str">
        <x:v>load × reps</x:v>
      </x:c>
      <x:c r="W202" s="332" t="str">
        <x:f>'Readiness'!K27</x:f>
      </x:c>
      <x:c r="X202" s="314" t="n">
        <x:f>'Readiness'!L27</x:f>
        <x:v>1</x:v>
      </x:c>
      <x:c r="Y202" s="315" t="n">
        <x:f>IF(J202="Mobility",N202,MAX(1,ROUND(N202*X202,0)))</x:f>
        <x:v>2</x:v>
      </x:c>
      <x:c r="Z202" s="333" t="n">
        <x:f>ROUND((IF(AU146&gt;0,AU146,IF(Z146&gt;0,Z146,'Setup'!$D$33))*T202)/'Setup'!$B$9,0)*'Setup'!$B$9</x:f>
        <x:v>0</x:v>
      </x:c>
      <x:c r="AA202" s="334"/>
      <x:c r="AB202" s="334"/>
      <x:c r="AC202" s="334"/>
      <x:c r="AD202" s="334"/>
      <x:c r="AE202" s="334"/>
      <x:c r="AF202" s="334"/>
      <x:c r="AG202" s="334"/>
      <x:c r="AH202" s="334"/>
      <x:c r="AI202" s="334"/>
      <x:c r="AJ202" s="312"/>
      <x:c r="AK202" s="312"/>
      <x:c r="AL202" s="312"/>
      <x:c r="AM202" s="312"/>
      <x:c r="AN202" s="312"/>
      <x:c r="AO202" s="315" t="n">
        <x:f>COUNT(AB202,AD202,AF202,AH202,AJ202)</x:f>
        <x:v>0</x:v>
      </x:c>
      <x:c r="AP202" s="315" t="n">
        <x:f>SUM(AB202,AD202,AF202,AH202,AJ202)</x:f>
        <x:v>0</x:v>
      </x:c>
      <x:c r="AQ202" s="333" t="n">
        <x:f>AA202*AB202+AC202*AD202+AE202*AF202+AG202*AH202+AI202*AJ202</x:f>
        <x:v>0</x:v>
      </x:c>
      <x:c r="AR202" s="333" t="n">
        <x:f>IF(OR(J202="Strength",J202="Hypertrophy"),MAX(IF(AB202&gt;0,AA202*(1+AB202/30),0),IF(AD202&gt;0,AC202*(1+AD202/30),0),IF(AF202&gt;0,AE202*(1+AF202/30),0),IF(AH202&gt;0,AG202*(1+AH202/30),0),IF(AJ202&gt;0,AI202*(1+AJ202/30),0)),0)</x:f>
        <x:v>0</x:v>
      </x:c>
      <x:c r="AS202" s="315" t="str">
        <x:f>IF(AN202&lt;&gt;"Yes","Not logged",IF(AL202&gt;='Setup'!$B$14,"STOP / MODIFY",IF(Z202=0,"Complete",IF(OR(AO202=0,AK202=""),"Add set data + RIR",IF(AND(MAX(AB202,AD202,AF202,AH202,AJ202)&gt;=P202,AK202&gt;=Q202+1),"Progress",IF(OR(MAX(AB202,AD202,AF202,AH202,AJ202)&lt;O202,AK202&lt;Q202-1),"Regress","Hold"))))))</x:f>
        <x:v>Not logged</x:v>
      </x:c>
      <x:c r="AT202" s="335" t="n">
        <x:f>IF(OR(Z202=0,AN202&lt;&gt;"Yes",AO202=0,AK202=""),0,IF(AL202&gt;='Setup'!$B$14,-2*'Setup'!$B$11,IF(AND(MAX(AB202,AD202,AF202,AH202,AJ202)&gt;=P202,AK202&gt;=Q202+1),'Setup'!$B$10,IF(OR(MAX(AB202,AD202,AF202,AH202,AJ202)&lt;O202,AK202&lt;Q202-1),-'Setup'!$B$11,0))))</x:f>
        <x:v>0</x:v>
      </x:c>
      <x:c r="AU202" s="333" t="n">
        <x:f>IF(Z202=0,0,IF(AN202&lt;&gt;"Yes",Z202,IF(COUNT(AA202,AC202,AE202,AG202,AI202)=0,Z202,ROUND((MAX(AA202,AC202,AE202,AG202,AI202)*(1+AT202))/'Setup'!$B$9,0)*'Setup'!$B$9)))</x:f>
        <x:v>0</x:v>
      </x:c>
      <x:c r="AV202" s="336"/>
    </x:row>
    <x:row r="203">
      <x:c r="A203" s="310" t="n">
        <x:f>'Setup'!$B$3+(C203-1)*7+(D203-1)</x:f>
        <x:v>46267</x:v>
      </x:c>
      <x:c r="B203" s="311" t="str">
        <x:v>4|3|7</x:v>
      </x:c>
      <x:c r="C203" s="311" t="n">
        <x:v>4</x:v>
      </x:c>
      <x:c r="D203" s="311" t="n">
        <x:v>3</x:v>
      </x:c>
      <x:c r="E203" s="311" t="str">
        <x:v>Deload 1</x:v>
      </x:c>
      <x:c r="F203" s="311" t="str">
        <x:v>Push A</x:v>
      </x:c>
      <x:c r="G203" s="311" t="str">
        <x:v>Chest strength + shoulder hypertrophy</x:v>
      </x:c>
      <x:c r="H203" s="311" t="n">
        <x:v>7</x:v>
      </x:c>
      <x:c r="I203" s="311" t="str">
        <x:v>Triceps Pressdown</x:v>
      </x:c>
      <x:c r="J203" s="311" t="str">
        <x:v>Hypertrophy</x:v>
      </x:c>
      <x:c r="K203" s="311" t="str">
        <x:v>Triceps</x:v>
      </x:c>
      <x:c r="L203" s="311" t="str">
        <x:v>Straight sets, crisp reps only</x:v>
      </x:c>
      <x:c r="M203" s="311"/>
      <x:c r="N203" s="311" t="n">
        <x:v>2</x:v>
      </x:c>
      <x:c r="O203" s="311" t="n">
        <x:v>10</x:v>
      </x:c>
      <x:c r="P203" s="311" t="n">
        <x:v>15</x:v>
      </x:c>
      <x:c r="Q203" s="311" t="n">
        <x:v>4</x:v>
      </x:c>
      <x:c r="R203" s="311" t="n">
        <x:v>60</x:v>
      </x:c>
      <x:c r="S203" s="311" t="str">
        <x:v>2-1-1</x:v>
      </x:c>
      <x:c r="T203" s="330" t="n">
        <x:v>0.9</x:v>
      </x:c>
      <x:c r="U203" s="330" t="n">
        <x:v>0</x:v>
      </x:c>
      <x:c r="V203" s="331" t="str">
        <x:v>load × reps</x:v>
      </x:c>
      <x:c r="W203" s="332" t="str">
        <x:f>'Readiness'!K27</x:f>
      </x:c>
      <x:c r="X203" s="314" t="n">
        <x:f>'Readiness'!L27</x:f>
        <x:v>1</x:v>
      </x:c>
      <x:c r="Y203" s="315" t="n">
        <x:f>IF(J203="Mobility",N203,MAX(1,ROUND(N203*X203,0)))</x:f>
        <x:v>2</x:v>
      </x:c>
      <x:c r="Z203" s="333" t="n">
        <x:f>ROUND((IF(AU147&gt;0,AU147,IF(Z147&gt;0,Z147,'Setup'!$D$92))*T203)/'Setup'!$B$9,0)*'Setup'!$B$9</x:f>
        <x:v>0</x:v>
      </x:c>
      <x:c r="AA203" s="334"/>
      <x:c r="AB203" s="334"/>
      <x:c r="AC203" s="334"/>
      <x:c r="AD203" s="334"/>
      <x:c r="AE203" s="334"/>
      <x:c r="AF203" s="334"/>
      <x:c r="AG203" s="334"/>
      <x:c r="AH203" s="334"/>
      <x:c r="AI203" s="334"/>
      <x:c r="AJ203" s="312"/>
      <x:c r="AK203" s="312"/>
      <x:c r="AL203" s="312"/>
      <x:c r="AM203" s="312"/>
      <x:c r="AN203" s="312"/>
      <x:c r="AO203" s="315" t="n">
        <x:f>COUNT(AB203,AD203,AF203,AH203,AJ203)</x:f>
        <x:v>0</x:v>
      </x:c>
      <x:c r="AP203" s="315" t="n">
        <x:f>SUM(AB203,AD203,AF203,AH203,AJ203)</x:f>
        <x:v>0</x:v>
      </x:c>
      <x:c r="AQ203" s="333" t="n">
        <x:f>AA203*AB203+AC203*AD203+AE203*AF203+AG203*AH203+AI203*AJ203</x:f>
        <x:v>0</x:v>
      </x:c>
      <x:c r="AR203" s="333" t="n">
        <x:f>IF(OR(J203="Strength",J203="Hypertrophy"),MAX(IF(AB203&gt;0,AA203*(1+AB203/30),0),IF(AD203&gt;0,AC203*(1+AD203/30),0),IF(AF203&gt;0,AE203*(1+AF203/30),0),IF(AH203&gt;0,AG203*(1+AH203/30),0),IF(AJ203&gt;0,AI203*(1+AJ203/30),0)),0)</x:f>
        <x:v>0</x:v>
      </x:c>
      <x:c r="AS203" s="315" t="str">
        <x:f>IF(AN203&lt;&gt;"Yes","Not logged",IF(AL203&gt;='Setup'!$B$14,"STOP / MODIFY",IF(Z203=0,"Complete",IF(OR(AO203=0,AK203=""),"Add set data + RIR",IF(AND(MAX(AB203,AD203,AF203,AH203,AJ203)&gt;=P203,AK203&gt;=Q203+1),"Progress",IF(OR(MAX(AB203,AD203,AF203,AH203,AJ203)&lt;O203,AK203&lt;Q203-1),"Regress","Hold"))))))</x:f>
        <x:v>Not logged</x:v>
      </x:c>
      <x:c r="AT203" s="335" t="n">
        <x:f>IF(OR(Z203=0,AN203&lt;&gt;"Yes",AO203=0,AK203=""),0,IF(AL203&gt;='Setup'!$B$14,-2*'Setup'!$B$11,IF(AND(MAX(AB203,AD203,AF203,AH203,AJ203)&gt;=P203,AK203&gt;=Q203+1),'Setup'!$B$10,IF(OR(MAX(AB203,AD203,AF203,AH203,AJ203)&lt;O203,AK203&lt;Q203-1),-'Setup'!$B$11,0))))</x:f>
        <x:v>0</x:v>
      </x:c>
      <x:c r="AU203" s="333" t="n">
        <x:f>IF(Z203=0,0,IF(AN203&lt;&gt;"Yes",Z203,IF(COUNT(AA203,AC203,AE203,AG203,AI203)=0,Z203,ROUND((MAX(AA203,AC203,AE203,AG203,AI203)*(1+AT203))/'Setup'!$B$9,0)*'Setup'!$B$9)))</x:f>
        <x:v>0</x:v>
      </x:c>
      <x:c r="AV203" s="336"/>
    </x:row>
    <x:row r="204">
      <x:c r="A204" s="310" t="n">
        <x:f>'Setup'!$B$3+(C204-1)*7+(D204-1)</x:f>
        <x:v>46267</x:v>
      </x:c>
      <x:c r="B204" s="311" t="str">
        <x:v>4|3|8</x:v>
      </x:c>
      <x:c r="C204" s="311" t="n">
        <x:v>4</x:v>
      </x:c>
      <x:c r="D204" s="311" t="n">
        <x:v>3</x:v>
      </x:c>
      <x:c r="E204" s="311" t="str">
        <x:v>Deload 1</x:v>
      </x:c>
      <x:c r="F204" s="311" t="str">
        <x:v>Push A</x:v>
      </x:c>
      <x:c r="G204" s="311" t="str">
        <x:v>Chest strength + shoulder hypertrophy</x:v>
      </x:c>
      <x:c r="H204" s="311" t="n">
        <x:v>8</x:v>
      </x:c>
      <x:c r="I204" s="311" t="str">
        <x:v>Serratus Wall Slide</x:v>
      </x:c>
      <x:c r="J204" s="311" t="str">
        <x:v>Mobility</x:v>
      </x:c>
      <x:c r="K204" s="311" t="str">
        <x:v>Shoulders</x:v>
      </x:c>
      <x:c r="L204" s="311" t="str">
        <x:v>Straight sets, crisp reps only</x:v>
      </x:c>
      <x:c r="M204" s="311"/>
      <x:c r="N204" s="311" t="n">
        <x:v>2</x:v>
      </x:c>
      <x:c r="O204" s="311" t="n">
        <x:v>8</x:v>
      </x:c>
      <x:c r="P204" s="311" t="n">
        <x:v>10</x:v>
      </x:c>
      <x:c r="Q204" s="311"/>
      <x:c r="R204" s="311" t="n">
        <x:v>30</x:v>
      </x:c>
      <x:c r="S204" s="311" t="str">
        <x:v>Slow</x:v>
      </x:c>
      <x:c r="T204" s="330" t="n">
        <x:v>0.9</x:v>
      </x:c>
      <x:c r="U204" s="330" t="n">
        <x:v>0</x:v>
      </x:c>
      <x:c r="V204" s="331" t="str">
        <x:v>reps</x:v>
      </x:c>
      <x:c r="W204" s="332" t="str">
        <x:f>'Readiness'!K27</x:f>
      </x:c>
      <x:c r="X204" s="314" t="n">
        <x:f>'Readiness'!L27</x:f>
        <x:v>1</x:v>
      </x:c>
      <x:c r="Y204" s="315" t="n">
        <x:f>IF(J204="Mobility",N204,MAX(1,ROUND(N204*X204,0)))</x:f>
        <x:v>2</x:v>
      </x:c>
      <x:c r="Z204" s="333" t="n">
        <x:f>0</x:f>
        <x:v>0</x:v>
      </x:c>
      <x:c r="AA204" s="334"/>
      <x:c r="AB204" s="334"/>
      <x:c r="AC204" s="334"/>
      <x:c r="AD204" s="334"/>
      <x:c r="AE204" s="334"/>
      <x:c r="AF204" s="334"/>
      <x:c r="AG204" s="334"/>
      <x:c r="AH204" s="334"/>
      <x:c r="AI204" s="334"/>
      <x:c r="AJ204" s="312"/>
      <x:c r="AK204" s="312"/>
      <x:c r="AL204" s="312"/>
      <x:c r="AM204" s="312"/>
      <x:c r="AN204" s="312"/>
      <x:c r="AO204" s="315" t="n">
        <x:f>COUNT(AB204,AD204,AF204,AH204,AJ204)</x:f>
        <x:v>0</x:v>
      </x:c>
      <x:c r="AP204" s="315" t="n">
        <x:f>SUM(AB204,AD204,AF204,AH204,AJ204)</x:f>
        <x:v>0</x:v>
      </x:c>
      <x:c r="AQ204" s="333" t="n">
        <x:f>AA204*AB204+AC204*AD204+AE204*AF204+AG204*AH204+AI204*AJ204</x:f>
        <x:v>0</x:v>
      </x:c>
      <x:c r="AR204" s="333" t="n">
        <x:f>IF(OR(J204="Strength",J204="Hypertrophy"),MAX(IF(AB204&gt;0,AA204*(1+AB204/30),0),IF(AD204&gt;0,AC204*(1+AD204/30),0),IF(AF204&gt;0,AE204*(1+AF204/30),0),IF(AH204&gt;0,AG204*(1+AH204/30),0),IF(AJ204&gt;0,AI204*(1+AJ204/30),0)),0)</x:f>
        <x:v>0</x:v>
      </x:c>
      <x:c r="AS204" s="315" t="str">
        <x:f>IF(AN204&lt;&gt;"Yes","Not logged",IF(AL204&gt;='Setup'!$B$14,"STOP / MODIFY",IF(Z204=0,"Complete",IF(OR(AO204=0,AK204=""),"Add set data + RIR",IF(AND(MAX(AB204,AD204,AF204,AH204,AJ204)&gt;=P204,AK204&gt;=Q204+1),"Progress",IF(OR(MAX(AB204,AD204,AF204,AH204,AJ204)&lt;O204,AK204&lt;Q204-1),"Regress","Hold"))))))</x:f>
        <x:v>Not logged</x:v>
      </x:c>
      <x:c r="AT204" s="335" t="n">
        <x:f>IF(OR(Z204=0,AN204&lt;&gt;"Yes",AO204=0,AK204=""),0,IF(AL204&gt;='Setup'!$B$14,-2*'Setup'!$B$11,IF(AND(MAX(AB204,AD204,AF204,AH204,AJ204)&gt;=P204,AK204&gt;=Q204+1),'Setup'!$B$10,IF(OR(MAX(AB204,AD204,AF204,AH204,AJ204)&lt;O204,AK204&lt;Q204-1),-'Setup'!$B$11,0))))</x:f>
        <x:v>0</x:v>
      </x:c>
      <x:c r="AU204" s="333" t="n">
        <x:f>IF(Z204=0,0,IF(AN204&lt;&gt;"Yes",Z204,IF(COUNT(AA204,AC204,AE204,AG204,AI204)=0,Z204,ROUND((MAX(AA204,AC204,AE204,AG204,AI204)*(1+AT204))/'Setup'!$B$9,0)*'Setup'!$B$9)))</x:f>
        <x:v>0</x:v>
      </x:c>
      <x:c r="AV204" s="336"/>
    </x:row>
    <x:row r="205">
      <x:c r="A205" s="310" t="n">
        <x:f>'Setup'!$B$3+(C205-1)*7+(D205-1)</x:f>
        <x:v>46267</x:v>
      </x:c>
      <x:c r="B205" s="311" t="str">
        <x:v>4|3|9</x:v>
      </x:c>
      <x:c r="C205" s="311" t="n">
        <x:v>4</x:v>
      </x:c>
      <x:c r="D205" s="311" t="n">
        <x:v>3</x:v>
      </x:c>
      <x:c r="E205" s="311" t="str">
        <x:v>Deload 1</x:v>
      </x:c>
      <x:c r="F205" s="311" t="str">
        <x:v>Push A</x:v>
      </x:c>
      <x:c r="G205" s="311" t="str">
        <x:v>Chest strength + shoulder hypertrophy</x:v>
      </x:c>
      <x:c r="H205" s="311" t="n">
        <x:v>9</x:v>
      </x:c>
      <x:c r="I205" s="311" t="str">
        <x:v>Doorway Pec Stretch</x:v>
      </x:c>
      <x:c r="J205" s="311" t="str">
        <x:v>Mobility</x:v>
      </x:c>
      <x:c r="K205" s="311" t="str">
        <x:v>Chest</x:v>
      </x:c>
      <x:c r="L205" s="311" t="str">
        <x:v>Straight sets, crisp reps only</x:v>
      </x:c>
      <x:c r="M205" s="311"/>
      <x:c r="N205" s="311" t="n">
        <x:v>2</x:v>
      </x:c>
      <x:c r="O205" s="311" t="n">
        <x:v>30</x:v>
      </x:c>
      <x:c r="P205" s="311" t="n">
        <x:v>45</x:v>
      </x:c>
      <x:c r="Q205" s="311"/>
      <x:c r="R205" s="311" t="n">
        <x:v>20</x:v>
      </x:c>
      <x:c r="S205" s="311" t="str">
        <x:v>Hold</x:v>
      </x:c>
      <x:c r="T205" s="330" t="n">
        <x:v>0.9</x:v>
      </x:c>
      <x:c r="U205" s="330" t="n">
        <x:v>0</x:v>
      </x:c>
      <x:c r="V205" s="331" t="str">
        <x:v>seconds</x:v>
      </x:c>
      <x:c r="W205" s="332" t="str">
        <x:f>'Readiness'!K27</x:f>
      </x:c>
      <x:c r="X205" s="314" t="n">
        <x:f>'Readiness'!L27</x:f>
        <x:v>1</x:v>
      </x:c>
      <x:c r="Y205" s="315" t="n">
        <x:f>IF(J205="Mobility",N205,MAX(1,ROUND(N205*X205,0)))</x:f>
        <x:v>2</x:v>
      </x:c>
      <x:c r="Z205" s="333" t="n">
        <x:f>0</x:f>
        <x:v>0</x:v>
      </x:c>
      <x:c r="AA205" s="334"/>
      <x:c r="AB205" s="334"/>
      <x:c r="AC205" s="334"/>
      <x:c r="AD205" s="334"/>
      <x:c r="AE205" s="334"/>
      <x:c r="AF205" s="334"/>
      <x:c r="AG205" s="334"/>
      <x:c r="AH205" s="334"/>
      <x:c r="AI205" s="334"/>
      <x:c r="AJ205" s="312"/>
      <x:c r="AK205" s="312"/>
      <x:c r="AL205" s="312"/>
      <x:c r="AM205" s="312"/>
      <x:c r="AN205" s="312"/>
      <x:c r="AO205" s="315" t="n">
        <x:f>COUNT(AB205,AD205,AF205,AH205,AJ205)</x:f>
        <x:v>0</x:v>
      </x:c>
      <x:c r="AP205" s="315" t="n">
        <x:f>SUM(AB205,AD205,AF205,AH205,AJ205)</x:f>
        <x:v>0</x:v>
      </x:c>
      <x:c r="AQ205" s="333" t="n">
        <x:f>AA205*AB205+AC205*AD205+AE205*AF205+AG205*AH205+AI205*AJ205</x:f>
        <x:v>0</x:v>
      </x:c>
      <x:c r="AR205" s="333" t="n">
        <x:f>IF(OR(J205="Strength",J205="Hypertrophy"),MAX(IF(AB205&gt;0,AA205*(1+AB205/30),0),IF(AD205&gt;0,AC205*(1+AD205/30),0),IF(AF205&gt;0,AE205*(1+AF205/30),0),IF(AH205&gt;0,AG205*(1+AH205/30),0),IF(AJ205&gt;0,AI205*(1+AJ205/30),0)),0)</x:f>
        <x:v>0</x:v>
      </x:c>
      <x:c r="AS205" s="315" t="str">
        <x:f>IF(AN205&lt;&gt;"Yes","Not logged",IF(AL205&gt;='Setup'!$B$14,"STOP / MODIFY",IF(Z205=0,"Complete",IF(OR(AO205=0,AK205=""),"Add set data + RIR",IF(AND(MAX(AB205,AD205,AF205,AH205,AJ205)&gt;=P205,AK205&gt;=Q205+1),"Progress",IF(OR(MAX(AB205,AD205,AF205,AH205,AJ205)&lt;O205,AK205&lt;Q205-1),"Regress","Hold"))))))</x:f>
        <x:v>Not logged</x:v>
      </x:c>
      <x:c r="AT205" s="335" t="n">
        <x:f>IF(OR(Z205=0,AN205&lt;&gt;"Yes",AO205=0,AK205=""),0,IF(AL205&gt;='Setup'!$B$14,-2*'Setup'!$B$11,IF(AND(MAX(AB205,AD205,AF205,AH205,AJ205)&gt;=P205,AK205&gt;=Q205+1),'Setup'!$B$10,IF(OR(MAX(AB205,AD205,AF205,AH205,AJ205)&lt;O205,AK205&lt;Q205-1),-'Setup'!$B$11,0))))</x:f>
        <x:v>0</x:v>
      </x:c>
      <x:c r="AU205" s="333" t="n">
        <x:f>IF(Z205=0,0,IF(AN205&lt;&gt;"Yes",Z205,IF(COUNT(AA205,AC205,AE205,AG205,AI205)=0,Z205,ROUND((MAX(AA205,AC205,AE205,AG205,AI205)*(1+AT205))/'Setup'!$B$9,0)*'Setup'!$B$9)))</x:f>
        <x:v>0</x:v>
      </x:c>
      <x:c r="AV205" s="336"/>
    </x:row>
    <x:row r="206">
      <x:c r="A206" s="310" t="n">
        <x:f>'Setup'!$B$3+(C206-1)*7+(D206-1)</x:f>
        <x:v>46268</x:v>
      </x:c>
      <x:c r="B206" s="311" t="str">
        <x:v>4|4|1</x:v>
      </x:c>
      <x:c r="C206" s="311" t="n">
        <x:v>4</x:v>
      </x:c>
      <x:c r="D206" s="311" t="n">
        <x:v>4</x:v>
      </x:c>
      <x:c r="E206" s="311" t="str">
        <x:v>Deload 1</x:v>
      </x:c>
      <x:c r="F206" s="311" t="str">
        <x:v>Pull B</x:v>
      </x:c>
      <x:c r="G206" s="311" t="str">
        <x:v>Back width + arm volume</x:v>
      </x:c>
      <x:c r="H206" s="311" t="n">
        <x:v>1</x:v>
      </x:c>
      <x:c r="I206" s="311" t="str">
        <x:v>Medicine Ball Slam</x:v>
      </x:c>
      <x:c r="J206" s="311" t="str">
        <x:v>Power</x:v>
      </x:c>
      <x:c r="K206" s="311" t="str">
        <x:v>Back</x:v>
      </x:c>
      <x:c r="L206" s="311" t="str">
        <x:v>Straight sets, crisp reps only</x:v>
      </x:c>
      <x:c r="M206" s="311"/>
      <x:c r="N206" s="311" t="n">
        <x:v>2</x:v>
      </x:c>
      <x:c r="O206" s="311" t="n">
        <x:v>4</x:v>
      </x:c>
      <x:c r="P206" s="311" t="n">
        <x:v>4</x:v>
      </x:c>
      <x:c r="Q206" s="311" t="n">
        <x:v>4</x:v>
      </x:c>
      <x:c r="R206" s="311" t="n">
        <x:v>60</x:v>
      </x:c>
      <x:c r="S206" s="311" t="str">
        <x:v>Explosive</x:v>
      </x:c>
      <x:c r="T206" s="330" t="n">
        <x:v>0.9</x:v>
      </x:c>
      <x:c r="U206" s="330" t="n">
        <x:v>0</x:v>
      </x:c>
      <x:c r="V206" s="331" t="str">
        <x:v>throw quality</x:v>
      </x:c>
      <x:c r="W206" s="332" t="str">
        <x:f>'Readiness'!K28</x:f>
      </x:c>
      <x:c r="X206" s="314" t="n">
        <x:f>'Readiness'!L28</x:f>
        <x:v>1</x:v>
      </x:c>
      <x:c r="Y206" s="315" t="n">
        <x:f>IF(J206="Mobility",N206,MAX(1,ROUND(N206*X206,0)))</x:f>
        <x:v>2</x:v>
      </x:c>
      <x:c r="Z206" s="333" t="n">
        <x:f>0</x:f>
        <x:v>0</x:v>
      </x:c>
      <x:c r="AA206" s="334"/>
      <x:c r="AB206" s="334"/>
      <x:c r="AC206" s="334"/>
      <x:c r="AD206" s="334"/>
      <x:c r="AE206" s="334"/>
      <x:c r="AF206" s="334"/>
      <x:c r="AG206" s="334"/>
      <x:c r="AH206" s="334"/>
      <x:c r="AI206" s="334"/>
      <x:c r="AJ206" s="312"/>
      <x:c r="AK206" s="312"/>
      <x:c r="AL206" s="312"/>
      <x:c r="AM206" s="312"/>
      <x:c r="AN206" s="312"/>
      <x:c r="AO206" s="315" t="n">
        <x:f>COUNT(AB206,AD206,AF206,AH206,AJ206)</x:f>
        <x:v>0</x:v>
      </x:c>
      <x:c r="AP206" s="315" t="n">
        <x:f>SUM(AB206,AD206,AF206,AH206,AJ206)</x:f>
        <x:v>0</x:v>
      </x:c>
      <x:c r="AQ206" s="333" t="n">
        <x:f>AA206*AB206+AC206*AD206+AE206*AF206+AG206*AH206+AI206*AJ206</x:f>
        <x:v>0</x:v>
      </x:c>
      <x:c r="AR206" s="333" t="n">
        <x:f>IF(OR(J206="Strength",J206="Hypertrophy"),MAX(IF(AB206&gt;0,AA206*(1+AB206/30),0),IF(AD206&gt;0,AC206*(1+AD206/30),0),IF(AF206&gt;0,AE206*(1+AF206/30),0),IF(AH206&gt;0,AG206*(1+AH206/30),0),IF(AJ206&gt;0,AI206*(1+AJ206/30),0)),0)</x:f>
        <x:v>0</x:v>
      </x:c>
      <x:c r="AS206" s="315" t="str">
        <x:f>IF(AN206&lt;&gt;"Yes","Not logged",IF(AL206&gt;='Setup'!$B$14,"STOP / MODIFY",IF(Z206=0,"Complete",IF(OR(AO206=0,AK206=""),"Add set data + RIR",IF(AND(MAX(AB206,AD206,AF206,AH206,AJ206)&gt;=P206,AK206&gt;=Q206+1),"Progress",IF(OR(MAX(AB206,AD206,AF206,AH206,AJ206)&lt;O206,AK206&lt;Q206-1),"Regress","Hold"))))))</x:f>
        <x:v>Not logged</x:v>
      </x:c>
      <x:c r="AT206" s="335" t="n">
        <x:f>IF(OR(Z206=0,AN206&lt;&gt;"Yes",AO206=0,AK206=""),0,IF(AL206&gt;='Setup'!$B$14,-2*'Setup'!$B$11,IF(AND(MAX(AB206,AD206,AF206,AH206,AJ206)&gt;=P206,AK206&gt;=Q206+1),'Setup'!$B$10,IF(OR(MAX(AB206,AD206,AF206,AH206,AJ206)&lt;O206,AK206&lt;Q206-1),-'Setup'!$B$11,0))))</x:f>
        <x:v>0</x:v>
      </x:c>
      <x:c r="AU206" s="333" t="n">
        <x:f>IF(Z206=0,0,IF(AN206&lt;&gt;"Yes",Z206,IF(COUNT(AA206,AC206,AE206,AG206,AI206)=0,Z206,ROUND((MAX(AA206,AC206,AE206,AG206,AI206)*(1+AT206))/'Setup'!$B$9,0)*'Setup'!$B$9)))</x:f>
        <x:v>0</x:v>
      </x:c>
      <x:c r="AV206" s="336"/>
    </x:row>
    <x:row r="207">
      <x:c r="A207" s="310" t="n">
        <x:f>'Setup'!$B$3+(C207-1)*7+(D207-1)</x:f>
        <x:v>46268</x:v>
      </x:c>
      <x:c r="B207" s="311" t="str">
        <x:v>4|4|2</x:v>
      </x:c>
      <x:c r="C207" s="311" t="n">
        <x:v>4</x:v>
      </x:c>
      <x:c r="D207" s="311" t="n">
        <x:v>4</x:v>
      </x:c>
      <x:c r="E207" s="311" t="str">
        <x:v>Deload 1</x:v>
      </x:c>
      <x:c r="F207" s="311" t="str">
        <x:v>Pull B</x:v>
      </x:c>
      <x:c r="G207" s="311" t="str">
        <x:v>Back width + arm volume</x:v>
      </x:c>
      <x:c r="H207" s="311" t="n">
        <x:v>2</x:v>
      </x:c>
      <x:c r="I207" s="311" t="str">
        <x:v>Neutral-Grip Lat Pulldown</x:v>
      </x:c>
      <x:c r="J207" s="311" t="str">
        <x:v>Hypertrophy</x:v>
      </x:c>
      <x:c r="K207" s="311" t="str">
        <x:v>Back</x:v>
      </x:c>
      <x:c r="L207" s="311" t="str">
        <x:v>Straight sets, crisp reps only</x:v>
      </x:c>
      <x:c r="M207" s="311"/>
      <x:c r="N207" s="311" t="n">
        <x:v>2</x:v>
      </x:c>
      <x:c r="O207" s="311" t="n">
        <x:v>8</x:v>
      </x:c>
      <x:c r="P207" s="311" t="n">
        <x:v>10</x:v>
      </x:c>
      <x:c r="Q207" s="311" t="n">
        <x:v>4</x:v>
      </x:c>
      <x:c r="R207" s="311" t="n">
        <x:v>90</x:v>
      </x:c>
      <x:c r="S207" s="311" t="str">
        <x:v>2-1-1</x:v>
      </x:c>
      <x:c r="T207" s="330" t="n">
        <x:v>0.9</x:v>
      </x:c>
      <x:c r="U207" s="330" t="n">
        <x:v>0</x:v>
      </x:c>
      <x:c r="V207" s="331" t="str">
        <x:v>load × reps</x:v>
      </x:c>
      <x:c r="W207" s="332" t="str">
        <x:f>'Readiness'!K28</x:f>
      </x:c>
      <x:c r="X207" s="314" t="n">
        <x:f>'Readiness'!L28</x:f>
        <x:v>1</x:v>
      </x:c>
      <x:c r="Y207" s="315" t="n">
        <x:f>IF(J207="Mobility",N207,MAX(1,ROUND(N207*X207,0)))</x:f>
        <x:v>2</x:v>
      </x:c>
      <x:c r="Z207" s="333" t="n">
        <x:f>ROUND((IF(AU151&gt;0,AU151,IF(Z151&gt;0,Z151,'Setup'!$D$65))*T207)/'Setup'!$B$9,0)*'Setup'!$B$9</x:f>
        <x:v>0</x:v>
      </x:c>
      <x:c r="AA207" s="334"/>
      <x:c r="AB207" s="334"/>
      <x:c r="AC207" s="334"/>
      <x:c r="AD207" s="334"/>
      <x:c r="AE207" s="334"/>
      <x:c r="AF207" s="334"/>
      <x:c r="AG207" s="334"/>
      <x:c r="AH207" s="334"/>
      <x:c r="AI207" s="334"/>
      <x:c r="AJ207" s="312"/>
      <x:c r="AK207" s="312"/>
      <x:c r="AL207" s="312"/>
      <x:c r="AM207" s="312"/>
      <x:c r="AN207" s="312"/>
      <x:c r="AO207" s="315" t="n">
        <x:f>COUNT(AB207,AD207,AF207,AH207,AJ207)</x:f>
        <x:v>0</x:v>
      </x:c>
      <x:c r="AP207" s="315" t="n">
        <x:f>SUM(AB207,AD207,AF207,AH207,AJ207)</x:f>
        <x:v>0</x:v>
      </x:c>
      <x:c r="AQ207" s="333" t="n">
        <x:f>AA207*AB207+AC207*AD207+AE207*AF207+AG207*AH207+AI207*AJ207</x:f>
        <x:v>0</x:v>
      </x:c>
      <x:c r="AR207" s="333" t="n">
        <x:f>IF(OR(J207="Strength",J207="Hypertrophy"),MAX(IF(AB207&gt;0,AA207*(1+AB207/30),0),IF(AD207&gt;0,AC207*(1+AD207/30),0),IF(AF207&gt;0,AE207*(1+AF207/30),0),IF(AH207&gt;0,AG207*(1+AH207/30),0),IF(AJ207&gt;0,AI207*(1+AJ207/30),0)),0)</x:f>
        <x:v>0</x:v>
      </x:c>
      <x:c r="AS207" s="315" t="str">
        <x:f>IF(AN207&lt;&gt;"Yes","Not logged",IF(AL207&gt;='Setup'!$B$14,"STOP / MODIFY",IF(Z207=0,"Complete",IF(OR(AO207=0,AK207=""),"Add set data + RIR",IF(AND(MAX(AB207,AD207,AF207,AH207,AJ207)&gt;=P207,AK207&gt;=Q207+1),"Progress",IF(OR(MAX(AB207,AD207,AF207,AH207,AJ207)&lt;O207,AK207&lt;Q207-1),"Regress","Hold"))))))</x:f>
        <x:v>Not logged</x:v>
      </x:c>
      <x:c r="AT207" s="335" t="n">
        <x:f>IF(OR(Z207=0,AN207&lt;&gt;"Yes",AO207=0,AK207=""),0,IF(AL207&gt;='Setup'!$B$14,-2*'Setup'!$B$11,IF(AND(MAX(AB207,AD207,AF207,AH207,AJ207)&gt;=P207,AK207&gt;=Q207+1),'Setup'!$B$10,IF(OR(MAX(AB207,AD207,AF207,AH207,AJ207)&lt;O207,AK207&lt;Q207-1),-'Setup'!$B$11,0))))</x:f>
        <x:v>0</x:v>
      </x:c>
      <x:c r="AU207" s="333" t="n">
        <x:f>IF(Z207=0,0,IF(AN207&lt;&gt;"Yes",Z207,IF(COUNT(AA207,AC207,AE207,AG207,AI207)=0,Z207,ROUND((MAX(AA207,AC207,AE207,AG207,AI207)*(1+AT207))/'Setup'!$B$9,0)*'Setup'!$B$9)))</x:f>
        <x:v>0</x:v>
      </x:c>
      <x:c r="AV207" s="336"/>
    </x:row>
    <x:row r="208">
      <x:c r="A208" s="310" t="n">
        <x:f>'Setup'!$B$3+(C208-1)*7+(D208-1)</x:f>
        <x:v>46268</x:v>
      </x:c>
      <x:c r="B208" s="311" t="str">
        <x:v>4|4|3</x:v>
      </x:c>
      <x:c r="C208" s="311" t="n">
        <x:v>4</x:v>
      </x:c>
      <x:c r="D208" s="311" t="n">
        <x:v>4</x:v>
      </x:c>
      <x:c r="E208" s="311" t="str">
        <x:v>Deload 1</x:v>
      </x:c>
      <x:c r="F208" s="311" t="str">
        <x:v>Pull B</x:v>
      </x:c>
      <x:c r="G208" s="311" t="str">
        <x:v>Back width + arm volume</x:v>
      </x:c>
      <x:c r="H208" s="311" t="n">
        <x:v>3</x:v>
      </x:c>
      <x:c r="I208" s="311" t="str">
        <x:v>One-Arm Cable Row</x:v>
      </x:c>
      <x:c r="J208" s="311" t="str">
        <x:v>Hypertrophy</x:v>
      </x:c>
      <x:c r="K208" s="311" t="str">
        <x:v>Back</x:v>
      </x:c>
      <x:c r="L208" s="311" t="str">
        <x:v>Straight sets, crisp reps only</x:v>
      </x:c>
      <x:c r="M208" s="311"/>
      <x:c r="N208" s="311" t="n">
        <x:v>2</x:v>
      </x:c>
      <x:c r="O208" s="311" t="n">
        <x:v>10</x:v>
      </x:c>
      <x:c r="P208" s="311" t="n">
        <x:v>12</x:v>
      </x:c>
      <x:c r="Q208" s="311" t="n">
        <x:v>4</x:v>
      </x:c>
      <x:c r="R208" s="311" t="n">
        <x:v>75</x:v>
      </x:c>
      <x:c r="S208" s="311" t="str">
        <x:v>2-1-1</x:v>
      </x:c>
      <x:c r="T208" s="330" t="n">
        <x:v>0.9</x:v>
      </x:c>
      <x:c r="U208" s="330" t="n">
        <x:v>0</x:v>
      </x:c>
      <x:c r="V208" s="331" t="str">
        <x:v>load × reps</x:v>
      </x:c>
      <x:c r="W208" s="332" t="str">
        <x:f>'Readiness'!K28</x:f>
      </x:c>
      <x:c r="X208" s="314" t="n">
        <x:f>'Readiness'!L28</x:f>
        <x:v>1</x:v>
      </x:c>
      <x:c r="Y208" s="315" t="n">
        <x:f>IF(J208="Mobility",N208,MAX(1,ROUND(N208*X208,0)))</x:f>
        <x:v>2</x:v>
      </x:c>
      <x:c r="Z208" s="333" t="n">
        <x:f>ROUND((IF(AU152&gt;0,AU152,IF(Z152&gt;0,Z152,'Setup'!$D$67))*T208)/'Setup'!$B$9,0)*'Setup'!$B$9</x:f>
        <x:v>0</x:v>
      </x:c>
      <x:c r="AA208" s="334"/>
      <x:c r="AB208" s="334"/>
      <x:c r="AC208" s="334"/>
      <x:c r="AD208" s="334"/>
      <x:c r="AE208" s="334"/>
      <x:c r="AF208" s="334"/>
      <x:c r="AG208" s="334"/>
      <x:c r="AH208" s="334"/>
      <x:c r="AI208" s="334"/>
      <x:c r="AJ208" s="312"/>
      <x:c r="AK208" s="312"/>
      <x:c r="AL208" s="312"/>
      <x:c r="AM208" s="312"/>
      <x:c r="AN208" s="312"/>
      <x:c r="AO208" s="315" t="n">
        <x:f>COUNT(AB208,AD208,AF208,AH208,AJ208)</x:f>
        <x:v>0</x:v>
      </x:c>
      <x:c r="AP208" s="315" t="n">
        <x:f>SUM(AB208,AD208,AF208,AH208,AJ208)</x:f>
        <x:v>0</x:v>
      </x:c>
      <x:c r="AQ208" s="333" t="n">
        <x:f>AA208*AB208+AC208*AD208+AE208*AF208+AG208*AH208+AI208*AJ208</x:f>
        <x:v>0</x:v>
      </x:c>
      <x:c r="AR208" s="333" t="n">
        <x:f>IF(OR(J208="Strength",J208="Hypertrophy"),MAX(IF(AB208&gt;0,AA208*(1+AB208/30),0),IF(AD208&gt;0,AC208*(1+AD208/30),0),IF(AF208&gt;0,AE208*(1+AF208/30),0),IF(AH208&gt;0,AG208*(1+AH208/30),0),IF(AJ208&gt;0,AI208*(1+AJ208/30),0)),0)</x:f>
        <x:v>0</x:v>
      </x:c>
      <x:c r="AS208" s="315" t="str">
        <x:f>IF(AN208&lt;&gt;"Yes","Not logged",IF(AL208&gt;='Setup'!$B$14,"STOP / MODIFY",IF(Z208=0,"Complete",IF(OR(AO208=0,AK208=""),"Add set data + RIR",IF(AND(MAX(AB208,AD208,AF208,AH208,AJ208)&gt;=P208,AK208&gt;=Q208+1),"Progress",IF(OR(MAX(AB208,AD208,AF208,AH208,AJ208)&lt;O208,AK208&lt;Q208-1),"Regress","Hold"))))))</x:f>
        <x:v>Not logged</x:v>
      </x:c>
      <x:c r="AT208" s="335" t="n">
        <x:f>IF(OR(Z208=0,AN208&lt;&gt;"Yes",AO208=0,AK208=""),0,IF(AL208&gt;='Setup'!$B$14,-2*'Setup'!$B$11,IF(AND(MAX(AB208,AD208,AF208,AH208,AJ208)&gt;=P208,AK208&gt;=Q208+1),'Setup'!$B$10,IF(OR(MAX(AB208,AD208,AF208,AH208,AJ208)&lt;O208,AK208&lt;Q208-1),-'Setup'!$B$11,0))))</x:f>
        <x:v>0</x:v>
      </x:c>
      <x:c r="AU208" s="333" t="n">
        <x:f>IF(Z208=0,0,IF(AN208&lt;&gt;"Yes",Z208,IF(COUNT(AA208,AC208,AE208,AG208,AI208)=0,Z208,ROUND((MAX(AA208,AC208,AE208,AG208,AI208)*(1+AT208))/'Setup'!$B$9,0)*'Setup'!$B$9)))</x:f>
        <x:v>0</x:v>
      </x:c>
      <x:c r="AV208" s="336"/>
    </x:row>
    <x:row r="209">
      <x:c r="A209" s="310" t="n">
        <x:f>'Setup'!$B$3+(C209-1)*7+(D209-1)</x:f>
        <x:v>46268</x:v>
      </x:c>
      <x:c r="B209" s="311" t="str">
        <x:v>4|4|4</x:v>
      </x:c>
      <x:c r="C209" s="311" t="n">
        <x:v>4</x:v>
      </x:c>
      <x:c r="D209" s="311" t="n">
        <x:v>4</x:v>
      </x:c>
      <x:c r="E209" s="311" t="str">
        <x:v>Deload 1</x:v>
      </x:c>
      <x:c r="F209" s="311" t="str">
        <x:v>Pull B</x:v>
      </x:c>
      <x:c r="G209" s="311" t="str">
        <x:v>Back width + arm volume</x:v>
      </x:c>
      <x:c r="H209" s="311" t="n">
        <x:v>4</x:v>
      </x:c>
      <x:c r="I209" s="311" t="str">
        <x:v>Machine High Row</x:v>
      </x:c>
      <x:c r="J209" s="311" t="str">
        <x:v>Hypertrophy</x:v>
      </x:c>
      <x:c r="K209" s="311" t="str">
        <x:v>Back</x:v>
      </x:c>
      <x:c r="L209" s="311" t="str">
        <x:v>Straight sets, crisp reps only</x:v>
      </x:c>
      <x:c r="M209" s="311"/>
      <x:c r="N209" s="311" t="n">
        <x:v>2</x:v>
      </x:c>
      <x:c r="O209" s="311" t="n">
        <x:v>8</x:v>
      </x:c>
      <x:c r="P209" s="311" t="n">
        <x:v>12</x:v>
      </x:c>
      <x:c r="Q209" s="311" t="n">
        <x:v>4</x:v>
      </x:c>
      <x:c r="R209" s="311" t="n">
        <x:v>90</x:v>
      </x:c>
      <x:c r="S209" s="311" t="str">
        <x:v>2-1-1</x:v>
      </x:c>
      <x:c r="T209" s="330" t="n">
        <x:v>0.9</x:v>
      </x:c>
      <x:c r="U209" s="330" t="n">
        <x:v>0</x:v>
      </x:c>
      <x:c r="V209" s="331" t="str">
        <x:v>load × reps</x:v>
      </x:c>
      <x:c r="W209" s="332" t="str">
        <x:f>'Readiness'!K28</x:f>
      </x:c>
      <x:c r="X209" s="314" t="n">
        <x:f>'Readiness'!L28</x:f>
        <x:v>1</x:v>
      </x:c>
      <x:c r="Y209" s="315" t="n">
        <x:f>IF(J209="Mobility",N209,MAX(1,ROUND(N209*X209,0)))</x:f>
        <x:v>2</x:v>
      </x:c>
      <x:c r="Z209" s="333" t="n">
        <x:f>ROUND((IF(AU153&gt;0,AU153,IF(Z153&gt;0,Z153,'Setup'!$D$61))*T209)/'Setup'!$B$9,0)*'Setup'!$B$9</x:f>
        <x:v>0</x:v>
      </x:c>
      <x:c r="AA209" s="334"/>
      <x:c r="AB209" s="334"/>
      <x:c r="AC209" s="334"/>
      <x:c r="AD209" s="334"/>
      <x:c r="AE209" s="334"/>
      <x:c r="AF209" s="334"/>
      <x:c r="AG209" s="334"/>
      <x:c r="AH209" s="334"/>
      <x:c r="AI209" s="334"/>
      <x:c r="AJ209" s="312"/>
      <x:c r="AK209" s="312"/>
      <x:c r="AL209" s="312"/>
      <x:c r="AM209" s="312"/>
      <x:c r="AN209" s="312"/>
      <x:c r="AO209" s="315" t="n">
        <x:f>COUNT(AB209,AD209,AF209,AH209,AJ209)</x:f>
        <x:v>0</x:v>
      </x:c>
      <x:c r="AP209" s="315" t="n">
        <x:f>SUM(AB209,AD209,AF209,AH209,AJ209)</x:f>
        <x:v>0</x:v>
      </x:c>
      <x:c r="AQ209" s="333" t="n">
        <x:f>AA209*AB209+AC209*AD209+AE209*AF209+AG209*AH209+AI209*AJ209</x:f>
        <x:v>0</x:v>
      </x:c>
      <x:c r="AR209" s="333" t="n">
        <x:f>IF(OR(J209="Strength",J209="Hypertrophy"),MAX(IF(AB209&gt;0,AA209*(1+AB209/30),0),IF(AD209&gt;0,AC209*(1+AD209/30),0),IF(AF209&gt;0,AE209*(1+AF209/30),0),IF(AH209&gt;0,AG209*(1+AH209/30),0),IF(AJ209&gt;0,AI209*(1+AJ209/30),0)),0)</x:f>
        <x:v>0</x:v>
      </x:c>
      <x:c r="AS209" s="315" t="str">
        <x:f>IF(AN209&lt;&gt;"Yes","Not logged",IF(AL209&gt;='Setup'!$B$14,"STOP / MODIFY",IF(Z209=0,"Complete",IF(OR(AO209=0,AK209=""),"Add set data + RIR",IF(AND(MAX(AB209,AD209,AF209,AH209,AJ209)&gt;=P209,AK209&gt;=Q209+1),"Progress",IF(OR(MAX(AB209,AD209,AF209,AH209,AJ209)&lt;O209,AK209&lt;Q209-1),"Regress","Hold"))))))</x:f>
        <x:v>Not logged</x:v>
      </x:c>
      <x:c r="AT209" s="335" t="n">
        <x:f>IF(OR(Z209=0,AN209&lt;&gt;"Yes",AO209=0,AK209=""),0,IF(AL209&gt;='Setup'!$B$14,-2*'Setup'!$B$11,IF(AND(MAX(AB209,AD209,AF209,AH209,AJ209)&gt;=P209,AK209&gt;=Q209+1),'Setup'!$B$10,IF(OR(MAX(AB209,AD209,AF209,AH209,AJ209)&lt;O209,AK209&lt;Q209-1),-'Setup'!$B$11,0))))</x:f>
        <x:v>0</x:v>
      </x:c>
      <x:c r="AU209" s="333" t="n">
        <x:f>IF(Z209=0,0,IF(AN209&lt;&gt;"Yes",Z209,IF(COUNT(AA209,AC209,AE209,AG209,AI209)=0,Z209,ROUND((MAX(AA209,AC209,AE209,AG209,AI209)*(1+AT209))/'Setup'!$B$9,0)*'Setup'!$B$9)))</x:f>
        <x:v>0</x:v>
      </x:c>
      <x:c r="AV209" s="336"/>
    </x:row>
    <x:row r="210">
      <x:c r="A210" s="310" t="n">
        <x:f>'Setup'!$B$3+(C210-1)*7+(D210-1)</x:f>
        <x:v>46268</x:v>
      </x:c>
      <x:c r="B210" s="311" t="str">
        <x:v>4|4|5</x:v>
      </x:c>
      <x:c r="C210" s="311" t="n">
        <x:v>4</x:v>
      </x:c>
      <x:c r="D210" s="311" t="n">
        <x:v>4</x:v>
      </x:c>
      <x:c r="E210" s="311" t="str">
        <x:v>Deload 1</x:v>
      </x:c>
      <x:c r="F210" s="311" t="str">
        <x:v>Pull B</x:v>
      </x:c>
      <x:c r="G210" s="311" t="str">
        <x:v>Back width + arm volume</x:v>
      </x:c>
      <x:c r="H210" s="311" t="n">
        <x:v>5</x:v>
      </x:c>
      <x:c r="I210" s="311" t="str">
        <x:v>Straight-Arm Pulldown</x:v>
      </x:c>
      <x:c r="J210" s="311" t="str">
        <x:v>Hypertrophy</x:v>
      </x:c>
      <x:c r="K210" s="311" t="str">
        <x:v>Back</x:v>
      </x:c>
      <x:c r="L210" s="311" t="str">
        <x:v>Straight sets, crisp reps only</x:v>
      </x:c>
      <x:c r="M210" s="311"/>
      <x:c r="N210" s="311" t="n">
        <x:v>2</x:v>
      </x:c>
      <x:c r="O210" s="311" t="n">
        <x:v>12</x:v>
      </x:c>
      <x:c r="P210" s="311" t="n">
        <x:v>15</x:v>
      </x:c>
      <x:c r="Q210" s="311" t="n">
        <x:v>4</x:v>
      </x:c>
      <x:c r="R210" s="311" t="n">
        <x:v>60</x:v>
      </x:c>
      <x:c r="S210" s="311" t="str">
        <x:v>3-1-1</x:v>
      </x:c>
      <x:c r="T210" s="330" t="n">
        <x:v>0.9</x:v>
      </x:c>
      <x:c r="U210" s="330" t="n">
        <x:v>0</x:v>
      </x:c>
      <x:c r="V210" s="331" t="str">
        <x:v>load × reps</x:v>
      </x:c>
      <x:c r="W210" s="332" t="str">
        <x:f>'Readiness'!K28</x:f>
      </x:c>
      <x:c r="X210" s="314" t="n">
        <x:f>'Readiness'!L28</x:f>
        <x:v>1</x:v>
      </x:c>
      <x:c r="Y210" s="315" t="n">
        <x:f>IF(J210="Mobility",N210,MAX(1,ROUND(N210*X210,0)))</x:f>
        <x:v>2</x:v>
      </x:c>
      <x:c r="Z210" s="333" t="n">
        <x:f>ROUND((IF(AU154&gt;0,AU154,IF(Z154&gt;0,Z154,'Setup'!$D$91))*T210)/'Setup'!$B$9,0)*'Setup'!$B$9</x:f>
        <x:v>0</x:v>
      </x:c>
      <x:c r="AA210" s="334"/>
      <x:c r="AB210" s="334"/>
      <x:c r="AC210" s="334"/>
      <x:c r="AD210" s="334"/>
      <x:c r="AE210" s="334"/>
      <x:c r="AF210" s="334"/>
      <x:c r="AG210" s="334"/>
      <x:c r="AH210" s="334"/>
      <x:c r="AI210" s="334"/>
      <x:c r="AJ210" s="312"/>
      <x:c r="AK210" s="312"/>
      <x:c r="AL210" s="312"/>
      <x:c r="AM210" s="312"/>
      <x:c r="AN210" s="312"/>
      <x:c r="AO210" s="315" t="n">
        <x:f>COUNT(AB210,AD210,AF210,AH210,AJ210)</x:f>
        <x:v>0</x:v>
      </x:c>
      <x:c r="AP210" s="315" t="n">
        <x:f>SUM(AB210,AD210,AF210,AH210,AJ210)</x:f>
        <x:v>0</x:v>
      </x:c>
      <x:c r="AQ210" s="333" t="n">
        <x:f>AA210*AB210+AC210*AD210+AE210*AF210+AG210*AH210+AI210*AJ210</x:f>
        <x:v>0</x:v>
      </x:c>
      <x:c r="AR210" s="333" t="n">
        <x:f>IF(OR(J210="Strength",J210="Hypertrophy"),MAX(IF(AB210&gt;0,AA210*(1+AB210/30),0),IF(AD210&gt;0,AC210*(1+AD210/30),0),IF(AF210&gt;0,AE210*(1+AF210/30),0),IF(AH210&gt;0,AG210*(1+AH210/30),0),IF(AJ210&gt;0,AI210*(1+AJ210/30),0)),0)</x:f>
        <x:v>0</x:v>
      </x:c>
      <x:c r="AS210" s="315" t="str">
        <x:f>IF(AN210&lt;&gt;"Yes","Not logged",IF(AL210&gt;='Setup'!$B$14,"STOP / MODIFY",IF(Z210=0,"Complete",IF(OR(AO210=0,AK210=""),"Add set data + RIR",IF(AND(MAX(AB210,AD210,AF210,AH210,AJ210)&gt;=P210,AK210&gt;=Q210+1),"Progress",IF(OR(MAX(AB210,AD210,AF210,AH210,AJ210)&lt;O210,AK210&lt;Q210-1),"Regress","Hold"))))))</x:f>
        <x:v>Not logged</x:v>
      </x:c>
      <x:c r="AT210" s="335" t="n">
        <x:f>IF(OR(Z210=0,AN210&lt;&gt;"Yes",AO210=0,AK210=""),0,IF(AL210&gt;='Setup'!$B$14,-2*'Setup'!$B$11,IF(AND(MAX(AB210,AD210,AF210,AH210,AJ210)&gt;=P210,AK210&gt;=Q210+1),'Setup'!$B$10,IF(OR(MAX(AB210,AD210,AF210,AH210,AJ210)&lt;O210,AK210&lt;Q210-1),-'Setup'!$B$11,0))))</x:f>
        <x:v>0</x:v>
      </x:c>
      <x:c r="AU210" s="333" t="n">
        <x:f>IF(Z210=0,0,IF(AN210&lt;&gt;"Yes",Z210,IF(COUNT(AA210,AC210,AE210,AG210,AI210)=0,Z210,ROUND((MAX(AA210,AC210,AE210,AG210,AI210)*(1+AT210))/'Setup'!$B$9,0)*'Setup'!$B$9)))</x:f>
        <x:v>0</x:v>
      </x:c>
      <x:c r="AV210" s="336"/>
    </x:row>
    <x:row r="211">
      <x:c r="A211" s="310" t="n">
        <x:f>'Setup'!$B$3+(C211-1)*7+(D211-1)</x:f>
        <x:v>46268</x:v>
      </x:c>
      <x:c r="B211" s="311" t="str">
        <x:v>4|4|6</x:v>
      </x:c>
      <x:c r="C211" s="311" t="n">
        <x:v>4</x:v>
      </x:c>
      <x:c r="D211" s="311" t="n">
        <x:v>4</x:v>
      </x:c>
      <x:c r="E211" s="311" t="str">
        <x:v>Deload 1</x:v>
      </x:c>
      <x:c r="F211" s="311" t="str">
        <x:v>Pull B</x:v>
      </x:c>
      <x:c r="G211" s="311" t="str">
        <x:v>Back width + arm volume</x:v>
      </x:c>
      <x:c r="H211" s="311" t="n">
        <x:v>6</x:v>
      </x:c>
      <x:c r="I211" s="311" t="str">
        <x:v>Face Pull</x:v>
      </x:c>
      <x:c r="J211" s="311" t="str">
        <x:v>Hypertrophy</x:v>
      </x:c>
      <x:c r="K211" s="311" t="str">
        <x:v>Rear Delts</x:v>
      </x:c>
      <x:c r="L211" s="311" t="str">
        <x:v>Straight sets, crisp reps only</x:v>
      </x:c>
      <x:c r="M211" s="311" t="str">
        <x:v>A1</x:v>
      </x:c>
      <x:c r="N211" s="311" t="n">
        <x:v>2</x:v>
      </x:c>
      <x:c r="O211" s="311" t="n">
        <x:v>12</x:v>
      </x:c>
      <x:c r="P211" s="311" t="n">
        <x:v>20</x:v>
      </x:c>
      <x:c r="Q211" s="311" t="n">
        <x:v>4</x:v>
      </x:c>
      <x:c r="R211" s="311" t="n">
        <x:v>30</x:v>
      </x:c>
      <x:c r="S211" s="311" t="str">
        <x:v>2-1-2</x:v>
      </x:c>
      <x:c r="T211" s="330" t="n">
        <x:v>0.9</x:v>
      </x:c>
      <x:c r="U211" s="330" t="n">
        <x:v>0</x:v>
      </x:c>
      <x:c r="V211" s="331" t="str">
        <x:v>load × reps</x:v>
      </x:c>
      <x:c r="W211" s="332" t="str">
        <x:f>'Readiness'!K28</x:f>
      </x:c>
      <x:c r="X211" s="314" t="n">
        <x:f>'Readiness'!L28</x:f>
        <x:v>1</x:v>
      </x:c>
      <x:c r="Y211" s="315" t="n">
        <x:f>IF(J211="Mobility",N211,MAX(1,ROUND(N211*X211,0)))</x:f>
        <x:v>2</x:v>
      </x:c>
      <x:c r="Z211" s="333" t="n">
        <x:f>ROUND((IF(AU155&gt;0,AU155,IF(Z155&gt;0,Z155,'Setup'!$D$41))*T211)/'Setup'!$B$9,0)*'Setup'!$B$9</x:f>
        <x:v>0</x:v>
      </x:c>
      <x:c r="AA211" s="334"/>
      <x:c r="AB211" s="334"/>
      <x:c r="AC211" s="334"/>
      <x:c r="AD211" s="334"/>
      <x:c r="AE211" s="334"/>
      <x:c r="AF211" s="334"/>
      <x:c r="AG211" s="334"/>
      <x:c r="AH211" s="334"/>
      <x:c r="AI211" s="334"/>
      <x:c r="AJ211" s="312"/>
      <x:c r="AK211" s="312"/>
      <x:c r="AL211" s="312"/>
      <x:c r="AM211" s="312"/>
      <x:c r="AN211" s="312"/>
      <x:c r="AO211" s="315" t="n">
        <x:f>COUNT(AB211,AD211,AF211,AH211,AJ211)</x:f>
        <x:v>0</x:v>
      </x:c>
      <x:c r="AP211" s="315" t="n">
        <x:f>SUM(AB211,AD211,AF211,AH211,AJ211)</x:f>
        <x:v>0</x:v>
      </x:c>
      <x:c r="AQ211" s="333" t="n">
        <x:f>AA211*AB211+AC211*AD211+AE211*AF211+AG211*AH211+AI211*AJ211</x:f>
        <x:v>0</x:v>
      </x:c>
      <x:c r="AR211" s="333" t="n">
        <x:f>IF(OR(J211="Strength",J211="Hypertrophy"),MAX(IF(AB211&gt;0,AA211*(1+AB211/30),0),IF(AD211&gt;0,AC211*(1+AD211/30),0),IF(AF211&gt;0,AE211*(1+AF211/30),0),IF(AH211&gt;0,AG211*(1+AH211/30),0),IF(AJ211&gt;0,AI211*(1+AJ211/30),0)),0)</x:f>
        <x:v>0</x:v>
      </x:c>
      <x:c r="AS211" s="315" t="str">
        <x:f>IF(AN211&lt;&gt;"Yes","Not logged",IF(AL211&gt;='Setup'!$B$14,"STOP / MODIFY",IF(Z211=0,"Complete",IF(OR(AO211=0,AK211=""),"Add set data + RIR",IF(AND(MAX(AB211,AD211,AF211,AH211,AJ211)&gt;=P211,AK211&gt;=Q211+1),"Progress",IF(OR(MAX(AB211,AD211,AF211,AH211,AJ211)&lt;O211,AK211&lt;Q211-1),"Regress","Hold"))))))</x:f>
        <x:v>Not logged</x:v>
      </x:c>
      <x:c r="AT211" s="335" t="n">
        <x:f>IF(OR(Z211=0,AN211&lt;&gt;"Yes",AO211=0,AK211=""),0,IF(AL211&gt;='Setup'!$B$14,-2*'Setup'!$B$11,IF(AND(MAX(AB211,AD211,AF211,AH211,AJ211)&gt;=P211,AK211&gt;=Q211+1),'Setup'!$B$10,IF(OR(MAX(AB211,AD211,AF211,AH211,AJ211)&lt;O211,AK211&lt;Q211-1),-'Setup'!$B$11,0))))</x:f>
        <x:v>0</x:v>
      </x:c>
      <x:c r="AU211" s="333" t="n">
        <x:f>IF(Z211=0,0,IF(AN211&lt;&gt;"Yes",Z211,IF(COUNT(AA211,AC211,AE211,AG211,AI211)=0,Z211,ROUND((MAX(AA211,AC211,AE211,AG211,AI211)*(1+AT211))/'Setup'!$B$9,0)*'Setup'!$B$9)))</x:f>
        <x:v>0</x:v>
      </x:c>
      <x:c r="AV211" s="336"/>
    </x:row>
    <x:row r="212">
      <x:c r="A212" s="310" t="n">
        <x:f>'Setup'!$B$3+(C212-1)*7+(D212-1)</x:f>
        <x:v>46268</x:v>
      </x:c>
      <x:c r="B212" s="311" t="str">
        <x:v>4|4|7</x:v>
      </x:c>
      <x:c r="C212" s="311" t="n">
        <x:v>4</x:v>
      </x:c>
      <x:c r="D212" s="311" t="n">
        <x:v>4</x:v>
      </x:c>
      <x:c r="E212" s="311" t="str">
        <x:v>Deload 1</x:v>
      </x:c>
      <x:c r="F212" s="311" t="str">
        <x:v>Pull B</x:v>
      </x:c>
      <x:c r="G212" s="311" t="str">
        <x:v>Back width + arm volume</x:v>
      </x:c>
      <x:c r="H212" s="311" t="n">
        <x:v>7</x:v>
      </x:c>
      <x:c r="I212" s="311" t="str">
        <x:v>Hammer Curl</x:v>
      </x:c>
      <x:c r="J212" s="311" t="str">
        <x:v>Hypertrophy</x:v>
      </x:c>
      <x:c r="K212" s="311" t="str">
        <x:v>Biceps</x:v>
      </x:c>
      <x:c r="L212" s="311" t="str">
        <x:v>Straight sets, crisp reps only</x:v>
      </x:c>
      <x:c r="M212" s="311" t="str">
        <x:v>A2</x:v>
      </x:c>
      <x:c r="N212" s="311" t="n">
        <x:v>2</x:v>
      </x:c>
      <x:c r="O212" s="311" t="n">
        <x:v>10</x:v>
      </x:c>
      <x:c r="P212" s="311" t="n">
        <x:v>15</x:v>
      </x:c>
      <x:c r="Q212" s="311" t="n">
        <x:v>4</x:v>
      </x:c>
      <x:c r="R212" s="311" t="n">
        <x:v>45</x:v>
      </x:c>
      <x:c r="S212" s="311" t="str">
        <x:v>2-0-1</x:v>
      </x:c>
      <x:c r="T212" s="330" t="n">
        <x:v>0.9</x:v>
      </x:c>
      <x:c r="U212" s="330" t="n">
        <x:v>0</x:v>
      </x:c>
      <x:c r="V212" s="331" t="str">
        <x:v>load × reps</x:v>
      </x:c>
      <x:c r="W212" s="332" t="str">
        <x:f>'Readiness'!K28</x:f>
      </x:c>
      <x:c r="X212" s="314" t="n">
        <x:f>'Readiness'!L28</x:f>
        <x:v>1</x:v>
      </x:c>
      <x:c r="Y212" s="315" t="n">
        <x:f>IF(J212="Mobility",N212,MAX(1,ROUND(N212*X212,0)))</x:f>
        <x:v>2</x:v>
      </x:c>
      <x:c r="Z212" s="333" t="n">
        <x:f>ROUND((IF(AU156&gt;0,AU156,IF(Z156&gt;0,Z156,'Setup'!$D$48))*T212)/'Setup'!$B$9,0)*'Setup'!$B$9</x:f>
        <x:v>0</x:v>
      </x:c>
      <x:c r="AA212" s="334"/>
      <x:c r="AB212" s="334"/>
      <x:c r="AC212" s="334"/>
      <x:c r="AD212" s="334"/>
      <x:c r="AE212" s="334"/>
      <x:c r="AF212" s="334"/>
      <x:c r="AG212" s="334"/>
      <x:c r="AH212" s="334"/>
      <x:c r="AI212" s="334"/>
      <x:c r="AJ212" s="312"/>
      <x:c r="AK212" s="312"/>
      <x:c r="AL212" s="312"/>
      <x:c r="AM212" s="312"/>
      <x:c r="AN212" s="312"/>
      <x:c r="AO212" s="315" t="n">
        <x:f>COUNT(AB212,AD212,AF212,AH212,AJ212)</x:f>
        <x:v>0</x:v>
      </x:c>
      <x:c r="AP212" s="315" t="n">
        <x:f>SUM(AB212,AD212,AF212,AH212,AJ212)</x:f>
        <x:v>0</x:v>
      </x:c>
      <x:c r="AQ212" s="333" t="n">
        <x:f>AA212*AB212+AC212*AD212+AE212*AF212+AG212*AH212+AI212*AJ212</x:f>
        <x:v>0</x:v>
      </x:c>
      <x:c r="AR212" s="333" t="n">
        <x:f>IF(OR(J212="Strength",J212="Hypertrophy"),MAX(IF(AB212&gt;0,AA212*(1+AB212/30),0),IF(AD212&gt;0,AC212*(1+AD212/30),0),IF(AF212&gt;0,AE212*(1+AF212/30),0),IF(AH212&gt;0,AG212*(1+AH212/30),0),IF(AJ212&gt;0,AI212*(1+AJ212/30),0)),0)</x:f>
        <x:v>0</x:v>
      </x:c>
      <x:c r="AS212" s="315" t="str">
        <x:f>IF(AN212&lt;&gt;"Yes","Not logged",IF(AL212&gt;='Setup'!$B$14,"STOP / MODIFY",IF(Z212=0,"Complete",IF(OR(AO212=0,AK212=""),"Add set data + RIR",IF(AND(MAX(AB212,AD212,AF212,AH212,AJ212)&gt;=P212,AK212&gt;=Q212+1),"Progress",IF(OR(MAX(AB212,AD212,AF212,AH212,AJ212)&lt;O212,AK212&lt;Q212-1),"Regress","Hold"))))))</x:f>
        <x:v>Not logged</x:v>
      </x:c>
      <x:c r="AT212" s="335" t="n">
        <x:f>IF(OR(Z212=0,AN212&lt;&gt;"Yes",AO212=0,AK212=""),0,IF(AL212&gt;='Setup'!$B$14,-2*'Setup'!$B$11,IF(AND(MAX(AB212,AD212,AF212,AH212,AJ212)&gt;=P212,AK212&gt;=Q212+1),'Setup'!$B$10,IF(OR(MAX(AB212,AD212,AF212,AH212,AJ212)&lt;O212,AK212&lt;Q212-1),-'Setup'!$B$11,0))))</x:f>
        <x:v>0</x:v>
      </x:c>
      <x:c r="AU212" s="333" t="n">
        <x:f>IF(Z212=0,0,IF(AN212&lt;&gt;"Yes",Z212,IF(COUNT(AA212,AC212,AE212,AG212,AI212)=0,Z212,ROUND((MAX(AA212,AC212,AE212,AG212,AI212)*(1+AT212))/'Setup'!$B$9,0)*'Setup'!$B$9)))</x:f>
        <x:v>0</x:v>
      </x:c>
      <x:c r="AV212" s="336"/>
    </x:row>
    <x:row r="213">
      <x:c r="A213" s="310" t="n">
        <x:f>'Setup'!$B$3+(C213-1)*7+(D213-1)</x:f>
        <x:v>46268</x:v>
      </x:c>
      <x:c r="B213" s="311" t="str">
        <x:v>4|4|8</x:v>
      </x:c>
      <x:c r="C213" s="311" t="n">
        <x:v>4</x:v>
      </x:c>
      <x:c r="D213" s="311" t="n">
        <x:v>4</x:v>
      </x:c>
      <x:c r="E213" s="311" t="str">
        <x:v>Deload 1</x:v>
      </x:c>
      <x:c r="F213" s="311" t="str">
        <x:v>Pull B</x:v>
      </x:c>
      <x:c r="G213" s="311" t="str">
        <x:v>Back width + arm volume</x:v>
      </x:c>
      <x:c r="H213" s="311" t="n">
        <x:v>8</x:v>
      </x:c>
      <x:c r="I213" s="311" t="str">
        <x:v>RowErg Sprint Intervals</x:v>
      </x:c>
      <x:c r="J213" s="311" t="str">
        <x:v>Athletic</x:v>
      </x:c>
      <x:c r="K213" s="311" t="str">
        <x:v>Full Body</x:v>
      </x:c>
      <x:c r="L213" s="311" t="str">
        <x:v>Straight sets, crisp reps only</x:v>
      </x:c>
      <x:c r="M213" s="311"/>
      <x:c r="N213" s="311" t="n">
        <x:v>3</x:v>
      </x:c>
      <x:c r="O213" s="311" t="n">
        <x:v>20</x:v>
      </x:c>
      <x:c r="P213" s="311" t="n">
        <x:v>20</x:v>
      </x:c>
      <x:c r="Q213" s="311" t="n">
        <x:v>4</x:v>
      </x:c>
      <x:c r="R213" s="311" t="n">
        <x:v>70</x:v>
      </x:c>
      <x:c r="S213" s="311" t="str">
        <x:v>Powerful</x:v>
      </x:c>
      <x:c r="T213" s="330" t="n">
        <x:v>0.9</x:v>
      </x:c>
      <x:c r="U213" s="330" t="n">
        <x:v>0</x:v>
      </x:c>
      <x:c r="V213" s="331" t="str">
        <x:v>watts / meters</x:v>
      </x:c>
      <x:c r="W213" s="332" t="str">
        <x:f>'Readiness'!K28</x:f>
      </x:c>
      <x:c r="X213" s="314" t="n">
        <x:f>'Readiness'!L28</x:f>
        <x:v>1</x:v>
      </x:c>
      <x:c r="Y213" s="315" t="n">
        <x:f>IF(J213="Mobility",N213,MAX(1,ROUND(N213*X213,0)))</x:f>
        <x:v>3</x:v>
      </x:c>
      <x:c r="Z213" s="333" t="n">
        <x:f>0</x:f>
        <x:v>0</x:v>
      </x:c>
      <x:c r="AA213" s="334"/>
      <x:c r="AB213" s="334"/>
      <x:c r="AC213" s="334"/>
      <x:c r="AD213" s="334"/>
      <x:c r="AE213" s="334"/>
      <x:c r="AF213" s="334"/>
      <x:c r="AG213" s="334"/>
      <x:c r="AH213" s="334"/>
      <x:c r="AI213" s="334"/>
      <x:c r="AJ213" s="312"/>
      <x:c r="AK213" s="312"/>
      <x:c r="AL213" s="312"/>
      <x:c r="AM213" s="312"/>
      <x:c r="AN213" s="312"/>
      <x:c r="AO213" s="315" t="n">
        <x:f>COUNT(AB213,AD213,AF213,AH213,AJ213)</x:f>
        <x:v>0</x:v>
      </x:c>
      <x:c r="AP213" s="315" t="n">
        <x:f>SUM(AB213,AD213,AF213,AH213,AJ213)</x:f>
        <x:v>0</x:v>
      </x:c>
      <x:c r="AQ213" s="333" t="n">
        <x:f>AA213*AB213+AC213*AD213+AE213*AF213+AG213*AH213+AI213*AJ213</x:f>
        <x:v>0</x:v>
      </x:c>
      <x:c r="AR213" s="333" t="n">
        <x:f>IF(OR(J213="Strength",J213="Hypertrophy"),MAX(IF(AB213&gt;0,AA213*(1+AB213/30),0),IF(AD213&gt;0,AC213*(1+AD213/30),0),IF(AF213&gt;0,AE213*(1+AF213/30),0),IF(AH213&gt;0,AG213*(1+AH213/30),0),IF(AJ213&gt;0,AI213*(1+AJ213/30),0)),0)</x:f>
        <x:v>0</x:v>
      </x:c>
      <x:c r="AS213" s="315" t="str">
        <x:f>IF(AN213&lt;&gt;"Yes","Not logged",IF(AL213&gt;='Setup'!$B$14,"STOP / MODIFY",IF(Z213=0,"Complete",IF(OR(AO213=0,AK213=""),"Add set data + RIR",IF(AND(MAX(AB213,AD213,AF213,AH213,AJ213)&gt;=P213,AK213&gt;=Q213+1),"Progress",IF(OR(MAX(AB213,AD213,AF213,AH213,AJ213)&lt;O213,AK213&lt;Q213-1),"Regress","Hold"))))))</x:f>
        <x:v>Not logged</x:v>
      </x:c>
      <x:c r="AT213" s="335" t="n">
        <x:f>IF(OR(Z213=0,AN213&lt;&gt;"Yes",AO213=0,AK213=""),0,IF(AL213&gt;='Setup'!$B$14,-2*'Setup'!$B$11,IF(AND(MAX(AB213,AD213,AF213,AH213,AJ213)&gt;=P213,AK213&gt;=Q213+1),'Setup'!$B$10,IF(OR(MAX(AB213,AD213,AF213,AH213,AJ213)&lt;O213,AK213&lt;Q213-1),-'Setup'!$B$11,0))))</x:f>
        <x:v>0</x:v>
      </x:c>
      <x:c r="AU213" s="333" t="n">
        <x:f>IF(Z213=0,0,IF(AN213&lt;&gt;"Yes",Z213,IF(COUNT(AA213,AC213,AE213,AG213,AI213)=0,Z213,ROUND((MAX(AA213,AC213,AE213,AG213,AI213)*(1+AT213))/'Setup'!$B$9,0)*'Setup'!$B$9)))</x:f>
        <x:v>0</x:v>
      </x:c>
      <x:c r="AV213" s="336"/>
    </x:row>
    <x:row r="214">
      <x:c r="A214" s="310" t="n">
        <x:f>'Setup'!$B$3+(C214-1)*7+(D214-1)</x:f>
        <x:v>46268</x:v>
      </x:c>
      <x:c r="B214" s="311" t="str">
        <x:v>4|4|9</x:v>
      </x:c>
      <x:c r="C214" s="311" t="n">
        <x:v>4</x:v>
      </x:c>
      <x:c r="D214" s="311" t="n">
        <x:v>4</x:v>
      </x:c>
      <x:c r="E214" s="311" t="str">
        <x:v>Deload 1</x:v>
      </x:c>
      <x:c r="F214" s="311" t="str">
        <x:v>Pull B</x:v>
      </x:c>
      <x:c r="G214" s="311" t="str">
        <x:v>Back width + arm volume</x:v>
      </x:c>
      <x:c r="H214" s="311" t="n">
        <x:v>9</x:v>
      </x:c>
      <x:c r="I214" s="311" t="str">
        <x:v>Scapular Pull-Up</x:v>
      </x:c>
      <x:c r="J214" s="311" t="str">
        <x:v>Mobility</x:v>
      </x:c>
      <x:c r="K214" s="311" t="str">
        <x:v>Shoulders</x:v>
      </x:c>
      <x:c r="L214" s="311" t="str">
        <x:v>Straight sets, crisp reps only</x:v>
      </x:c>
      <x:c r="M214" s="311"/>
      <x:c r="N214" s="311" t="n">
        <x:v>2</x:v>
      </x:c>
      <x:c r="O214" s="311" t="n">
        <x:v>6</x:v>
      </x:c>
      <x:c r="P214" s="311" t="n">
        <x:v>10</x:v>
      </x:c>
      <x:c r="Q214" s="311"/>
      <x:c r="R214" s="311" t="n">
        <x:v>30</x:v>
      </x:c>
      <x:c r="S214" s="311" t="str">
        <x:v>Slow</x:v>
      </x:c>
      <x:c r="T214" s="330" t="n">
        <x:v>0.9</x:v>
      </x:c>
      <x:c r="U214" s="330" t="n">
        <x:v>0</x:v>
      </x:c>
      <x:c r="V214" s="331" t="str">
        <x:v>reps</x:v>
      </x:c>
      <x:c r="W214" s="332" t="str">
        <x:f>'Readiness'!K28</x:f>
      </x:c>
      <x:c r="X214" s="314" t="n">
        <x:f>'Readiness'!L28</x:f>
        <x:v>1</x:v>
      </x:c>
      <x:c r="Y214" s="315" t="n">
        <x:f>IF(J214="Mobility",N214,MAX(1,ROUND(N214*X214,0)))</x:f>
        <x:v>2</x:v>
      </x:c>
      <x:c r="Z214" s="333" t="n">
        <x:f>0</x:f>
        <x:v>0</x:v>
      </x:c>
      <x:c r="AA214" s="334"/>
      <x:c r="AB214" s="334"/>
      <x:c r="AC214" s="334"/>
      <x:c r="AD214" s="334"/>
      <x:c r="AE214" s="334"/>
      <x:c r="AF214" s="334"/>
      <x:c r="AG214" s="334"/>
      <x:c r="AH214" s="334"/>
      <x:c r="AI214" s="334"/>
      <x:c r="AJ214" s="312"/>
      <x:c r="AK214" s="312"/>
      <x:c r="AL214" s="312"/>
      <x:c r="AM214" s="312"/>
      <x:c r="AN214" s="312"/>
      <x:c r="AO214" s="315" t="n">
        <x:f>COUNT(AB214,AD214,AF214,AH214,AJ214)</x:f>
        <x:v>0</x:v>
      </x:c>
      <x:c r="AP214" s="315" t="n">
        <x:f>SUM(AB214,AD214,AF214,AH214,AJ214)</x:f>
        <x:v>0</x:v>
      </x:c>
      <x:c r="AQ214" s="333" t="n">
        <x:f>AA214*AB214+AC214*AD214+AE214*AF214+AG214*AH214+AI214*AJ214</x:f>
        <x:v>0</x:v>
      </x:c>
      <x:c r="AR214" s="333" t="n">
        <x:f>IF(OR(J214="Strength",J214="Hypertrophy"),MAX(IF(AB214&gt;0,AA214*(1+AB214/30),0),IF(AD214&gt;0,AC214*(1+AD214/30),0),IF(AF214&gt;0,AE214*(1+AF214/30),0),IF(AH214&gt;0,AG214*(1+AH214/30),0),IF(AJ214&gt;0,AI214*(1+AJ214/30),0)),0)</x:f>
        <x:v>0</x:v>
      </x:c>
      <x:c r="AS214" s="315" t="str">
        <x:f>IF(AN214&lt;&gt;"Yes","Not logged",IF(AL214&gt;='Setup'!$B$14,"STOP / MODIFY",IF(Z214=0,"Complete",IF(OR(AO214=0,AK214=""),"Add set data + RIR",IF(AND(MAX(AB214,AD214,AF214,AH214,AJ214)&gt;=P214,AK214&gt;=Q214+1),"Progress",IF(OR(MAX(AB214,AD214,AF214,AH214,AJ214)&lt;O214,AK214&lt;Q214-1),"Regress","Hold"))))))</x:f>
        <x:v>Not logged</x:v>
      </x:c>
      <x:c r="AT214" s="335" t="n">
        <x:f>IF(OR(Z214=0,AN214&lt;&gt;"Yes",AO214=0,AK214=""),0,IF(AL214&gt;='Setup'!$B$14,-2*'Setup'!$B$11,IF(AND(MAX(AB214,AD214,AF214,AH214,AJ214)&gt;=P214,AK214&gt;=Q214+1),'Setup'!$B$10,IF(OR(MAX(AB214,AD214,AF214,AH214,AJ214)&lt;O214,AK214&lt;Q214-1),-'Setup'!$B$11,0))))</x:f>
        <x:v>0</x:v>
      </x:c>
      <x:c r="AU214" s="333" t="n">
        <x:f>IF(Z214=0,0,IF(AN214&lt;&gt;"Yes",Z214,IF(COUNT(AA214,AC214,AE214,AG214,AI214)=0,Z214,ROUND((MAX(AA214,AC214,AE214,AG214,AI214)*(1+AT214))/'Setup'!$B$9,0)*'Setup'!$B$9)))</x:f>
        <x:v>0</x:v>
      </x:c>
      <x:c r="AV214" s="336"/>
    </x:row>
    <x:row r="215">
      <x:c r="A215" s="310" t="n">
        <x:f>'Setup'!$B$3+(C215-1)*7+(D215-1)</x:f>
        <x:v>46269</x:v>
      </x:c>
      <x:c r="B215" s="311" t="str">
        <x:v>4|5|1</x:v>
      </x:c>
      <x:c r="C215" s="311" t="n">
        <x:v>4</x:v>
      </x:c>
      <x:c r="D215" s="311" t="n">
        <x:v>5</x:v>
      </x:c>
      <x:c r="E215" s="311" t="str">
        <x:v>Deload 1</x:v>
      </x:c>
      <x:c r="F215" s="311" t="str">
        <x:v>Legs B + Athletic</x:v>
      </x:c>
      <x:c r="G215" s="311" t="str">
        <x:v>Acceleration + lower-body hypertrophy</x:v>
      </x:c>
      <x:c r="H215" s="311" t="n">
        <x:v>1</x:v>
      </x:c>
      <x:c r="I215" s="311" t="str">
        <x:v>Acceleration Sprint</x:v>
      </x:c>
      <x:c r="J215" s="311" t="str">
        <x:v>Athletic</x:v>
      </x:c>
      <x:c r="K215" s="311" t="str">
        <x:v>Full Body</x:v>
      </x:c>
      <x:c r="L215" s="311" t="str">
        <x:v>Straight sets, crisp reps only</x:v>
      </x:c>
      <x:c r="M215" s="311"/>
      <x:c r="N215" s="311" t="n">
        <x:v>3</x:v>
      </x:c>
      <x:c r="O215" s="311" t="n">
        <x:v>20</x:v>
      </x:c>
      <x:c r="P215" s="311" t="n">
        <x:v>20</x:v>
      </x:c>
      <x:c r="Q215" s="311" t="n">
        <x:v>4</x:v>
      </x:c>
      <x:c r="R215" s="311" t="n">
        <x:v>90</x:v>
      </x:c>
      <x:c r="S215" s="311" t="str">
        <x:v>Max quality</x:v>
      </x:c>
      <x:c r="T215" s="330" t="n">
        <x:v>0.9</x:v>
      </x:c>
      <x:c r="U215" s="330" t="n">
        <x:v>0</x:v>
      </x:c>
      <x:c r="V215" s="331" t="str">
        <x:v>20 m time</x:v>
      </x:c>
      <x:c r="W215" s="332" t="str">
        <x:f>'Readiness'!K29</x:f>
      </x:c>
      <x:c r="X215" s="314" t="n">
        <x:f>'Readiness'!L29</x:f>
        <x:v>1</x:v>
      </x:c>
      <x:c r="Y215" s="315" t="n">
        <x:f>IF(J215="Mobility",N215,MAX(1,ROUND(N215*X215,0)))</x:f>
        <x:v>3</x:v>
      </x:c>
      <x:c r="Z215" s="333" t="n">
        <x:f>0</x:f>
        <x:v>0</x:v>
      </x:c>
      <x:c r="AA215" s="334"/>
      <x:c r="AB215" s="334"/>
      <x:c r="AC215" s="334"/>
      <x:c r="AD215" s="334"/>
      <x:c r="AE215" s="334"/>
      <x:c r="AF215" s="334"/>
      <x:c r="AG215" s="334"/>
      <x:c r="AH215" s="334"/>
      <x:c r="AI215" s="334"/>
      <x:c r="AJ215" s="312"/>
      <x:c r="AK215" s="312"/>
      <x:c r="AL215" s="312"/>
      <x:c r="AM215" s="312"/>
      <x:c r="AN215" s="312"/>
      <x:c r="AO215" s="315" t="n">
        <x:f>COUNT(AB215,AD215,AF215,AH215,AJ215)</x:f>
        <x:v>0</x:v>
      </x:c>
      <x:c r="AP215" s="315" t="n">
        <x:f>SUM(AB215,AD215,AF215,AH215,AJ215)</x:f>
        <x:v>0</x:v>
      </x:c>
      <x:c r="AQ215" s="333" t="n">
        <x:f>AA215*AB215+AC215*AD215+AE215*AF215+AG215*AH215+AI215*AJ215</x:f>
        <x:v>0</x:v>
      </x:c>
      <x:c r="AR215" s="333" t="n">
        <x:f>IF(OR(J215="Strength",J215="Hypertrophy"),MAX(IF(AB215&gt;0,AA215*(1+AB215/30),0),IF(AD215&gt;0,AC215*(1+AD215/30),0),IF(AF215&gt;0,AE215*(1+AF215/30),0),IF(AH215&gt;0,AG215*(1+AH215/30),0),IF(AJ215&gt;0,AI215*(1+AJ215/30),0)),0)</x:f>
        <x:v>0</x:v>
      </x:c>
      <x:c r="AS215" s="315" t="str">
        <x:f>IF(AN215&lt;&gt;"Yes","Not logged",IF(AL215&gt;='Setup'!$B$14,"STOP / MODIFY",IF(Z215=0,"Complete",IF(OR(AO215=0,AK215=""),"Add set data + RIR",IF(AND(MAX(AB215,AD215,AF215,AH215,AJ215)&gt;=P215,AK215&gt;=Q215+1),"Progress",IF(OR(MAX(AB215,AD215,AF215,AH215,AJ215)&lt;O215,AK215&lt;Q215-1),"Regress","Hold"))))))</x:f>
        <x:v>Not logged</x:v>
      </x:c>
      <x:c r="AT215" s="335" t="n">
        <x:f>IF(OR(Z215=0,AN215&lt;&gt;"Yes",AO215=0,AK215=""),0,IF(AL215&gt;='Setup'!$B$14,-2*'Setup'!$B$11,IF(AND(MAX(AB215,AD215,AF215,AH215,AJ215)&gt;=P215,AK215&gt;=Q215+1),'Setup'!$B$10,IF(OR(MAX(AB215,AD215,AF215,AH215,AJ215)&lt;O215,AK215&lt;Q215-1),-'Setup'!$B$11,0))))</x:f>
        <x:v>0</x:v>
      </x:c>
      <x:c r="AU215" s="333" t="n">
        <x:f>IF(Z215=0,0,IF(AN215&lt;&gt;"Yes",Z215,IF(COUNT(AA215,AC215,AE215,AG215,AI215)=0,Z215,ROUND((MAX(AA215,AC215,AE215,AG215,AI215)*(1+AT215))/'Setup'!$B$9,0)*'Setup'!$B$9)))</x:f>
        <x:v>0</x:v>
      </x:c>
      <x:c r="AV215" s="336"/>
    </x:row>
    <x:row r="216">
      <x:c r="A216" s="310" t="n">
        <x:f>'Setup'!$B$3+(C216-1)*7+(D216-1)</x:f>
        <x:v>46269</x:v>
      </x:c>
      <x:c r="B216" s="311" t="str">
        <x:v>4|5|2</x:v>
      </x:c>
      <x:c r="C216" s="311" t="n">
        <x:v>4</x:v>
      </x:c>
      <x:c r="D216" s="311" t="n">
        <x:v>5</x:v>
      </x:c>
      <x:c r="E216" s="311" t="str">
        <x:v>Deload 1</x:v>
      </x:c>
      <x:c r="F216" s="311" t="str">
        <x:v>Legs B + Athletic</x:v>
      </x:c>
      <x:c r="G216" s="311" t="str">
        <x:v>Acceleration + lower-body hypertrophy</x:v>
      </x:c>
      <x:c r="H216" s="311" t="n">
        <x:v>2</x:v>
      </x:c>
      <x:c r="I216" s="311" t="str">
        <x:v>Broad Jump</x:v>
      </x:c>
      <x:c r="J216" s="311" t="str">
        <x:v>Power</x:v>
      </x:c>
      <x:c r="K216" s="311" t="str">
        <x:v>Quads</x:v>
      </x:c>
      <x:c r="L216" s="311" t="str">
        <x:v>Straight sets, crisp reps only</x:v>
      </x:c>
      <x:c r="M216" s="311"/>
      <x:c r="N216" s="311" t="n">
        <x:v>2</x:v>
      </x:c>
      <x:c r="O216" s="311" t="n">
        <x:v>3</x:v>
      </x:c>
      <x:c r="P216" s="311" t="n">
        <x:v>3</x:v>
      </x:c>
      <x:c r="Q216" s="311" t="n">
        <x:v>4</x:v>
      </x:c>
      <x:c r="R216" s="311" t="n">
        <x:v>75</x:v>
      </x:c>
      <x:c r="S216" s="311" t="str">
        <x:v>Explosive</x:v>
      </x:c>
      <x:c r="T216" s="330" t="n">
        <x:v>0.9</x:v>
      </x:c>
      <x:c r="U216" s="330" t="n">
        <x:v>0</x:v>
      </x:c>
      <x:c r="V216" s="331" t="str">
        <x:v>distance</x:v>
      </x:c>
      <x:c r="W216" s="332" t="str">
        <x:f>'Readiness'!K29</x:f>
      </x:c>
      <x:c r="X216" s="314" t="n">
        <x:f>'Readiness'!L29</x:f>
        <x:v>1</x:v>
      </x:c>
      <x:c r="Y216" s="315" t="n">
        <x:f>IF(J216="Mobility",N216,MAX(1,ROUND(N216*X216,0)))</x:f>
        <x:v>2</x:v>
      </x:c>
      <x:c r="Z216" s="333" t="n">
        <x:f>0</x:f>
        <x:v>0</x:v>
      </x:c>
      <x:c r="AA216" s="334"/>
      <x:c r="AB216" s="334"/>
      <x:c r="AC216" s="334"/>
      <x:c r="AD216" s="334"/>
      <x:c r="AE216" s="334"/>
      <x:c r="AF216" s="334"/>
      <x:c r="AG216" s="334"/>
      <x:c r="AH216" s="334"/>
      <x:c r="AI216" s="334"/>
      <x:c r="AJ216" s="312"/>
      <x:c r="AK216" s="312"/>
      <x:c r="AL216" s="312"/>
      <x:c r="AM216" s="312"/>
      <x:c r="AN216" s="312"/>
      <x:c r="AO216" s="315" t="n">
        <x:f>COUNT(AB216,AD216,AF216,AH216,AJ216)</x:f>
        <x:v>0</x:v>
      </x:c>
      <x:c r="AP216" s="315" t="n">
        <x:f>SUM(AB216,AD216,AF216,AH216,AJ216)</x:f>
        <x:v>0</x:v>
      </x:c>
      <x:c r="AQ216" s="333" t="n">
        <x:f>AA216*AB216+AC216*AD216+AE216*AF216+AG216*AH216+AI216*AJ216</x:f>
        <x:v>0</x:v>
      </x:c>
      <x:c r="AR216" s="333" t="n">
        <x:f>IF(OR(J216="Strength",J216="Hypertrophy"),MAX(IF(AB216&gt;0,AA216*(1+AB216/30),0),IF(AD216&gt;0,AC216*(1+AD216/30),0),IF(AF216&gt;0,AE216*(1+AF216/30),0),IF(AH216&gt;0,AG216*(1+AH216/30),0),IF(AJ216&gt;0,AI216*(1+AJ216/30),0)),0)</x:f>
        <x:v>0</x:v>
      </x:c>
      <x:c r="AS216" s="315" t="str">
        <x:f>IF(AN216&lt;&gt;"Yes","Not logged",IF(AL216&gt;='Setup'!$B$14,"STOP / MODIFY",IF(Z216=0,"Complete",IF(OR(AO216=0,AK216=""),"Add set data + RIR",IF(AND(MAX(AB216,AD216,AF216,AH216,AJ216)&gt;=P216,AK216&gt;=Q216+1),"Progress",IF(OR(MAX(AB216,AD216,AF216,AH216,AJ216)&lt;O216,AK216&lt;Q216-1),"Regress","Hold"))))))</x:f>
        <x:v>Not logged</x:v>
      </x:c>
      <x:c r="AT216" s="335" t="n">
        <x:f>IF(OR(Z216=0,AN216&lt;&gt;"Yes",AO216=0,AK216=""),0,IF(AL216&gt;='Setup'!$B$14,-2*'Setup'!$B$11,IF(AND(MAX(AB216,AD216,AF216,AH216,AJ216)&gt;=P216,AK216&gt;=Q216+1),'Setup'!$B$10,IF(OR(MAX(AB216,AD216,AF216,AH216,AJ216)&lt;O216,AK216&lt;Q216-1),-'Setup'!$B$11,0))))</x:f>
        <x:v>0</x:v>
      </x:c>
      <x:c r="AU216" s="333" t="n">
        <x:f>IF(Z216=0,0,IF(AN216&lt;&gt;"Yes",Z216,IF(COUNT(AA216,AC216,AE216,AG216,AI216)=0,Z216,ROUND((MAX(AA216,AC216,AE216,AG216,AI216)*(1+AT216))/'Setup'!$B$9,0)*'Setup'!$B$9)))</x:f>
        <x:v>0</x:v>
      </x:c>
      <x:c r="AV216" s="336"/>
    </x:row>
    <x:row r="217">
      <x:c r="A217" s="310" t="n">
        <x:f>'Setup'!$B$3+(C217-1)*7+(D217-1)</x:f>
        <x:v>46269</x:v>
      </x:c>
      <x:c r="B217" s="311" t="str">
        <x:v>4|5|3</x:v>
      </x:c>
      <x:c r="C217" s="311" t="n">
        <x:v>4</x:v>
      </x:c>
      <x:c r="D217" s="311" t="n">
        <x:v>5</x:v>
      </x:c>
      <x:c r="E217" s="311" t="str">
        <x:v>Deload 1</x:v>
      </x:c>
      <x:c r="F217" s="311" t="str">
        <x:v>Legs B + Athletic</x:v>
      </x:c>
      <x:c r="G217" s="311" t="str">
        <x:v>Acceleration + lower-body hypertrophy</x:v>
      </x:c>
      <x:c r="H217" s="311" t="n">
        <x:v>3</x:v>
      </x:c>
      <x:c r="I217" s="311" t="str">
        <x:v>Front Squat</x:v>
      </x:c>
      <x:c r="J217" s="311" t="str">
        <x:v>Strength</x:v>
      </x:c>
      <x:c r="K217" s="311" t="str">
        <x:v>Quads</x:v>
      </x:c>
      <x:c r="L217" s="311" t="str">
        <x:v>Straight sets, crisp reps only</x:v>
      </x:c>
      <x:c r="M217" s="311"/>
      <x:c r="N217" s="311" t="n">
        <x:v>2</x:v>
      </x:c>
      <x:c r="O217" s="311" t="n">
        <x:v>8</x:v>
      </x:c>
      <x:c r="P217" s="311" t="n">
        <x:v>10</x:v>
      </x:c>
      <x:c r="Q217" s="311" t="n">
        <x:v>4</x:v>
      </x:c>
      <x:c r="R217" s="311" t="n">
        <x:v>150</x:v>
      </x:c>
      <x:c r="S217" s="311" t="str">
        <x:v>3-1-X</x:v>
      </x:c>
      <x:c r="T217" s="330" t="n">
        <x:v>0.9</x:v>
      </x:c>
      <x:c r="U217" s="330" t="n">
        <x:v>0.6</x:v>
      </x:c>
      <x:c r="V217" s="331" t="str">
        <x:v>load × reps</x:v>
      </x:c>
      <x:c r="W217" s="332" t="str">
        <x:f>'Readiness'!K29</x:f>
      </x:c>
      <x:c r="X217" s="314" t="n">
        <x:f>'Readiness'!L29</x:f>
        <x:v>1</x:v>
      </x:c>
      <x:c r="Y217" s="315" t="n">
        <x:f>IF(J217="Mobility",N217,MAX(1,ROUND(N217*X217,0)))</x:f>
        <x:v>2</x:v>
      </x:c>
      <x:c r="Z217" s="333" t="n">
        <x:f>ROUND((IF(AU161&gt;0,AU161,IF(Z161&gt;0,Z161,'Setup'!$D$43))*T217)/'Setup'!$B$9,0)*'Setup'!$B$9</x:f>
        <x:v>0</x:v>
      </x:c>
      <x:c r="AA217" s="334"/>
      <x:c r="AB217" s="334"/>
      <x:c r="AC217" s="334"/>
      <x:c r="AD217" s="334"/>
      <x:c r="AE217" s="334"/>
      <x:c r="AF217" s="334"/>
      <x:c r="AG217" s="334"/>
      <x:c r="AH217" s="334"/>
      <x:c r="AI217" s="334"/>
      <x:c r="AJ217" s="312"/>
      <x:c r="AK217" s="312"/>
      <x:c r="AL217" s="312"/>
      <x:c r="AM217" s="312"/>
      <x:c r="AN217" s="312"/>
      <x:c r="AO217" s="315" t="n">
        <x:f>COUNT(AB217,AD217,AF217,AH217,AJ217)</x:f>
        <x:v>0</x:v>
      </x:c>
      <x:c r="AP217" s="315" t="n">
        <x:f>SUM(AB217,AD217,AF217,AH217,AJ217)</x:f>
        <x:v>0</x:v>
      </x:c>
      <x:c r="AQ217" s="333" t="n">
        <x:f>AA217*AB217+AC217*AD217+AE217*AF217+AG217*AH217+AI217*AJ217</x:f>
        <x:v>0</x:v>
      </x:c>
      <x:c r="AR217" s="333" t="n">
        <x:f>IF(OR(J217="Strength",J217="Hypertrophy"),MAX(IF(AB217&gt;0,AA217*(1+AB217/30),0),IF(AD217&gt;0,AC217*(1+AD217/30),0),IF(AF217&gt;0,AE217*(1+AF217/30),0),IF(AH217&gt;0,AG217*(1+AH217/30),0),IF(AJ217&gt;0,AI217*(1+AJ217/30),0)),0)</x:f>
        <x:v>0</x:v>
      </x:c>
      <x:c r="AS217" s="315" t="str">
        <x:f>IF(AN217&lt;&gt;"Yes","Not logged",IF(AL217&gt;='Setup'!$B$14,"STOP / MODIFY",IF(Z217=0,"Complete",IF(OR(AO217=0,AK217=""),"Add set data + RIR",IF(AND(MAX(AB217,AD217,AF217,AH217,AJ217)&gt;=P217,AK217&gt;=Q217+1),"Progress",IF(OR(MAX(AB217,AD217,AF217,AH217,AJ217)&lt;O217,AK217&lt;Q217-1),"Regress","Hold"))))))</x:f>
        <x:v>Not logged</x:v>
      </x:c>
      <x:c r="AT217" s="335" t="n">
        <x:f>IF(OR(Z217=0,AN217&lt;&gt;"Yes",AO217=0,AK217=""),0,IF(AL217&gt;='Setup'!$B$14,-2*'Setup'!$B$11,IF(AND(MAX(AB217,AD217,AF217,AH217,AJ217)&gt;=P217,AK217&gt;=Q217+1),'Setup'!$B$10,IF(OR(MAX(AB217,AD217,AF217,AH217,AJ217)&lt;O217,AK217&lt;Q217-1),-'Setup'!$B$11,0))))</x:f>
        <x:v>0</x:v>
      </x:c>
      <x:c r="AU217" s="333" t="n">
        <x:f>IF(Z217=0,0,IF(AN217&lt;&gt;"Yes",Z217,IF(COUNT(AA217,AC217,AE217,AG217,AI217)=0,Z217,ROUND((MAX(AA217,AC217,AE217,AG217,AI217)*(1+AT217))/'Setup'!$B$9,0)*'Setup'!$B$9)))</x:f>
        <x:v>0</x:v>
      </x:c>
      <x:c r="AV217" s="336"/>
    </x:row>
    <x:row r="218">
      <x:c r="A218" s="310" t="n">
        <x:f>'Setup'!$B$3+(C218-1)*7+(D218-1)</x:f>
        <x:v>46269</x:v>
      </x:c>
      <x:c r="B218" s="311" t="str">
        <x:v>4|5|4</x:v>
      </x:c>
      <x:c r="C218" s="311" t="n">
        <x:v>4</x:v>
      </x:c>
      <x:c r="D218" s="311" t="n">
        <x:v>5</x:v>
      </x:c>
      <x:c r="E218" s="311" t="str">
        <x:v>Deload 1</x:v>
      </x:c>
      <x:c r="F218" s="311" t="str">
        <x:v>Legs B + Athletic</x:v>
      </x:c>
      <x:c r="G218" s="311" t="str">
        <x:v>Acceleration + lower-body hypertrophy</x:v>
      </x:c>
      <x:c r="H218" s="311" t="n">
        <x:v>4</x:v>
      </x:c>
      <x:c r="I218" s="311" t="str">
        <x:v>Barbell Hip Thrust</x:v>
      </x:c>
      <x:c r="J218" s="311" t="str">
        <x:v>Hypertrophy</x:v>
      </x:c>
      <x:c r="K218" s="311" t="str">
        <x:v>Glutes</x:v>
      </x:c>
      <x:c r="L218" s="311" t="str">
        <x:v>Straight sets, crisp reps only</x:v>
      </x:c>
      <x:c r="M218" s="311"/>
      <x:c r="N218" s="311" t="n">
        <x:v>2</x:v>
      </x:c>
      <x:c r="O218" s="311" t="n">
        <x:v>8</x:v>
      </x:c>
      <x:c r="P218" s="311" t="n">
        <x:v>12</x:v>
      </x:c>
      <x:c r="Q218" s="311" t="n">
        <x:v>4</x:v>
      </x:c>
      <x:c r="R218" s="311" t="n">
        <x:v>90</x:v>
      </x:c>
      <x:c r="S218" s="311" t="str">
        <x:v>2-1-1</x:v>
      </x:c>
      <x:c r="T218" s="330" t="n">
        <x:v>0.9</x:v>
      </x:c>
      <x:c r="U218" s="330" t="n">
        <x:v>0</x:v>
      </x:c>
      <x:c r="V218" s="331" t="str">
        <x:v>load × reps</x:v>
      </x:c>
      <x:c r="W218" s="332" t="str">
        <x:f>'Readiness'!K29</x:f>
      </x:c>
      <x:c r="X218" s="314" t="n">
        <x:f>'Readiness'!L29</x:f>
        <x:v>1</x:v>
      </x:c>
      <x:c r="Y218" s="315" t="n">
        <x:f>IF(J218="Mobility",N218,MAX(1,ROUND(N218*X218,0)))</x:f>
        <x:v>2</x:v>
      </x:c>
      <x:c r="Z218" s="333" t="n">
        <x:f>ROUND((IF(AU162&gt;0,AU162,IF(Z162&gt;0,Z162,'Setup'!$D$25))*T218)/'Setup'!$B$9,0)*'Setup'!$B$9</x:f>
        <x:v>0</x:v>
      </x:c>
      <x:c r="AA218" s="334"/>
      <x:c r="AB218" s="334"/>
      <x:c r="AC218" s="334"/>
      <x:c r="AD218" s="334"/>
      <x:c r="AE218" s="334"/>
      <x:c r="AF218" s="334"/>
      <x:c r="AG218" s="334"/>
      <x:c r="AH218" s="334"/>
      <x:c r="AI218" s="334"/>
      <x:c r="AJ218" s="312"/>
      <x:c r="AK218" s="312"/>
      <x:c r="AL218" s="312"/>
      <x:c r="AM218" s="312"/>
      <x:c r="AN218" s="312"/>
      <x:c r="AO218" s="315" t="n">
        <x:f>COUNT(AB218,AD218,AF218,AH218,AJ218)</x:f>
        <x:v>0</x:v>
      </x:c>
      <x:c r="AP218" s="315" t="n">
        <x:f>SUM(AB218,AD218,AF218,AH218,AJ218)</x:f>
        <x:v>0</x:v>
      </x:c>
      <x:c r="AQ218" s="333" t="n">
        <x:f>AA218*AB218+AC218*AD218+AE218*AF218+AG218*AH218+AI218*AJ218</x:f>
        <x:v>0</x:v>
      </x:c>
      <x:c r="AR218" s="333" t="n">
        <x:f>IF(OR(J218="Strength",J218="Hypertrophy"),MAX(IF(AB218&gt;0,AA218*(1+AB218/30),0),IF(AD218&gt;0,AC218*(1+AD218/30),0),IF(AF218&gt;0,AE218*(1+AF218/30),0),IF(AH218&gt;0,AG218*(1+AH218/30),0),IF(AJ218&gt;0,AI218*(1+AJ218/30),0)),0)</x:f>
        <x:v>0</x:v>
      </x:c>
      <x:c r="AS218" s="315" t="str">
        <x:f>IF(AN218&lt;&gt;"Yes","Not logged",IF(AL218&gt;='Setup'!$B$14,"STOP / MODIFY",IF(Z218=0,"Complete",IF(OR(AO218=0,AK218=""),"Add set data + RIR",IF(AND(MAX(AB218,AD218,AF218,AH218,AJ218)&gt;=P218,AK218&gt;=Q218+1),"Progress",IF(OR(MAX(AB218,AD218,AF218,AH218,AJ218)&lt;O218,AK218&lt;Q218-1),"Regress","Hold"))))))</x:f>
        <x:v>Not logged</x:v>
      </x:c>
      <x:c r="AT218" s="335" t="n">
        <x:f>IF(OR(Z218=0,AN218&lt;&gt;"Yes",AO218=0,AK218=""),0,IF(AL218&gt;='Setup'!$B$14,-2*'Setup'!$B$11,IF(AND(MAX(AB218,AD218,AF218,AH218,AJ218)&gt;=P218,AK218&gt;=Q218+1),'Setup'!$B$10,IF(OR(MAX(AB218,AD218,AF218,AH218,AJ218)&lt;O218,AK218&lt;Q218-1),-'Setup'!$B$11,0))))</x:f>
        <x:v>0</x:v>
      </x:c>
      <x:c r="AU218" s="333" t="n">
        <x:f>IF(Z218=0,0,IF(AN218&lt;&gt;"Yes",Z218,IF(COUNT(AA218,AC218,AE218,AG218,AI218)=0,Z218,ROUND((MAX(AA218,AC218,AE218,AG218,AI218)*(1+AT218))/'Setup'!$B$9,0)*'Setup'!$B$9)))</x:f>
        <x:v>0</x:v>
      </x:c>
      <x:c r="AV218" s="336"/>
    </x:row>
    <x:row r="219">
      <x:c r="A219" s="310" t="n">
        <x:f>'Setup'!$B$3+(C219-1)*7+(D219-1)</x:f>
        <x:v>46269</x:v>
      </x:c>
      <x:c r="B219" s="311" t="str">
        <x:v>4|5|5</x:v>
      </x:c>
      <x:c r="C219" s="311" t="n">
        <x:v>4</x:v>
      </x:c>
      <x:c r="D219" s="311" t="n">
        <x:v>5</x:v>
      </x:c>
      <x:c r="E219" s="311" t="str">
        <x:v>Deload 1</x:v>
      </x:c>
      <x:c r="F219" s="311" t="str">
        <x:v>Legs B + Athletic</x:v>
      </x:c>
      <x:c r="G219" s="311" t="str">
        <x:v>Acceleration + lower-body hypertrophy</x:v>
      </x:c>
      <x:c r="H219" s="311" t="n">
        <x:v>5</x:v>
      </x:c>
      <x:c r="I219" s="311" t="str">
        <x:v>Leg Press</x:v>
      </x:c>
      <x:c r="J219" s="311" t="str">
        <x:v>Hypertrophy</x:v>
      </x:c>
      <x:c r="K219" s="311" t="str">
        <x:v>Quads</x:v>
      </x:c>
      <x:c r="L219" s="311" t="str">
        <x:v>Straight sets, crisp reps only</x:v>
      </x:c>
      <x:c r="M219" s="311"/>
      <x:c r="N219" s="311" t="n">
        <x:v>2</x:v>
      </x:c>
      <x:c r="O219" s="311" t="n">
        <x:v>12</x:v>
      </x:c>
      <x:c r="P219" s="311" t="n">
        <x:v>15</x:v>
      </x:c>
      <x:c r="Q219" s="311" t="n">
        <x:v>4</x:v>
      </x:c>
      <x:c r="R219" s="311" t="n">
        <x:v>90</x:v>
      </x:c>
      <x:c r="S219" s="311" t="str">
        <x:v>3-0-1</x:v>
      </x:c>
      <x:c r="T219" s="330" t="n">
        <x:v>0.9</x:v>
      </x:c>
      <x:c r="U219" s="330" t="n">
        <x:v>0</x:v>
      </x:c>
      <x:c r="V219" s="331" t="str">
        <x:v>load × reps</x:v>
      </x:c>
      <x:c r="W219" s="332" t="str">
        <x:f>'Readiness'!K29</x:f>
      </x:c>
      <x:c r="X219" s="314" t="n">
        <x:f>'Readiness'!L29</x:f>
        <x:v>1</x:v>
      </x:c>
      <x:c r="Y219" s="315" t="n">
        <x:f>IF(J219="Mobility",N219,MAX(1,ROUND(N219*X219,0)))</x:f>
        <x:v>2</x:v>
      </x:c>
      <x:c r="Z219" s="333" t="n">
        <x:f>ROUND((IF(AU163&gt;0,AU163,IF(Z163&gt;0,Z163,'Setup'!$D$58))*T219)/'Setup'!$B$9,0)*'Setup'!$B$9</x:f>
        <x:v>0</x:v>
      </x:c>
      <x:c r="AA219" s="334"/>
      <x:c r="AB219" s="334"/>
      <x:c r="AC219" s="334"/>
      <x:c r="AD219" s="334"/>
      <x:c r="AE219" s="334"/>
      <x:c r="AF219" s="334"/>
      <x:c r="AG219" s="334"/>
      <x:c r="AH219" s="334"/>
      <x:c r="AI219" s="334"/>
      <x:c r="AJ219" s="312"/>
      <x:c r="AK219" s="312"/>
      <x:c r="AL219" s="312"/>
      <x:c r="AM219" s="312"/>
      <x:c r="AN219" s="312"/>
      <x:c r="AO219" s="315" t="n">
        <x:f>COUNT(AB219,AD219,AF219,AH219,AJ219)</x:f>
        <x:v>0</x:v>
      </x:c>
      <x:c r="AP219" s="315" t="n">
        <x:f>SUM(AB219,AD219,AF219,AH219,AJ219)</x:f>
        <x:v>0</x:v>
      </x:c>
      <x:c r="AQ219" s="333" t="n">
        <x:f>AA219*AB219+AC219*AD219+AE219*AF219+AG219*AH219+AI219*AJ219</x:f>
        <x:v>0</x:v>
      </x:c>
      <x:c r="AR219" s="333" t="n">
        <x:f>IF(OR(J219="Strength",J219="Hypertrophy"),MAX(IF(AB219&gt;0,AA219*(1+AB219/30),0),IF(AD219&gt;0,AC219*(1+AD219/30),0),IF(AF219&gt;0,AE219*(1+AF219/30),0),IF(AH219&gt;0,AG219*(1+AH219/30),0),IF(AJ219&gt;0,AI219*(1+AJ219/30),0)),0)</x:f>
        <x:v>0</x:v>
      </x:c>
      <x:c r="AS219" s="315" t="str">
        <x:f>IF(AN219&lt;&gt;"Yes","Not logged",IF(AL219&gt;='Setup'!$B$14,"STOP / MODIFY",IF(Z219=0,"Complete",IF(OR(AO219=0,AK219=""),"Add set data + RIR",IF(AND(MAX(AB219,AD219,AF219,AH219,AJ219)&gt;=P219,AK219&gt;=Q219+1),"Progress",IF(OR(MAX(AB219,AD219,AF219,AH219,AJ219)&lt;O219,AK219&lt;Q219-1),"Regress","Hold"))))))</x:f>
        <x:v>Not logged</x:v>
      </x:c>
      <x:c r="AT219" s="335" t="n">
        <x:f>IF(OR(Z219=0,AN219&lt;&gt;"Yes",AO219=0,AK219=""),0,IF(AL219&gt;='Setup'!$B$14,-2*'Setup'!$B$11,IF(AND(MAX(AB219,AD219,AF219,AH219,AJ219)&gt;=P219,AK219&gt;=Q219+1),'Setup'!$B$10,IF(OR(MAX(AB219,AD219,AF219,AH219,AJ219)&lt;O219,AK219&lt;Q219-1),-'Setup'!$B$11,0))))</x:f>
        <x:v>0</x:v>
      </x:c>
      <x:c r="AU219" s="333" t="n">
        <x:f>IF(Z219=0,0,IF(AN219&lt;&gt;"Yes",Z219,IF(COUNT(AA219,AC219,AE219,AG219,AI219)=0,Z219,ROUND((MAX(AA219,AC219,AE219,AG219,AI219)*(1+AT219))/'Setup'!$B$9,0)*'Setup'!$B$9)))</x:f>
        <x:v>0</x:v>
      </x:c>
      <x:c r="AV219" s="336"/>
    </x:row>
    <x:row r="220">
      <x:c r="A220" s="310" t="n">
        <x:f>'Setup'!$B$3+(C220-1)*7+(D220-1)</x:f>
        <x:v>46269</x:v>
      </x:c>
      <x:c r="B220" s="311" t="str">
        <x:v>4|5|6</x:v>
      </x:c>
      <x:c r="C220" s="311" t="n">
        <x:v>4</x:v>
      </x:c>
      <x:c r="D220" s="311" t="n">
        <x:v>5</x:v>
      </x:c>
      <x:c r="E220" s="311" t="str">
        <x:v>Deload 1</x:v>
      </x:c>
      <x:c r="F220" s="311" t="str">
        <x:v>Legs B + Athletic</x:v>
      </x:c>
      <x:c r="G220" s="311" t="str">
        <x:v>Acceleration + lower-body hypertrophy</x:v>
      </x:c>
      <x:c r="H220" s="311" t="n">
        <x:v>6</x:v>
      </x:c>
      <x:c r="I220" s="311" t="str">
        <x:v>Walking Lunge</x:v>
      </x:c>
      <x:c r="J220" s="311" t="str">
        <x:v>Hypertrophy</x:v>
      </x:c>
      <x:c r="K220" s="311" t="str">
        <x:v>Quads</x:v>
      </x:c>
      <x:c r="L220" s="311" t="str">
        <x:v>Straight sets, crisp reps only</x:v>
      </x:c>
      <x:c r="M220" s="311"/>
      <x:c r="N220" s="311" t="n">
        <x:v>2</x:v>
      </x:c>
      <x:c r="O220" s="311" t="n">
        <x:v>10</x:v>
      </x:c>
      <x:c r="P220" s="311" t="n">
        <x:v>12</x:v>
      </x:c>
      <x:c r="Q220" s="311" t="n">
        <x:v>4</x:v>
      </x:c>
      <x:c r="R220" s="311" t="n">
        <x:v>75</x:v>
      </x:c>
      <x:c r="S220" s="311" t="str">
        <x:v>2-0-1</x:v>
      </x:c>
      <x:c r="T220" s="330" t="n">
        <x:v>0.9</x:v>
      </x:c>
      <x:c r="U220" s="330" t="n">
        <x:v>0</x:v>
      </x:c>
      <x:c r="V220" s="331" t="str">
        <x:v>load × reps</x:v>
      </x:c>
      <x:c r="W220" s="332" t="str">
        <x:f>'Readiness'!K29</x:f>
      </x:c>
      <x:c r="X220" s="314" t="n">
        <x:f>'Readiness'!L29</x:f>
        <x:v>1</x:v>
      </x:c>
      <x:c r="Y220" s="315" t="n">
        <x:f>IF(J220="Mobility",N220,MAX(1,ROUND(N220*X220,0)))</x:f>
        <x:v>2</x:v>
      </x:c>
      <x:c r="Z220" s="333" t="n">
        <x:f>ROUND((IF(AU164&gt;0,AU164,IF(Z164&gt;0,Z164,'Setup'!$D$93))*T220)/'Setup'!$B$9,0)*'Setup'!$B$9</x:f>
        <x:v>0</x:v>
      </x:c>
      <x:c r="AA220" s="334"/>
      <x:c r="AB220" s="334"/>
      <x:c r="AC220" s="334"/>
      <x:c r="AD220" s="334"/>
      <x:c r="AE220" s="334"/>
      <x:c r="AF220" s="334"/>
      <x:c r="AG220" s="334"/>
      <x:c r="AH220" s="334"/>
      <x:c r="AI220" s="334"/>
      <x:c r="AJ220" s="312"/>
      <x:c r="AK220" s="312"/>
      <x:c r="AL220" s="312"/>
      <x:c r="AM220" s="312"/>
      <x:c r="AN220" s="312"/>
      <x:c r="AO220" s="315" t="n">
        <x:f>COUNT(AB220,AD220,AF220,AH220,AJ220)</x:f>
        <x:v>0</x:v>
      </x:c>
      <x:c r="AP220" s="315" t="n">
        <x:f>SUM(AB220,AD220,AF220,AH220,AJ220)</x:f>
        <x:v>0</x:v>
      </x:c>
      <x:c r="AQ220" s="333" t="n">
        <x:f>AA220*AB220+AC220*AD220+AE220*AF220+AG220*AH220+AI220*AJ220</x:f>
        <x:v>0</x:v>
      </x:c>
      <x:c r="AR220" s="333" t="n">
        <x:f>IF(OR(J220="Strength",J220="Hypertrophy"),MAX(IF(AB220&gt;0,AA220*(1+AB220/30),0),IF(AD220&gt;0,AC220*(1+AD220/30),0),IF(AF220&gt;0,AE220*(1+AF220/30),0),IF(AH220&gt;0,AG220*(1+AH220/30),0),IF(AJ220&gt;0,AI220*(1+AJ220/30),0)),0)</x:f>
        <x:v>0</x:v>
      </x:c>
      <x:c r="AS220" s="315" t="str">
        <x:f>IF(AN220&lt;&gt;"Yes","Not logged",IF(AL220&gt;='Setup'!$B$14,"STOP / MODIFY",IF(Z220=0,"Complete",IF(OR(AO220=0,AK220=""),"Add set data + RIR",IF(AND(MAX(AB220,AD220,AF220,AH220,AJ220)&gt;=P220,AK220&gt;=Q220+1),"Progress",IF(OR(MAX(AB220,AD220,AF220,AH220,AJ220)&lt;O220,AK220&lt;Q220-1),"Regress","Hold"))))))</x:f>
        <x:v>Not logged</x:v>
      </x:c>
      <x:c r="AT220" s="335" t="n">
        <x:f>IF(OR(Z220=0,AN220&lt;&gt;"Yes",AO220=0,AK220=""),0,IF(AL220&gt;='Setup'!$B$14,-2*'Setup'!$B$11,IF(AND(MAX(AB220,AD220,AF220,AH220,AJ220)&gt;=P220,AK220&gt;=Q220+1),'Setup'!$B$10,IF(OR(MAX(AB220,AD220,AF220,AH220,AJ220)&lt;O220,AK220&lt;Q220-1),-'Setup'!$B$11,0))))</x:f>
        <x:v>0</x:v>
      </x:c>
      <x:c r="AU220" s="333" t="n">
        <x:f>IF(Z220=0,0,IF(AN220&lt;&gt;"Yes",Z220,IF(COUNT(AA220,AC220,AE220,AG220,AI220)=0,Z220,ROUND((MAX(AA220,AC220,AE220,AG220,AI220)*(1+AT220))/'Setup'!$B$9,0)*'Setup'!$B$9)))</x:f>
        <x:v>0</x:v>
      </x:c>
      <x:c r="AV220" s="336"/>
    </x:row>
    <x:row r="221">
      <x:c r="A221" s="310" t="n">
        <x:f>'Setup'!$B$3+(C221-1)*7+(D221-1)</x:f>
        <x:v>46269</x:v>
      </x:c>
      <x:c r="B221" s="311" t="str">
        <x:v>4|5|7</x:v>
      </x:c>
      <x:c r="C221" s="311" t="n">
        <x:v>4</x:v>
      </x:c>
      <x:c r="D221" s="311" t="n">
        <x:v>5</x:v>
      </x:c>
      <x:c r="E221" s="311" t="str">
        <x:v>Deload 1</x:v>
      </x:c>
      <x:c r="F221" s="311" t="str">
        <x:v>Legs B + Athletic</x:v>
      </x:c>
      <x:c r="G221" s="311" t="str">
        <x:v>Acceleration + lower-body hypertrophy</x:v>
      </x:c>
      <x:c r="H221" s="311" t="n">
        <x:v>7</x:v>
      </x:c>
      <x:c r="I221" s="311" t="str">
        <x:v>Sled Push</x:v>
      </x:c>
      <x:c r="J221" s="311" t="str">
        <x:v>Athletic</x:v>
      </x:c>
      <x:c r="K221" s="311" t="str">
        <x:v>Quads</x:v>
      </x:c>
      <x:c r="L221" s="311" t="str">
        <x:v>Straight sets, crisp reps only</x:v>
      </x:c>
      <x:c r="M221" s="311"/>
      <x:c r="N221" s="311" t="n">
        <x:v>3</x:v>
      </x:c>
      <x:c r="O221" s="311" t="n">
        <x:v>20</x:v>
      </x:c>
      <x:c r="P221" s="311" t="n">
        <x:v>25</x:v>
      </x:c>
      <x:c r="Q221" s="311" t="n">
        <x:v>4</x:v>
      </x:c>
      <x:c r="R221" s="311" t="n">
        <x:v>75</x:v>
      </x:c>
      <x:c r="S221" s="311" t="str">
        <x:v>Fast</x:v>
      </x:c>
      <x:c r="T221" s="330" t="n">
        <x:v>0.9</x:v>
      </x:c>
      <x:c r="U221" s="330" t="n">
        <x:v>0</x:v>
      </x:c>
      <x:c r="V221" s="331" t="str">
        <x:v>load + meters</x:v>
      </x:c>
      <x:c r="W221" s="332" t="str">
        <x:f>'Readiness'!K29</x:f>
      </x:c>
      <x:c r="X221" s="314" t="n">
        <x:f>'Readiness'!L29</x:f>
        <x:v>1</x:v>
      </x:c>
      <x:c r="Y221" s="315" t="n">
        <x:f>IF(J221="Mobility",N221,MAX(1,ROUND(N221*X221,0)))</x:f>
        <x:v>3</x:v>
      </x:c>
      <x:c r="Z221" s="333" t="n">
        <x:f>0</x:f>
        <x:v>0</x:v>
      </x:c>
      <x:c r="AA221" s="334"/>
      <x:c r="AB221" s="334"/>
      <x:c r="AC221" s="334"/>
      <x:c r="AD221" s="334"/>
      <x:c r="AE221" s="334"/>
      <x:c r="AF221" s="334"/>
      <x:c r="AG221" s="334"/>
      <x:c r="AH221" s="334"/>
      <x:c r="AI221" s="334"/>
      <x:c r="AJ221" s="312"/>
      <x:c r="AK221" s="312"/>
      <x:c r="AL221" s="312"/>
      <x:c r="AM221" s="312"/>
      <x:c r="AN221" s="312"/>
      <x:c r="AO221" s="315" t="n">
        <x:f>COUNT(AB221,AD221,AF221,AH221,AJ221)</x:f>
        <x:v>0</x:v>
      </x:c>
      <x:c r="AP221" s="315" t="n">
        <x:f>SUM(AB221,AD221,AF221,AH221,AJ221)</x:f>
        <x:v>0</x:v>
      </x:c>
      <x:c r="AQ221" s="333" t="n">
        <x:f>AA221*AB221+AC221*AD221+AE221*AF221+AG221*AH221+AI221*AJ221</x:f>
        <x:v>0</x:v>
      </x:c>
      <x:c r="AR221" s="333" t="n">
        <x:f>IF(OR(J221="Strength",J221="Hypertrophy"),MAX(IF(AB221&gt;0,AA221*(1+AB221/30),0),IF(AD221&gt;0,AC221*(1+AD221/30),0),IF(AF221&gt;0,AE221*(1+AF221/30),0),IF(AH221&gt;0,AG221*(1+AH221/30),0),IF(AJ221&gt;0,AI221*(1+AJ221/30),0)),0)</x:f>
        <x:v>0</x:v>
      </x:c>
      <x:c r="AS221" s="315" t="str">
        <x:f>IF(AN221&lt;&gt;"Yes","Not logged",IF(AL221&gt;='Setup'!$B$14,"STOP / MODIFY",IF(Z221=0,"Complete",IF(OR(AO221=0,AK221=""),"Add set data + RIR",IF(AND(MAX(AB221,AD221,AF221,AH221,AJ221)&gt;=P221,AK221&gt;=Q221+1),"Progress",IF(OR(MAX(AB221,AD221,AF221,AH221,AJ221)&lt;O221,AK221&lt;Q221-1),"Regress","Hold"))))))</x:f>
        <x:v>Not logged</x:v>
      </x:c>
      <x:c r="AT221" s="335" t="n">
        <x:f>IF(OR(Z221=0,AN221&lt;&gt;"Yes",AO221=0,AK221=""),0,IF(AL221&gt;='Setup'!$B$14,-2*'Setup'!$B$11,IF(AND(MAX(AB221,AD221,AF221,AH221,AJ221)&gt;=P221,AK221&gt;=Q221+1),'Setup'!$B$10,IF(OR(MAX(AB221,AD221,AF221,AH221,AJ221)&lt;O221,AK221&lt;Q221-1),-'Setup'!$B$11,0))))</x:f>
        <x:v>0</x:v>
      </x:c>
      <x:c r="AU221" s="333" t="n">
        <x:f>IF(Z221=0,0,IF(AN221&lt;&gt;"Yes",Z221,IF(COUNT(AA221,AC221,AE221,AG221,AI221)=0,Z221,ROUND((MAX(AA221,AC221,AE221,AG221,AI221)*(1+AT221))/'Setup'!$B$9,0)*'Setup'!$B$9)))</x:f>
        <x:v>0</x:v>
      </x:c>
      <x:c r="AV221" s="336"/>
    </x:row>
    <x:row r="222">
      <x:c r="A222" s="310" t="n">
        <x:f>'Setup'!$B$3+(C222-1)*7+(D222-1)</x:f>
        <x:v>46269</x:v>
      </x:c>
      <x:c r="B222" s="311" t="str">
        <x:v>4|5|8</x:v>
      </x:c>
      <x:c r="C222" s="311" t="n">
        <x:v>4</x:v>
      </x:c>
      <x:c r="D222" s="311" t="n">
        <x:v>5</x:v>
      </x:c>
      <x:c r="E222" s="311" t="str">
        <x:v>Deload 1</x:v>
      </x:c>
      <x:c r="F222" s="311" t="str">
        <x:v>Legs B + Athletic</x:v>
      </x:c>
      <x:c r="G222" s="311" t="str">
        <x:v>Acceleration + lower-body hypertrophy</x:v>
      </x:c>
      <x:c r="H222" s="311" t="n">
        <x:v>8</x:v>
      </x:c>
      <x:c r="I222" s="311" t="str">
        <x:v>Seated Calf Raise</x:v>
      </x:c>
      <x:c r="J222" s="311" t="str">
        <x:v>Hypertrophy</x:v>
      </x:c>
      <x:c r="K222" s="311" t="str">
        <x:v>Calves</x:v>
      </x:c>
      <x:c r="L222" s="311" t="str">
        <x:v>Straight sets, crisp reps only</x:v>
      </x:c>
      <x:c r="M222" s="311"/>
      <x:c r="N222" s="311" t="n">
        <x:v>2</x:v>
      </x:c>
      <x:c r="O222" s="311" t="n">
        <x:v>12</x:v>
      </x:c>
      <x:c r="P222" s="311" t="n">
        <x:v>20</x:v>
      </x:c>
      <x:c r="Q222" s="311" t="n">
        <x:v>4</x:v>
      </x:c>
      <x:c r="R222" s="311" t="n">
        <x:v>60</x:v>
      </x:c>
      <x:c r="S222" s="311" t="str">
        <x:v>2-2-1</x:v>
      </x:c>
      <x:c r="T222" s="330" t="n">
        <x:v>0.9</x:v>
      </x:c>
      <x:c r="U222" s="330" t="n">
        <x:v>0</x:v>
      </x:c>
      <x:c r="V222" s="331" t="str">
        <x:v>load × reps</x:v>
      </x:c>
      <x:c r="W222" s="332" t="str">
        <x:f>'Readiness'!K29</x:f>
      </x:c>
      <x:c r="X222" s="314" t="n">
        <x:f>'Readiness'!L29</x:f>
        <x:v>1</x:v>
      </x:c>
      <x:c r="Y222" s="315" t="n">
        <x:f>IF(J222="Mobility",N222,MAX(1,ROUND(N222*X222,0)))</x:f>
        <x:v>2</x:v>
      </x:c>
      <x:c r="Z222" s="333" t="n">
        <x:f>ROUND((IF(AU166&gt;0,AU166,IF(Z166&gt;0,Z166,'Setup'!$D$82))*T222)/'Setup'!$B$9,0)*'Setup'!$B$9</x:f>
        <x:v>0</x:v>
      </x:c>
      <x:c r="AA222" s="334"/>
      <x:c r="AB222" s="334"/>
      <x:c r="AC222" s="334"/>
      <x:c r="AD222" s="334"/>
      <x:c r="AE222" s="334"/>
      <x:c r="AF222" s="334"/>
      <x:c r="AG222" s="334"/>
      <x:c r="AH222" s="334"/>
      <x:c r="AI222" s="334"/>
      <x:c r="AJ222" s="312"/>
      <x:c r="AK222" s="312"/>
      <x:c r="AL222" s="312"/>
      <x:c r="AM222" s="312"/>
      <x:c r="AN222" s="312"/>
      <x:c r="AO222" s="315" t="n">
        <x:f>COUNT(AB222,AD222,AF222,AH222,AJ222)</x:f>
        <x:v>0</x:v>
      </x:c>
      <x:c r="AP222" s="315" t="n">
        <x:f>SUM(AB222,AD222,AF222,AH222,AJ222)</x:f>
        <x:v>0</x:v>
      </x:c>
      <x:c r="AQ222" s="333" t="n">
        <x:f>AA222*AB222+AC222*AD222+AE222*AF222+AG222*AH222+AI222*AJ222</x:f>
        <x:v>0</x:v>
      </x:c>
      <x:c r="AR222" s="333" t="n">
        <x:f>IF(OR(J222="Strength",J222="Hypertrophy"),MAX(IF(AB222&gt;0,AA222*(1+AB222/30),0),IF(AD222&gt;0,AC222*(1+AD222/30),0),IF(AF222&gt;0,AE222*(1+AF222/30),0),IF(AH222&gt;0,AG222*(1+AH222/30),0),IF(AJ222&gt;0,AI222*(1+AJ222/30),0)),0)</x:f>
        <x:v>0</x:v>
      </x:c>
      <x:c r="AS222" s="315" t="str">
        <x:f>IF(AN222&lt;&gt;"Yes","Not logged",IF(AL222&gt;='Setup'!$B$14,"STOP / MODIFY",IF(Z222=0,"Complete",IF(OR(AO222=0,AK222=""),"Add set data + RIR",IF(AND(MAX(AB222,AD222,AF222,AH222,AJ222)&gt;=P222,AK222&gt;=Q222+1),"Progress",IF(OR(MAX(AB222,AD222,AF222,AH222,AJ222)&lt;O222,AK222&lt;Q222-1),"Regress","Hold"))))))</x:f>
        <x:v>Not logged</x:v>
      </x:c>
      <x:c r="AT222" s="335" t="n">
        <x:f>IF(OR(Z222=0,AN222&lt;&gt;"Yes",AO222=0,AK222=""),0,IF(AL222&gt;='Setup'!$B$14,-2*'Setup'!$B$11,IF(AND(MAX(AB222,AD222,AF222,AH222,AJ222)&gt;=P222,AK222&gt;=Q222+1),'Setup'!$B$10,IF(OR(MAX(AB222,AD222,AF222,AH222,AJ222)&lt;O222,AK222&lt;Q222-1),-'Setup'!$B$11,0))))</x:f>
        <x:v>0</x:v>
      </x:c>
      <x:c r="AU222" s="333" t="n">
        <x:f>IF(Z222=0,0,IF(AN222&lt;&gt;"Yes",Z222,IF(COUNT(AA222,AC222,AE222,AG222,AI222)=0,Z222,ROUND((MAX(AA222,AC222,AE222,AG222,AI222)*(1+AT222))/'Setup'!$B$9,0)*'Setup'!$B$9)))</x:f>
        <x:v>0</x:v>
      </x:c>
      <x:c r="AV222" s="336"/>
    </x:row>
    <x:row r="223">
      <x:c r="A223" s="310" t="n">
        <x:f>'Setup'!$B$3+(C223-1)*7+(D223-1)</x:f>
        <x:v>46269</x:v>
      </x:c>
      <x:c r="B223" s="311" t="str">
        <x:v>4|5|9</x:v>
      </x:c>
      <x:c r="C223" s="311" t="n">
        <x:v>4</x:v>
      </x:c>
      <x:c r="D223" s="311" t="n">
        <x:v>5</x:v>
      </x:c>
      <x:c r="E223" s="311" t="str">
        <x:v>Deload 1</x:v>
      </x:c>
      <x:c r="F223" s="311" t="str">
        <x:v>Legs B + Athletic</x:v>
      </x:c>
      <x:c r="G223" s="311" t="str">
        <x:v>Acceleration + lower-body hypertrophy</x:v>
      </x:c>
      <x:c r="H223" s="311" t="n">
        <x:v>9</x:v>
      </x:c>
      <x:c r="I223" s="311" t="str">
        <x:v>Copenhagen Plank</x:v>
      </x:c>
      <x:c r="J223" s="311" t="str">
        <x:v>Mobility</x:v>
      </x:c>
      <x:c r="K223" s="311" t="str">
        <x:v>Core</x:v>
      </x:c>
      <x:c r="L223" s="311" t="str">
        <x:v>Straight sets, crisp reps only</x:v>
      </x:c>
      <x:c r="M223" s="311"/>
      <x:c r="N223" s="311" t="n">
        <x:v>2</x:v>
      </x:c>
      <x:c r="O223" s="311" t="n">
        <x:v>20</x:v>
      </x:c>
      <x:c r="P223" s="311" t="n">
        <x:v>30</x:v>
      </x:c>
      <x:c r="Q223" s="311"/>
      <x:c r="R223" s="311" t="n">
        <x:v>30</x:v>
      </x:c>
      <x:c r="S223" s="311" t="str">
        <x:v>Hold</x:v>
      </x:c>
      <x:c r="T223" s="330" t="n">
        <x:v>0.9</x:v>
      </x:c>
      <x:c r="U223" s="330" t="n">
        <x:v>0</x:v>
      </x:c>
      <x:c r="V223" s="331" t="str">
        <x:v>seconds</x:v>
      </x:c>
      <x:c r="W223" s="332" t="str">
        <x:f>'Readiness'!K29</x:f>
      </x:c>
      <x:c r="X223" s="314" t="n">
        <x:f>'Readiness'!L29</x:f>
        <x:v>1</x:v>
      </x:c>
      <x:c r="Y223" s="315" t="n">
        <x:f>IF(J223="Mobility",N223,MAX(1,ROUND(N223*X223,0)))</x:f>
        <x:v>2</x:v>
      </x:c>
      <x:c r="Z223" s="333" t="n">
        <x:f>0</x:f>
        <x:v>0</x:v>
      </x:c>
      <x:c r="AA223" s="334"/>
      <x:c r="AB223" s="334"/>
      <x:c r="AC223" s="334"/>
      <x:c r="AD223" s="334"/>
      <x:c r="AE223" s="334"/>
      <x:c r="AF223" s="334"/>
      <x:c r="AG223" s="334"/>
      <x:c r="AH223" s="334"/>
      <x:c r="AI223" s="334"/>
      <x:c r="AJ223" s="312"/>
      <x:c r="AK223" s="312"/>
      <x:c r="AL223" s="312"/>
      <x:c r="AM223" s="312"/>
      <x:c r="AN223" s="312"/>
      <x:c r="AO223" s="315" t="n">
        <x:f>COUNT(AB223,AD223,AF223,AH223,AJ223)</x:f>
        <x:v>0</x:v>
      </x:c>
      <x:c r="AP223" s="315" t="n">
        <x:f>SUM(AB223,AD223,AF223,AH223,AJ223)</x:f>
        <x:v>0</x:v>
      </x:c>
      <x:c r="AQ223" s="333" t="n">
        <x:f>AA223*AB223+AC223*AD223+AE223*AF223+AG223*AH223+AI223*AJ223</x:f>
        <x:v>0</x:v>
      </x:c>
      <x:c r="AR223" s="333" t="n">
        <x:f>IF(OR(J223="Strength",J223="Hypertrophy"),MAX(IF(AB223&gt;0,AA223*(1+AB223/30),0),IF(AD223&gt;0,AC223*(1+AD223/30),0),IF(AF223&gt;0,AE223*(1+AF223/30),0),IF(AH223&gt;0,AG223*(1+AH223/30),0),IF(AJ223&gt;0,AI223*(1+AJ223/30),0)),0)</x:f>
        <x:v>0</x:v>
      </x:c>
      <x:c r="AS223" s="315" t="str">
        <x:f>IF(AN223&lt;&gt;"Yes","Not logged",IF(AL223&gt;='Setup'!$B$14,"STOP / MODIFY",IF(Z223=0,"Complete",IF(OR(AO223=0,AK223=""),"Add set data + RIR",IF(AND(MAX(AB223,AD223,AF223,AH223,AJ223)&gt;=P223,AK223&gt;=Q223+1),"Progress",IF(OR(MAX(AB223,AD223,AF223,AH223,AJ223)&lt;O223,AK223&lt;Q223-1),"Regress","Hold"))))))</x:f>
        <x:v>Not logged</x:v>
      </x:c>
      <x:c r="AT223" s="335" t="n">
        <x:f>IF(OR(Z223=0,AN223&lt;&gt;"Yes",AO223=0,AK223=""),0,IF(AL223&gt;='Setup'!$B$14,-2*'Setup'!$B$11,IF(AND(MAX(AB223,AD223,AF223,AH223,AJ223)&gt;=P223,AK223&gt;=Q223+1),'Setup'!$B$10,IF(OR(MAX(AB223,AD223,AF223,AH223,AJ223)&lt;O223,AK223&lt;Q223-1),-'Setup'!$B$11,0))))</x:f>
        <x:v>0</x:v>
      </x:c>
      <x:c r="AU223" s="333" t="n">
        <x:f>IF(Z223=0,0,IF(AN223&lt;&gt;"Yes",Z223,IF(COUNT(AA223,AC223,AE223,AG223,AI223)=0,Z223,ROUND((MAX(AA223,AC223,AE223,AG223,AI223)*(1+AT223))/'Setup'!$B$9,0)*'Setup'!$B$9)))</x:f>
        <x:v>0</x:v>
      </x:c>
      <x:c r="AV223" s="336"/>
    </x:row>
    <x:row r="224">
      <x:c r="A224" s="310" t="n">
        <x:f>'Setup'!$B$3+(C224-1)*7+(D224-1)</x:f>
        <x:v>46269</x:v>
      </x:c>
      <x:c r="B224" s="311" t="str">
        <x:v>4|5|10</x:v>
      </x:c>
      <x:c r="C224" s="311" t="n">
        <x:v>4</x:v>
      </x:c>
      <x:c r="D224" s="311" t="n">
        <x:v>5</x:v>
      </x:c>
      <x:c r="E224" s="311" t="str">
        <x:v>Deload 1</x:v>
      </x:c>
      <x:c r="F224" s="311" t="str">
        <x:v>Legs B + Athletic</x:v>
      </x:c>
      <x:c r="G224" s="311" t="str">
        <x:v>Acceleration + lower-body hypertrophy</x:v>
      </x:c>
      <x:c r="H224" s="311" t="n">
        <x:v>10</x:v>
      </x:c>
      <x:c r="I224" s="311" t="str">
        <x:v>Couch Stretch</x:v>
      </x:c>
      <x:c r="J224" s="311" t="str">
        <x:v>Mobility</x:v>
      </x:c>
      <x:c r="K224" s="311" t="str">
        <x:v>Hips</x:v>
      </x:c>
      <x:c r="L224" s="311" t="str">
        <x:v>Straight sets, crisp reps only</x:v>
      </x:c>
      <x:c r="M224" s="311"/>
      <x:c r="N224" s="311" t="n">
        <x:v>2</x:v>
      </x:c>
      <x:c r="O224" s="311" t="n">
        <x:v>30</x:v>
      </x:c>
      <x:c r="P224" s="311" t="n">
        <x:v>45</x:v>
      </x:c>
      <x:c r="Q224" s="311"/>
      <x:c r="R224" s="311" t="n">
        <x:v>20</x:v>
      </x:c>
      <x:c r="S224" s="311" t="str">
        <x:v>Hold</x:v>
      </x:c>
      <x:c r="T224" s="330" t="n">
        <x:v>0.9</x:v>
      </x:c>
      <x:c r="U224" s="330" t="n">
        <x:v>0</x:v>
      </x:c>
      <x:c r="V224" s="331" t="str">
        <x:v>seconds</x:v>
      </x:c>
      <x:c r="W224" s="332" t="str">
        <x:f>'Readiness'!K29</x:f>
      </x:c>
      <x:c r="X224" s="314" t="n">
        <x:f>'Readiness'!L29</x:f>
        <x:v>1</x:v>
      </x:c>
      <x:c r="Y224" s="315" t="n">
        <x:f>IF(J224="Mobility",N224,MAX(1,ROUND(N224*X224,0)))</x:f>
        <x:v>2</x:v>
      </x:c>
      <x:c r="Z224" s="333" t="n">
        <x:f>0</x:f>
        <x:v>0</x:v>
      </x:c>
      <x:c r="AA224" s="334"/>
      <x:c r="AB224" s="334"/>
      <x:c r="AC224" s="334"/>
      <x:c r="AD224" s="334"/>
      <x:c r="AE224" s="334"/>
      <x:c r="AF224" s="334"/>
      <x:c r="AG224" s="334"/>
      <x:c r="AH224" s="334"/>
      <x:c r="AI224" s="334"/>
      <x:c r="AJ224" s="312"/>
      <x:c r="AK224" s="312"/>
      <x:c r="AL224" s="312"/>
      <x:c r="AM224" s="312"/>
      <x:c r="AN224" s="312"/>
      <x:c r="AO224" s="315" t="n">
        <x:f>COUNT(AB224,AD224,AF224,AH224,AJ224)</x:f>
        <x:v>0</x:v>
      </x:c>
      <x:c r="AP224" s="315" t="n">
        <x:f>SUM(AB224,AD224,AF224,AH224,AJ224)</x:f>
        <x:v>0</x:v>
      </x:c>
      <x:c r="AQ224" s="333" t="n">
        <x:f>AA224*AB224+AC224*AD224+AE224*AF224+AG224*AH224+AI224*AJ224</x:f>
        <x:v>0</x:v>
      </x:c>
      <x:c r="AR224" s="333" t="n">
        <x:f>IF(OR(J224="Strength",J224="Hypertrophy"),MAX(IF(AB224&gt;0,AA224*(1+AB224/30),0),IF(AD224&gt;0,AC224*(1+AD224/30),0),IF(AF224&gt;0,AE224*(1+AF224/30),0),IF(AH224&gt;0,AG224*(1+AH224/30),0),IF(AJ224&gt;0,AI224*(1+AJ224/30),0)),0)</x:f>
        <x:v>0</x:v>
      </x:c>
      <x:c r="AS224" s="315" t="str">
        <x:f>IF(AN224&lt;&gt;"Yes","Not logged",IF(AL224&gt;='Setup'!$B$14,"STOP / MODIFY",IF(Z224=0,"Complete",IF(OR(AO224=0,AK224=""),"Add set data + RIR",IF(AND(MAX(AB224,AD224,AF224,AH224,AJ224)&gt;=P224,AK224&gt;=Q224+1),"Progress",IF(OR(MAX(AB224,AD224,AF224,AH224,AJ224)&lt;O224,AK224&lt;Q224-1),"Regress","Hold"))))))</x:f>
        <x:v>Not logged</x:v>
      </x:c>
      <x:c r="AT224" s="335" t="n">
        <x:f>IF(OR(Z224=0,AN224&lt;&gt;"Yes",AO224=0,AK224=""),0,IF(AL224&gt;='Setup'!$B$14,-2*'Setup'!$B$11,IF(AND(MAX(AB224,AD224,AF224,AH224,AJ224)&gt;=P224,AK224&gt;=Q224+1),'Setup'!$B$10,IF(OR(MAX(AB224,AD224,AF224,AH224,AJ224)&lt;O224,AK224&lt;Q224-1),-'Setup'!$B$11,0))))</x:f>
        <x:v>0</x:v>
      </x:c>
      <x:c r="AU224" s="333" t="n">
        <x:f>IF(Z224=0,0,IF(AN224&lt;&gt;"Yes",Z224,IF(COUNT(AA224,AC224,AE224,AG224,AI224)=0,Z224,ROUND((MAX(AA224,AC224,AE224,AG224,AI224)*(1+AT224))/'Setup'!$B$9,0)*'Setup'!$B$9)))</x:f>
        <x:v>0</x:v>
      </x:c>
      <x:c r="AV224" s="336"/>
    </x:row>
    <x:row r="225">
      <x:c r="A225" s="310" t="n">
        <x:f>'Setup'!$B$3+(C225-1)*7+(D225-1)</x:f>
        <x:v>46270</x:v>
      </x:c>
      <x:c r="B225" s="311" t="str">
        <x:v>4|6|1</x:v>
      </x:c>
      <x:c r="C225" s="311" t="n">
        <x:v>4</x:v>
      </x:c>
      <x:c r="D225" s="311" t="n">
        <x:v>6</x:v>
      </x:c>
      <x:c r="E225" s="311" t="str">
        <x:v>Deload 1</x:v>
      </x:c>
      <x:c r="F225" s="311" t="str">
        <x:v>Push B</x:v>
      </x:c>
      <x:c r="G225" s="311" t="str">
        <x:v>Upper-body speed + chest volume</x:v>
      </x:c>
      <x:c r="H225" s="311" t="n">
        <x:v>1</x:v>
      </x:c>
      <x:c r="I225" s="311" t="str">
        <x:v>Plyometric Push-Up</x:v>
      </x:c>
      <x:c r="J225" s="311" t="str">
        <x:v>Power</x:v>
      </x:c>
      <x:c r="K225" s="311" t="str">
        <x:v>Chest</x:v>
      </x:c>
      <x:c r="L225" s="311" t="str">
        <x:v>Straight sets, crisp reps only</x:v>
      </x:c>
      <x:c r="M225" s="311"/>
      <x:c r="N225" s="311" t="n">
        <x:v>2</x:v>
      </x:c>
      <x:c r="O225" s="311" t="n">
        <x:v>3</x:v>
      </x:c>
      <x:c r="P225" s="311" t="n">
        <x:v>5</x:v>
      </x:c>
      <x:c r="Q225" s="311" t="n">
        <x:v>4</x:v>
      </x:c>
      <x:c r="R225" s="311" t="n">
        <x:v>60</x:v>
      </x:c>
      <x:c r="S225" s="311" t="str">
        <x:v>Explosive</x:v>
      </x:c>
      <x:c r="T225" s="330" t="n">
        <x:v>0.9</x:v>
      </x:c>
      <x:c r="U225" s="330" t="n">
        <x:v>0</x:v>
      </x:c>
      <x:c r="V225" s="331" t="str">
        <x:v>reps</x:v>
      </x:c>
      <x:c r="W225" s="332" t="str">
        <x:f>'Readiness'!K30</x:f>
      </x:c>
      <x:c r="X225" s="314" t="n">
        <x:f>'Readiness'!L30</x:f>
        <x:v>1</x:v>
      </x:c>
      <x:c r="Y225" s="315" t="n">
        <x:f>IF(J225="Mobility",N225,MAX(1,ROUND(N225*X225,0)))</x:f>
        <x:v>2</x:v>
      </x:c>
      <x:c r="Z225" s="333" t="n">
        <x:f>0</x:f>
        <x:v>0</x:v>
      </x:c>
      <x:c r="AA225" s="334"/>
      <x:c r="AB225" s="334"/>
      <x:c r="AC225" s="334"/>
      <x:c r="AD225" s="334"/>
      <x:c r="AE225" s="334"/>
      <x:c r="AF225" s="334"/>
      <x:c r="AG225" s="334"/>
      <x:c r="AH225" s="334"/>
      <x:c r="AI225" s="334"/>
      <x:c r="AJ225" s="312"/>
      <x:c r="AK225" s="312"/>
      <x:c r="AL225" s="312"/>
      <x:c r="AM225" s="312"/>
      <x:c r="AN225" s="312"/>
      <x:c r="AO225" s="315" t="n">
        <x:f>COUNT(AB225,AD225,AF225,AH225,AJ225)</x:f>
        <x:v>0</x:v>
      </x:c>
      <x:c r="AP225" s="315" t="n">
        <x:f>SUM(AB225,AD225,AF225,AH225,AJ225)</x:f>
        <x:v>0</x:v>
      </x:c>
      <x:c r="AQ225" s="333" t="n">
        <x:f>AA225*AB225+AC225*AD225+AE225*AF225+AG225*AH225+AI225*AJ225</x:f>
        <x:v>0</x:v>
      </x:c>
      <x:c r="AR225" s="333" t="n">
        <x:f>IF(OR(J225="Strength",J225="Hypertrophy"),MAX(IF(AB225&gt;0,AA225*(1+AB225/30),0),IF(AD225&gt;0,AC225*(1+AD225/30),0),IF(AF225&gt;0,AE225*(1+AF225/30),0),IF(AH225&gt;0,AG225*(1+AH225/30),0),IF(AJ225&gt;0,AI225*(1+AJ225/30),0)),0)</x:f>
        <x:v>0</x:v>
      </x:c>
      <x:c r="AS225" s="315" t="str">
        <x:f>IF(AN225&lt;&gt;"Yes","Not logged",IF(AL225&gt;='Setup'!$B$14,"STOP / MODIFY",IF(Z225=0,"Complete",IF(OR(AO225=0,AK225=""),"Add set data + RIR",IF(AND(MAX(AB225,AD225,AF225,AH225,AJ225)&gt;=P225,AK225&gt;=Q225+1),"Progress",IF(OR(MAX(AB225,AD225,AF225,AH225,AJ225)&lt;O225,AK225&lt;Q225-1),"Regress","Hold"))))))</x:f>
        <x:v>Not logged</x:v>
      </x:c>
      <x:c r="AT225" s="335" t="n">
        <x:f>IF(OR(Z225=0,AN225&lt;&gt;"Yes",AO225=0,AK225=""),0,IF(AL225&gt;='Setup'!$B$14,-2*'Setup'!$B$11,IF(AND(MAX(AB225,AD225,AF225,AH225,AJ225)&gt;=P225,AK225&gt;=Q225+1),'Setup'!$B$10,IF(OR(MAX(AB225,AD225,AF225,AH225,AJ225)&lt;O225,AK225&lt;Q225-1),-'Setup'!$B$11,0))))</x:f>
        <x:v>0</x:v>
      </x:c>
      <x:c r="AU225" s="333" t="n">
        <x:f>IF(Z225=0,0,IF(AN225&lt;&gt;"Yes",Z225,IF(COUNT(AA225,AC225,AE225,AG225,AI225)=0,Z225,ROUND((MAX(AA225,AC225,AE225,AG225,AI225)*(1+AT225))/'Setup'!$B$9,0)*'Setup'!$B$9)))</x:f>
        <x:v>0</x:v>
      </x:c>
      <x:c r="AV225" s="336"/>
    </x:row>
    <x:row r="226">
      <x:c r="A226" s="310" t="n">
        <x:f>'Setup'!$B$3+(C226-1)*7+(D226-1)</x:f>
        <x:v>46270</x:v>
      </x:c>
      <x:c r="B226" s="311" t="str">
        <x:v>4|6|2</x:v>
      </x:c>
      <x:c r="C226" s="311" t="n">
        <x:v>4</x:v>
      </x:c>
      <x:c r="D226" s="311" t="n">
        <x:v>6</x:v>
      </x:c>
      <x:c r="E226" s="311" t="str">
        <x:v>Deload 1</x:v>
      </x:c>
      <x:c r="F226" s="311" t="str">
        <x:v>Push B</x:v>
      </x:c>
      <x:c r="G226" s="311" t="str">
        <x:v>Upper-body speed + chest volume</x:v>
      </x:c>
      <x:c r="H226" s="311" t="n">
        <x:v>2</x:v>
      </x:c>
      <x:c r="I226" s="311" t="str">
        <x:v>Speed Bench Press</x:v>
      </x:c>
      <x:c r="J226" s="311" t="str">
        <x:v>Power</x:v>
      </x:c>
      <x:c r="K226" s="311" t="str">
        <x:v>Chest</x:v>
      </x:c>
      <x:c r="L226" s="311" t="str">
        <x:v>Straight sets, crisp reps only</x:v>
      </x:c>
      <x:c r="M226" s="311"/>
      <x:c r="N226" s="311" t="n">
        <x:v>3</x:v>
      </x:c>
      <x:c r="O226" s="311" t="n">
        <x:v>3</x:v>
      </x:c>
      <x:c r="P226" s="311" t="n">
        <x:v>3</x:v>
      </x:c>
      <x:c r="Q226" s="311" t="n">
        <x:v>4</x:v>
      </x:c>
      <x:c r="R226" s="311" t="n">
        <x:v>60</x:v>
      </x:c>
      <x:c r="S226" s="311" t="str">
        <x:v>1-0-X</x:v>
      </x:c>
      <x:c r="T226" s="330" t="n">
        <x:v>0.9</x:v>
      </x:c>
      <x:c r="U226" s="330" t="n">
        <x:v>0.55</x:v>
      </x:c>
      <x:c r="V226" s="331" t="str">
        <x:v>load × reps</x:v>
      </x:c>
      <x:c r="W226" s="332" t="str">
        <x:f>'Readiness'!K30</x:f>
      </x:c>
      <x:c r="X226" s="314" t="n">
        <x:f>'Readiness'!L30</x:f>
        <x:v>1</x:v>
      </x:c>
      <x:c r="Y226" s="315" t="n">
        <x:f>IF(J226="Mobility",N226,MAX(1,ROUND(N226*X226,0)))</x:f>
        <x:v>3</x:v>
      </x:c>
      <x:c r="Z226" s="333" t="n">
        <x:f>ROUND((IF(AU170&gt;0,AU170,IF(Z170&gt;0,Z170,'Setup'!$D$89))*T226)/'Setup'!$B$9,0)*'Setup'!$B$9</x:f>
        <x:v>0</x:v>
      </x:c>
      <x:c r="AA226" s="334"/>
      <x:c r="AB226" s="334"/>
      <x:c r="AC226" s="334"/>
      <x:c r="AD226" s="334"/>
      <x:c r="AE226" s="334"/>
      <x:c r="AF226" s="334"/>
      <x:c r="AG226" s="334"/>
      <x:c r="AH226" s="334"/>
      <x:c r="AI226" s="334"/>
      <x:c r="AJ226" s="312"/>
      <x:c r="AK226" s="312"/>
      <x:c r="AL226" s="312"/>
      <x:c r="AM226" s="312"/>
      <x:c r="AN226" s="312"/>
      <x:c r="AO226" s="315" t="n">
        <x:f>COUNT(AB226,AD226,AF226,AH226,AJ226)</x:f>
        <x:v>0</x:v>
      </x:c>
      <x:c r="AP226" s="315" t="n">
        <x:f>SUM(AB226,AD226,AF226,AH226,AJ226)</x:f>
        <x:v>0</x:v>
      </x:c>
      <x:c r="AQ226" s="333" t="n">
        <x:f>AA226*AB226+AC226*AD226+AE226*AF226+AG226*AH226+AI226*AJ226</x:f>
        <x:v>0</x:v>
      </x:c>
      <x:c r="AR226" s="333" t="n">
        <x:f>IF(OR(J226="Strength",J226="Hypertrophy"),MAX(IF(AB226&gt;0,AA226*(1+AB226/30),0),IF(AD226&gt;0,AC226*(1+AD226/30),0),IF(AF226&gt;0,AE226*(1+AF226/30),0),IF(AH226&gt;0,AG226*(1+AH226/30),0),IF(AJ226&gt;0,AI226*(1+AJ226/30),0)),0)</x:f>
        <x:v>0</x:v>
      </x:c>
      <x:c r="AS226" s="315" t="str">
        <x:f>IF(AN226&lt;&gt;"Yes","Not logged",IF(AL226&gt;='Setup'!$B$14,"STOP / MODIFY",IF(Z226=0,"Complete",IF(OR(AO226=0,AK226=""),"Add set data + RIR",IF(AND(MAX(AB226,AD226,AF226,AH226,AJ226)&gt;=P226,AK226&gt;=Q226+1),"Progress",IF(OR(MAX(AB226,AD226,AF226,AH226,AJ226)&lt;O226,AK226&lt;Q226-1),"Regress","Hold"))))))</x:f>
        <x:v>Not logged</x:v>
      </x:c>
      <x:c r="AT226" s="335" t="n">
        <x:f>IF(OR(Z226=0,AN226&lt;&gt;"Yes",AO226=0,AK226=""),0,IF(AL226&gt;='Setup'!$B$14,-2*'Setup'!$B$11,IF(AND(MAX(AB226,AD226,AF226,AH226,AJ226)&gt;=P226,AK226&gt;=Q226+1),'Setup'!$B$10,IF(OR(MAX(AB226,AD226,AF226,AH226,AJ226)&lt;O226,AK226&lt;Q226-1),-'Setup'!$B$11,0))))</x:f>
        <x:v>0</x:v>
      </x:c>
      <x:c r="AU226" s="333" t="n">
        <x:f>IF(Z226=0,0,IF(AN226&lt;&gt;"Yes",Z226,IF(COUNT(AA226,AC226,AE226,AG226,AI226)=0,Z226,ROUND((MAX(AA226,AC226,AE226,AG226,AI226)*(1+AT226))/'Setup'!$B$9,0)*'Setup'!$B$9)))</x:f>
        <x:v>0</x:v>
      </x:c>
      <x:c r="AV226" s="336"/>
    </x:row>
    <x:row r="227">
      <x:c r="A227" s="310" t="n">
        <x:f>'Setup'!$B$3+(C227-1)*7+(D227-1)</x:f>
        <x:v>46270</x:v>
      </x:c>
      <x:c r="B227" s="311" t="str">
        <x:v>4|6|3</x:v>
      </x:c>
      <x:c r="C227" s="311" t="n">
        <x:v>4</x:v>
      </x:c>
      <x:c r="D227" s="311" t="n">
        <x:v>6</x:v>
      </x:c>
      <x:c r="E227" s="311" t="str">
        <x:v>Deload 1</x:v>
      </x:c>
      <x:c r="F227" s="311" t="str">
        <x:v>Push B</x:v>
      </x:c>
      <x:c r="G227" s="311" t="str">
        <x:v>Upper-body speed + chest volume</x:v>
      </x:c>
      <x:c r="H227" s="311" t="n">
        <x:v>3</x:v>
      </x:c>
      <x:c r="I227" s="311" t="str">
        <x:v>Incline Barbell Bench Press</x:v>
      </x:c>
      <x:c r="J227" s="311" t="str">
        <x:v>Hypertrophy</x:v>
      </x:c>
      <x:c r="K227" s="311" t="str">
        <x:v>Chest</x:v>
      </x:c>
      <x:c r="L227" s="311" t="str">
        <x:v>Straight sets, crisp reps only</x:v>
      </x:c>
      <x:c r="M227" s="311"/>
      <x:c r="N227" s="311" t="n">
        <x:v>2</x:v>
      </x:c>
      <x:c r="O227" s="311" t="n">
        <x:v>8</x:v>
      </x:c>
      <x:c r="P227" s="311" t="n">
        <x:v>10</x:v>
      </x:c>
      <x:c r="Q227" s="311" t="n">
        <x:v>4</x:v>
      </x:c>
      <x:c r="R227" s="311" t="n">
        <x:v>120</x:v>
      </x:c>
      <x:c r="S227" s="311" t="str">
        <x:v>3-0-1</x:v>
      </x:c>
      <x:c r="T227" s="330" t="n">
        <x:v>0.9</x:v>
      </x:c>
      <x:c r="U227" s="330" t="n">
        <x:v>0.58</x:v>
      </x:c>
      <x:c r="V227" s="331" t="str">
        <x:v>load × reps</x:v>
      </x:c>
      <x:c r="W227" s="332" t="str">
        <x:f>'Readiness'!K30</x:f>
      </x:c>
      <x:c r="X227" s="314" t="n">
        <x:f>'Readiness'!L30</x:f>
        <x:v>1</x:v>
      </x:c>
      <x:c r="Y227" s="315" t="n">
        <x:f>IF(J227="Mobility",N227,MAX(1,ROUND(N227*X227,0)))</x:f>
        <x:v>2</x:v>
      </x:c>
      <x:c r="Z227" s="333" t="n">
        <x:f>ROUND((IF(AU171&gt;0,AU171,IF(Z171&gt;0,Z171,'Setup'!$D$49))*T227)/'Setup'!$B$9,0)*'Setup'!$B$9</x:f>
        <x:v>0</x:v>
      </x:c>
      <x:c r="AA227" s="334"/>
      <x:c r="AB227" s="334"/>
      <x:c r="AC227" s="334"/>
      <x:c r="AD227" s="334"/>
      <x:c r="AE227" s="334"/>
      <x:c r="AF227" s="334"/>
      <x:c r="AG227" s="334"/>
      <x:c r="AH227" s="334"/>
      <x:c r="AI227" s="334"/>
      <x:c r="AJ227" s="312"/>
      <x:c r="AK227" s="312"/>
      <x:c r="AL227" s="312"/>
      <x:c r="AM227" s="312"/>
      <x:c r="AN227" s="312"/>
      <x:c r="AO227" s="315" t="n">
        <x:f>COUNT(AB227,AD227,AF227,AH227,AJ227)</x:f>
        <x:v>0</x:v>
      </x:c>
      <x:c r="AP227" s="315" t="n">
        <x:f>SUM(AB227,AD227,AF227,AH227,AJ227)</x:f>
        <x:v>0</x:v>
      </x:c>
      <x:c r="AQ227" s="333" t="n">
        <x:f>AA227*AB227+AC227*AD227+AE227*AF227+AG227*AH227+AI227*AJ227</x:f>
        <x:v>0</x:v>
      </x:c>
      <x:c r="AR227" s="333" t="n">
        <x:f>IF(OR(J227="Strength",J227="Hypertrophy"),MAX(IF(AB227&gt;0,AA227*(1+AB227/30),0),IF(AD227&gt;0,AC227*(1+AD227/30),0),IF(AF227&gt;0,AE227*(1+AF227/30),0),IF(AH227&gt;0,AG227*(1+AH227/30),0),IF(AJ227&gt;0,AI227*(1+AJ227/30),0)),0)</x:f>
        <x:v>0</x:v>
      </x:c>
      <x:c r="AS227" s="315" t="str">
        <x:f>IF(AN227&lt;&gt;"Yes","Not logged",IF(AL227&gt;='Setup'!$B$14,"STOP / MODIFY",IF(Z227=0,"Complete",IF(OR(AO227=0,AK227=""),"Add set data + RIR",IF(AND(MAX(AB227,AD227,AF227,AH227,AJ227)&gt;=P227,AK227&gt;=Q227+1),"Progress",IF(OR(MAX(AB227,AD227,AF227,AH227,AJ227)&lt;O227,AK227&lt;Q227-1),"Regress","Hold"))))))</x:f>
        <x:v>Not logged</x:v>
      </x:c>
      <x:c r="AT227" s="335" t="n">
        <x:f>IF(OR(Z227=0,AN227&lt;&gt;"Yes",AO227=0,AK227=""),0,IF(AL227&gt;='Setup'!$B$14,-2*'Setup'!$B$11,IF(AND(MAX(AB227,AD227,AF227,AH227,AJ227)&gt;=P227,AK227&gt;=Q227+1),'Setup'!$B$10,IF(OR(MAX(AB227,AD227,AF227,AH227,AJ227)&lt;O227,AK227&lt;Q227-1),-'Setup'!$B$11,0))))</x:f>
        <x:v>0</x:v>
      </x:c>
      <x:c r="AU227" s="333" t="n">
        <x:f>IF(Z227=0,0,IF(AN227&lt;&gt;"Yes",Z227,IF(COUNT(AA227,AC227,AE227,AG227,AI227)=0,Z227,ROUND((MAX(AA227,AC227,AE227,AG227,AI227)*(1+AT227))/'Setup'!$B$9,0)*'Setup'!$B$9)))</x:f>
        <x:v>0</x:v>
      </x:c>
      <x:c r="AV227" s="336"/>
    </x:row>
    <x:row r="228">
      <x:c r="A228" s="310" t="n">
        <x:f>'Setup'!$B$3+(C228-1)*7+(D228-1)</x:f>
        <x:v>46270</x:v>
      </x:c>
      <x:c r="B228" s="311" t="str">
        <x:v>4|6|4</x:v>
      </x:c>
      <x:c r="C228" s="311" t="n">
        <x:v>4</x:v>
      </x:c>
      <x:c r="D228" s="311" t="n">
        <x:v>6</x:v>
      </x:c>
      <x:c r="E228" s="311" t="str">
        <x:v>Deload 1</x:v>
      </x:c>
      <x:c r="F228" s="311" t="str">
        <x:v>Push B</x:v>
      </x:c>
      <x:c r="G228" s="311" t="str">
        <x:v>Upper-body speed + chest volume</x:v>
      </x:c>
      <x:c r="H228" s="311" t="n">
        <x:v>4</x:v>
      </x:c>
      <x:c r="I228" s="311" t="str">
        <x:v>Machine Chest Press</x:v>
      </x:c>
      <x:c r="J228" s="311" t="str">
        <x:v>Hypertrophy</x:v>
      </x:c>
      <x:c r="K228" s="311" t="str">
        <x:v>Chest</x:v>
      </x:c>
      <x:c r="L228" s="311" t="str">
        <x:v>Straight sets, crisp reps only</x:v>
      </x:c>
      <x:c r="M228" s="311"/>
      <x:c r="N228" s="311" t="n">
        <x:v>2</x:v>
      </x:c>
      <x:c r="O228" s="311" t="n">
        <x:v>10</x:v>
      </x:c>
      <x:c r="P228" s="311" t="n">
        <x:v>12</x:v>
      </x:c>
      <x:c r="Q228" s="311" t="n">
        <x:v>4</x:v>
      </x:c>
      <x:c r="R228" s="311" t="n">
        <x:v>75</x:v>
      </x:c>
      <x:c r="S228" s="311" t="str">
        <x:v>2-1-1</x:v>
      </x:c>
      <x:c r="T228" s="330" t="n">
        <x:v>0.9</x:v>
      </x:c>
      <x:c r="U228" s="330" t="n">
        <x:v>0</x:v>
      </x:c>
      <x:c r="V228" s="331" t="str">
        <x:v>load × reps</x:v>
      </x:c>
      <x:c r="W228" s="332" t="str">
        <x:f>'Readiness'!K30</x:f>
      </x:c>
      <x:c r="X228" s="314" t="n">
        <x:f>'Readiness'!L30</x:f>
        <x:v>1</x:v>
      </x:c>
      <x:c r="Y228" s="315" t="n">
        <x:f>IF(J228="Mobility",N228,MAX(1,ROUND(N228*X228,0)))</x:f>
        <x:v>2</x:v>
      </x:c>
      <x:c r="Z228" s="333" t="n">
        <x:f>ROUND((IF(AU172&gt;0,AU172,IF(Z172&gt;0,Z172,'Setup'!$D$60))*T228)/'Setup'!$B$9,0)*'Setup'!$B$9</x:f>
        <x:v>0</x:v>
      </x:c>
      <x:c r="AA228" s="334"/>
      <x:c r="AB228" s="334"/>
      <x:c r="AC228" s="334"/>
      <x:c r="AD228" s="334"/>
      <x:c r="AE228" s="334"/>
      <x:c r="AF228" s="334"/>
      <x:c r="AG228" s="334"/>
      <x:c r="AH228" s="334"/>
      <x:c r="AI228" s="334"/>
      <x:c r="AJ228" s="312"/>
      <x:c r="AK228" s="312"/>
      <x:c r="AL228" s="312"/>
      <x:c r="AM228" s="312"/>
      <x:c r="AN228" s="312"/>
      <x:c r="AO228" s="315" t="n">
        <x:f>COUNT(AB228,AD228,AF228,AH228,AJ228)</x:f>
        <x:v>0</x:v>
      </x:c>
      <x:c r="AP228" s="315" t="n">
        <x:f>SUM(AB228,AD228,AF228,AH228,AJ228)</x:f>
        <x:v>0</x:v>
      </x:c>
      <x:c r="AQ228" s="333" t="n">
        <x:f>AA228*AB228+AC228*AD228+AE228*AF228+AG228*AH228+AI228*AJ228</x:f>
        <x:v>0</x:v>
      </x:c>
      <x:c r="AR228" s="333" t="n">
        <x:f>IF(OR(J228="Strength",J228="Hypertrophy"),MAX(IF(AB228&gt;0,AA228*(1+AB228/30),0),IF(AD228&gt;0,AC228*(1+AD228/30),0),IF(AF228&gt;0,AE228*(1+AF228/30),0),IF(AH228&gt;0,AG228*(1+AH228/30),0),IF(AJ228&gt;0,AI228*(1+AJ228/30),0)),0)</x:f>
        <x:v>0</x:v>
      </x:c>
      <x:c r="AS228" s="315" t="str">
        <x:f>IF(AN228&lt;&gt;"Yes","Not logged",IF(AL228&gt;='Setup'!$B$14,"STOP / MODIFY",IF(Z228=0,"Complete",IF(OR(AO228=0,AK228=""),"Add set data + RIR",IF(AND(MAX(AB228,AD228,AF228,AH228,AJ228)&gt;=P228,AK228&gt;=Q228+1),"Progress",IF(OR(MAX(AB228,AD228,AF228,AH228,AJ228)&lt;O228,AK228&lt;Q228-1),"Regress","Hold"))))))</x:f>
        <x:v>Not logged</x:v>
      </x:c>
      <x:c r="AT228" s="335" t="n">
        <x:f>IF(OR(Z228=0,AN228&lt;&gt;"Yes",AO228=0,AK228=""),0,IF(AL228&gt;='Setup'!$B$14,-2*'Setup'!$B$11,IF(AND(MAX(AB228,AD228,AF228,AH228,AJ228)&gt;=P228,AK228&gt;=Q228+1),'Setup'!$B$10,IF(OR(MAX(AB228,AD228,AF228,AH228,AJ228)&lt;O228,AK228&lt;Q228-1),-'Setup'!$B$11,0))))</x:f>
        <x:v>0</x:v>
      </x:c>
      <x:c r="AU228" s="333" t="n">
        <x:f>IF(Z228=0,0,IF(AN228&lt;&gt;"Yes",Z228,IF(COUNT(AA228,AC228,AE228,AG228,AI228)=0,Z228,ROUND((MAX(AA228,AC228,AE228,AG228,AI228)*(1+AT228))/'Setup'!$B$9,0)*'Setup'!$B$9)))</x:f>
        <x:v>0</x:v>
      </x:c>
      <x:c r="AV228" s="336"/>
    </x:row>
    <x:row r="229">
      <x:c r="A229" s="310" t="n">
        <x:f>'Setup'!$B$3+(C229-1)*7+(D229-1)</x:f>
        <x:v>46270</x:v>
      </x:c>
      <x:c r="B229" s="311" t="str">
        <x:v>4|6|5</x:v>
      </x:c>
      <x:c r="C229" s="311" t="n">
        <x:v>4</x:v>
      </x:c>
      <x:c r="D229" s="311" t="n">
        <x:v>6</x:v>
      </x:c>
      <x:c r="E229" s="311" t="str">
        <x:v>Deload 1</x:v>
      </x:c>
      <x:c r="F229" s="311" t="str">
        <x:v>Push B</x:v>
      </x:c>
      <x:c r="G229" s="311" t="str">
        <x:v>Upper-body speed + chest volume</x:v>
      </x:c>
      <x:c r="H229" s="311" t="n">
        <x:v>5</x:v>
      </x:c>
      <x:c r="I229" s="311" t="str">
        <x:v>Half-Kneeling Landmine Press</x:v>
      </x:c>
      <x:c r="J229" s="311" t="str">
        <x:v>Hypertrophy</x:v>
      </x:c>
      <x:c r="K229" s="311" t="str">
        <x:v>Shoulders</x:v>
      </x:c>
      <x:c r="L229" s="311" t="str">
        <x:v>Straight sets, crisp reps only</x:v>
      </x:c>
      <x:c r="M229" s="311"/>
      <x:c r="N229" s="311" t="n">
        <x:v>2</x:v>
      </x:c>
      <x:c r="O229" s="311" t="n">
        <x:v>8</x:v>
      </x:c>
      <x:c r="P229" s="311" t="n">
        <x:v>12</x:v>
      </x:c>
      <x:c r="Q229" s="311" t="n">
        <x:v>4</x:v>
      </x:c>
      <x:c r="R229" s="311" t="n">
        <x:v>75</x:v>
      </x:c>
      <x:c r="S229" s="311" t="str">
        <x:v>2-0-1</x:v>
      </x:c>
      <x:c r="T229" s="330" t="n">
        <x:v>0.9</x:v>
      </x:c>
      <x:c r="U229" s="330" t="n">
        <x:v>0</x:v>
      </x:c>
      <x:c r="V229" s="331" t="str">
        <x:v>load × reps</x:v>
      </x:c>
      <x:c r="W229" s="332" t="str">
        <x:f>'Readiness'!K30</x:f>
      </x:c>
      <x:c r="X229" s="314" t="n">
        <x:f>'Readiness'!L30</x:f>
        <x:v>1</x:v>
      </x:c>
      <x:c r="Y229" s="315" t="n">
        <x:f>IF(J229="Mobility",N229,MAX(1,ROUND(N229*X229,0)))</x:f>
        <x:v>2</x:v>
      </x:c>
      <x:c r="Z229" s="333" t="n">
        <x:f>ROUND((IF(AU173&gt;0,AU173,IF(Z173&gt;0,Z173,'Setup'!$D$47))*T229)/'Setup'!$B$9,0)*'Setup'!$B$9</x:f>
        <x:v>0</x:v>
      </x:c>
      <x:c r="AA229" s="334"/>
      <x:c r="AB229" s="334"/>
      <x:c r="AC229" s="334"/>
      <x:c r="AD229" s="334"/>
      <x:c r="AE229" s="334"/>
      <x:c r="AF229" s="334"/>
      <x:c r="AG229" s="334"/>
      <x:c r="AH229" s="334"/>
      <x:c r="AI229" s="334"/>
      <x:c r="AJ229" s="312"/>
      <x:c r="AK229" s="312"/>
      <x:c r="AL229" s="312"/>
      <x:c r="AM229" s="312"/>
      <x:c r="AN229" s="312"/>
      <x:c r="AO229" s="315" t="n">
        <x:f>COUNT(AB229,AD229,AF229,AH229,AJ229)</x:f>
        <x:v>0</x:v>
      </x:c>
      <x:c r="AP229" s="315" t="n">
        <x:f>SUM(AB229,AD229,AF229,AH229,AJ229)</x:f>
        <x:v>0</x:v>
      </x:c>
      <x:c r="AQ229" s="333" t="n">
        <x:f>AA229*AB229+AC229*AD229+AE229*AF229+AG229*AH229+AI229*AJ229</x:f>
        <x:v>0</x:v>
      </x:c>
      <x:c r="AR229" s="333" t="n">
        <x:f>IF(OR(J229="Strength",J229="Hypertrophy"),MAX(IF(AB229&gt;0,AA229*(1+AB229/30),0),IF(AD229&gt;0,AC229*(1+AD229/30),0),IF(AF229&gt;0,AE229*(1+AF229/30),0),IF(AH229&gt;0,AG229*(1+AH229/30),0),IF(AJ229&gt;0,AI229*(1+AJ229/30),0)),0)</x:f>
        <x:v>0</x:v>
      </x:c>
      <x:c r="AS229" s="315" t="str">
        <x:f>IF(AN229&lt;&gt;"Yes","Not logged",IF(AL229&gt;='Setup'!$B$14,"STOP / MODIFY",IF(Z229=0,"Complete",IF(OR(AO229=0,AK229=""),"Add set data + RIR",IF(AND(MAX(AB229,AD229,AF229,AH229,AJ229)&gt;=P229,AK229&gt;=Q229+1),"Progress",IF(OR(MAX(AB229,AD229,AF229,AH229,AJ229)&lt;O229,AK229&lt;Q229-1),"Regress","Hold"))))))</x:f>
        <x:v>Not logged</x:v>
      </x:c>
      <x:c r="AT229" s="335" t="n">
        <x:f>IF(OR(Z229=0,AN229&lt;&gt;"Yes",AO229=0,AK229=""),0,IF(AL229&gt;='Setup'!$B$14,-2*'Setup'!$B$11,IF(AND(MAX(AB229,AD229,AF229,AH229,AJ229)&gt;=P229,AK229&gt;=Q229+1),'Setup'!$B$10,IF(OR(MAX(AB229,AD229,AF229,AH229,AJ229)&lt;O229,AK229&lt;Q229-1),-'Setup'!$B$11,0))))</x:f>
        <x:v>0</x:v>
      </x:c>
      <x:c r="AU229" s="333" t="n">
        <x:f>IF(Z229=0,0,IF(AN229&lt;&gt;"Yes",Z229,IF(COUNT(AA229,AC229,AE229,AG229,AI229)=0,Z229,ROUND((MAX(AA229,AC229,AE229,AG229,AI229)*(1+AT229))/'Setup'!$B$9,0)*'Setup'!$B$9)))</x:f>
        <x:v>0</x:v>
      </x:c>
      <x:c r="AV229" s="336"/>
    </x:row>
    <x:row r="230">
      <x:c r="A230" s="310" t="n">
        <x:f>'Setup'!$B$3+(C230-1)*7+(D230-1)</x:f>
        <x:v>46270</x:v>
      </x:c>
      <x:c r="B230" s="311" t="str">
        <x:v>4|6|6</x:v>
      </x:c>
      <x:c r="C230" s="311" t="n">
        <x:v>4</x:v>
      </x:c>
      <x:c r="D230" s="311" t="n">
        <x:v>6</x:v>
      </x:c>
      <x:c r="E230" s="311" t="str">
        <x:v>Deload 1</x:v>
      </x:c>
      <x:c r="F230" s="311" t="str">
        <x:v>Push B</x:v>
      </x:c>
      <x:c r="G230" s="311" t="str">
        <x:v>Upper-body speed + chest volume</x:v>
      </x:c>
      <x:c r="H230" s="311" t="n">
        <x:v>6</x:v>
      </x:c>
      <x:c r="I230" s="311" t="str">
        <x:v>Dumbbell Lateral Raise</x:v>
      </x:c>
      <x:c r="J230" s="311" t="str">
        <x:v>Hypertrophy</x:v>
      </x:c>
      <x:c r="K230" s="311" t="str">
        <x:v>Shoulders</x:v>
      </x:c>
      <x:c r="L230" s="311" t="str">
        <x:v>Straight sets, crisp reps only</x:v>
      </x:c>
      <x:c r="M230" s="311"/>
      <x:c r="N230" s="311" t="n">
        <x:v>2</x:v>
      </x:c>
      <x:c r="O230" s="311" t="n">
        <x:v>12</x:v>
      </x:c>
      <x:c r="P230" s="311" t="n">
        <x:v>20</x:v>
      </x:c>
      <x:c r="Q230" s="311" t="n">
        <x:v>4</x:v>
      </x:c>
      <x:c r="R230" s="311" t="n">
        <x:v>60</x:v>
      </x:c>
      <x:c r="S230" s="311" t="str">
        <x:v>2-1-2</x:v>
      </x:c>
      <x:c r="T230" s="330" t="n">
        <x:v>0.9</x:v>
      </x:c>
      <x:c r="U230" s="330" t="n">
        <x:v>0</x:v>
      </x:c>
      <x:c r="V230" s="331" t="str">
        <x:v>load × reps</x:v>
      </x:c>
      <x:c r="W230" s="332" t="str">
        <x:f>'Readiness'!K30</x:f>
      </x:c>
      <x:c r="X230" s="314" t="n">
        <x:f>'Readiness'!L30</x:f>
        <x:v>1</x:v>
      </x:c>
      <x:c r="Y230" s="315" t="n">
        <x:f>IF(J230="Mobility",N230,MAX(1,ROUND(N230*X230,0)))</x:f>
        <x:v>2</x:v>
      </x:c>
      <x:c r="Z230" s="333" t="n">
        <x:f>ROUND((IF(AU174&gt;0,AU174,IF(Z174&gt;0,Z174,'Setup'!$D$39))*T230)/'Setup'!$B$9,0)*'Setup'!$B$9</x:f>
        <x:v>0</x:v>
      </x:c>
      <x:c r="AA230" s="334"/>
      <x:c r="AB230" s="334"/>
      <x:c r="AC230" s="334"/>
      <x:c r="AD230" s="334"/>
      <x:c r="AE230" s="334"/>
      <x:c r="AF230" s="334"/>
      <x:c r="AG230" s="334"/>
      <x:c r="AH230" s="334"/>
      <x:c r="AI230" s="334"/>
      <x:c r="AJ230" s="312"/>
      <x:c r="AK230" s="312"/>
      <x:c r="AL230" s="312"/>
      <x:c r="AM230" s="312"/>
      <x:c r="AN230" s="312"/>
      <x:c r="AO230" s="315" t="n">
        <x:f>COUNT(AB230,AD230,AF230,AH230,AJ230)</x:f>
        <x:v>0</x:v>
      </x:c>
      <x:c r="AP230" s="315" t="n">
        <x:f>SUM(AB230,AD230,AF230,AH230,AJ230)</x:f>
        <x:v>0</x:v>
      </x:c>
      <x:c r="AQ230" s="333" t="n">
        <x:f>AA230*AB230+AC230*AD230+AE230*AF230+AG230*AH230+AI230*AJ230</x:f>
        <x:v>0</x:v>
      </x:c>
      <x:c r="AR230" s="333" t="n">
        <x:f>IF(OR(J230="Strength",J230="Hypertrophy"),MAX(IF(AB230&gt;0,AA230*(1+AB230/30),0),IF(AD230&gt;0,AC230*(1+AD230/30),0),IF(AF230&gt;0,AE230*(1+AF230/30),0),IF(AH230&gt;0,AG230*(1+AH230/30),0),IF(AJ230&gt;0,AI230*(1+AJ230/30),0)),0)</x:f>
        <x:v>0</x:v>
      </x:c>
      <x:c r="AS230" s="315" t="str">
        <x:f>IF(AN230&lt;&gt;"Yes","Not logged",IF(AL230&gt;='Setup'!$B$14,"STOP / MODIFY",IF(Z230=0,"Complete",IF(OR(AO230=0,AK230=""),"Add set data + RIR",IF(AND(MAX(AB230,AD230,AF230,AH230,AJ230)&gt;=P230,AK230&gt;=Q230+1),"Progress",IF(OR(MAX(AB230,AD230,AF230,AH230,AJ230)&lt;O230,AK230&lt;Q230-1),"Regress","Hold"))))))</x:f>
        <x:v>Not logged</x:v>
      </x:c>
      <x:c r="AT230" s="335" t="n">
        <x:f>IF(OR(Z230=0,AN230&lt;&gt;"Yes",AO230=0,AK230=""),0,IF(AL230&gt;='Setup'!$B$14,-2*'Setup'!$B$11,IF(AND(MAX(AB230,AD230,AF230,AH230,AJ230)&gt;=P230,AK230&gt;=Q230+1),'Setup'!$B$10,IF(OR(MAX(AB230,AD230,AF230,AH230,AJ230)&lt;O230,AK230&lt;Q230-1),-'Setup'!$B$11,0))))</x:f>
        <x:v>0</x:v>
      </x:c>
      <x:c r="AU230" s="333" t="n">
        <x:f>IF(Z230=0,0,IF(AN230&lt;&gt;"Yes",Z230,IF(COUNT(AA230,AC230,AE230,AG230,AI230)=0,Z230,ROUND((MAX(AA230,AC230,AE230,AG230,AI230)*(1+AT230))/'Setup'!$B$9,0)*'Setup'!$B$9)))</x:f>
        <x:v>0</x:v>
      </x:c>
      <x:c r="AV230" s="336"/>
    </x:row>
    <x:row r="231">
      <x:c r="A231" s="310" t="n">
        <x:f>'Setup'!$B$3+(C231-1)*7+(D231-1)</x:f>
        <x:v>46270</x:v>
      </x:c>
      <x:c r="B231" s="311" t="str">
        <x:v>4|6|7</x:v>
      </x:c>
      <x:c r="C231" s="311" t="n">
        <x:v>4</x:v>
      </x:c>
      <x:c r="D231" s="311" t="n">
        <x:v>6</x:v>
      </x:c>
      <x:c r="E231" s="311" t="str">
        <x:v>Deload 1</x:v>
      </x:c>
      <x:c r="F231" s="311" t="str">
        <x:v>Push B</x:v>
      </x:c>
      <x:c r="G231" s="311" t="str">
        <x:v>Upper-body speed + chest volume</x:v>
      </x:c>
      <x:c r="H231" s="311" t="n">
        <x:v>7</x:v>
      </x:c>
      <x:c r="I231" s="311" t="str">
        <x:v>Overhead Cable Triceps Extension</x:v>
      </x:c>
      <x:c r="J231" s="311" t="str">
        <x:v>Hypertrophy</x:v>
      </x:c>
      <x:c r="K231" s="311" t="str">
        <x:v>Triceps</x:v>
      </x:c>
      <x:c r="L231" s="311" t="str">
        <x:v>Straight sets, crisp reps only</x:v>
      </x:c>
      <x:c r="M231" s="311"/>
      <x:c r="N231" s="311" t="n">
        <x:v>2</x:v>
      </x:c>
      <x:c r="O231" s="311" t="n">
        <x:v>10</x:v>
      </x:c>
      <x:c r="P231" s="311" t="n">
        <x:v>15</x:v>
      </x:c>
      <x:c r="Q231" s="311" t="n">
        <x:v>4</x:v>
      </x:c>
      <x:c r="R231" s="311" t="n">
        <x:v>60</x:v>
      </x:c>
      <x:c r="S231" s="311" t="str">
        <x:v>3-0-1</x:v>
      </x:c>
      <x:c r="T231" s="330" t="n">
        <x:v>0.9</x:v>
      </x:c>
      <x:c r="U231" s="330" t="n">
        <x:v>0</x:v>
      </x:c>
      <x:c r="V231" s="331" t="str">
        <x:v>load × reps</x:v>
      </x:c>
      <x:c r="W231" s="332" t="str">
        <x:f>'Readiness'!K30</x:f>
      </x:c>
      <x:c r="X231" s="314" t="n">
        <x:f>'Readiness'!L30</x:f>
        <x:v>1</x:v>
      </x:c>
      <x:c r="Y231" s="315" t="n">
        <x:f>IF(J231="Mobility",N231,MAX(1,ROUND(N231*X231,0)))</x:f>
        <x:v>2</x:v>
      </x:c>
      <x:c r="Z231" s="333" t="n">
        <x:f>ROUND((IF(AU175&gt;0,AU175,IF(Z175&gt;0,Z175,'Setup'!$D$69))*T231)/'Setup'!$B$9,0)*'Setup'!$B$9</x:f>
        <x:v>0</x:v>
      </x:c>
      <x:c r="AA231" s="334"/>
      <x:c r="AB231" s="334"/>
      <x:c r="AC231" s="334"/>
      <x:c r="AD231" s="334"/>
      <x:c r="AE231" s="334"/>
      <x:c r="AF231" s="334"/>
      <x:c r="AG231" s="334"/>
      <x:c r="AH231" s="334"/>
      <x:c r="AI231" s="334"/>
      <x:c r="AJ231" s="312"/>
      <x:c r="AK231" s="312"/>
      <x:c r="AL231" s="312"/>
      <x:c r="AM231" s="312"/>
      <x:c r="AN231" s="312"/>
      <x:c r="AO231" s="315" t="n">
        <x:f>COUNT(AB231,AD231,AF231,AH231,AJ231)</x:f>
        <x:v>0</x:v>
      </x:c>
      <x:c r="AP231" s="315" t="n">
        <x:f>SUM(AB231,AD231,AF231,AH231,AJ231)</x:f>
        <x:v>0</x:v>
      </x:c>
      <x:c r="AQ231" s="333" t="n">
        <x:f>AA231*AB231+AC231*AD231+AE231*AF231+AG231*AH231+AI231*AJ231</x:f>
        <x:v>0</x:v>
      </x:c>
      <x:c r="AR231" s="333" t="n">
        <x:f>IF(OR(J231="Strength",J231="Hypertrophy"),MAX(IF(AB231&gt;0,AA231*(1+AB231/30),0),IF(AD231&gt;0,AC231*(1+AD231/30),0),IF(AF231&gt;0,AE231*(1+AF231/30),0),IF(AH231&gt;0,AG231*(1+AH231/30),0),IF(AJ231&gt;0,AI231*(1+AJ231/30),0)),0)</x:f>
        <x:v>0</x:v>
      </x:c>
      <x:c r="AS231" s="315" t="str">
        <x:f>IF(AN231&lt;&gt;"Yes","Not logged",IF(AL231&gt;='Setup'!$B$14,"STOP / MODIFY",IF(Z231=0,"Complete",IF(OR(AO231=0,AK231=""),"Add set data + RIR",IF(AND(MAX(AB231,AD231,AF231,AH231,AJ231)&gt;=P231,AK231&gt;=Q231+1),"Progress",IF(OR(MAX(AB231,AD231,AF231,AH231,AJ231)&lt;O231,AK231&lt;Q231-1),"Regress","Hold"))))))</x:f>
        <x:v>Not logged</x:v>
      </x:c>
      <x:c r="AT231" s="335" t="n">
        <x:f>IF(OR(Z231=0,AN231&lt;&gt;"Yes",AO231=0,AK231=""),0,IF(AL231&gt;='Setup'!$B$14,-2*'Setup'!$B$11,IF(AND(MAX(AB231,AD231,AF231,AH231,AJ231)&gt;=P231,AK231&gt;=Q231+1),'Setup'!$B$10,IF(OR(MAX(AB231,AD231,AF231,AH231,AJ231)&lt;O231,AK231&lt;Q231-1),-'Setup'!$B$11,0))))</x:f>
        <x:v>0</x:v>
      </x:c>
      <x:c r="AU231" s="333" t="n">
        <x:f>IF(Z231=0,0,IF(AN231&lt;&gt;"Yes",Z231,IF(COUNT(AA231,AC231,AE231,AG231,AI231)=0,Z231,ROUND((MAX(AA231,AC231,AE231,AG231,AI231)*(1+AT231))/'Setup'!$B$9,0)*'Setup'!$B$9)))</x:f>
        <x:v>0</x:v>
      </x:c>
      <x:c r="AV231" s="336"/>
    </x:row>
    <x:row r="232">
      <x:c r="A232" s="310" t="n">
        <x:f>'Setup'!$B$3+(C232-1)*7+(D232-1)</x:f>
        <x:v>46270</x:v>
      </x:c>
      <x:c r="B232" s="311" t="str">
        <x:v>4|6|8</x:v>
      </x:c>
      <x:c r="C232" s="311" t="n">
        <x:v>4</x:v>
      </x:c>
      <x:c r="D232" s="311" t="n">
        <x:v>6</x:v>
      </x:c>
      <x:c r="E232" s="311" t="str">
        <x:v>Deload 1</x:v>
      </x:c>
      <x:c r="F232" s="311" t="str">
        <x:v>Push B</x:v>
      </x:c>
      <x:c r="G232" s="311" t="str">
        <x:v>Upper-body speed + chest volume</x:v>
      </x:c>
      <x:c r="H232" s="311" t="n">
        <x:v>8</x:v>
      </x:c>
      <x:c r="I232" s="311" t="str">
        <x:v>Kettlebell Suitcase Carry</x:v>
      </x:c>
      <x:c r="J232" s="311" t="str">
        <x:v>Athletic</x:v>
      </x:c>
      <x:c r="K232" s="311" t="str">
        <x:v>Core</x:v>
      </x:c>
      <x:c r="L232" s="311" t="str">
        <x:v>Straight sets, crisp reps only</x:v>
      </x:c>
      <x:c r="M232" s="311"/>
      <x:c r="N232" s="311" t="n">
        <x:v>2</x:v>
      </x:c>
      <x:c r="O232" s="311" t="n">
        <x:v>20</x:v>
      </x:c>
      <x:c r="P232" s="311" t="n">
        <x:v>30</x:v>
      </x:c>
      <x:c r="Q232" s="311" t="n">
        <x:v>4</x:v>
      </x:c>
      <x:c r="R232" s="311" t="n">
        <x:v>60</x:v>
      </x:c>
      <x:c r="S232" s="311" t="str">
        <x:v>Controlled</x:v>
      </x:c>
      <x:c r="T232" s="330" t="n">
        <x:v>0.9</x:v>
      </x:c>
      <x:c r="U232" s="330" t="n">
        <x:v>0</x:v>
      </x:c>
      <x:c r="V232" s="331" t="str">
        <x:v>load + meters</x:v>
      </x:c>
      <x:c r="W232" s="332" t="str">
        <x:f>'Readiness'!K30</x:f>
      </x:c>
      <x:c r="X232" s="314" t="n">
        <x:f>'Readiness'!L30</x:f>
        <x:v>1</x:v>
      </x:c>
      <x:c r="Y232" s="315" t="n">
        <x:f>IF(J232="Mobility",N232,MAX(1,ROUND(N232*X232,0)))</x:f>
        <x:v>2</x:v>
      </x:c>
      <x:c r="Z232" s="333" t="n">
        <x:f>0</x:f>
        <x:v>0</x:v>
      </x:c>
      <x:c r="AA232" s="334"/>
      <x:c r="AB232" s="334"/>
      <x:c r="AC232" s="334"/>
      <x:c r="AD232" s="334"/>
      <x:c r="AE232" s="334"/>
      <x:c r="AF232" s="334"/>
      <x:c r="AG232" s="334"/>
      <x:c r="AH232" s="334"/>
      <x:c r="AI232" s="334"/>
      <x:c r="AJ232" s="312"/>
      <x:c r="AK232" s="312"/>
      <x:c r="AL232" s="312"/>
      <x:c r="AM232" s="312"/>
      <x:c r="AN232" s="312"/>
      <x:c r="AO232" s="315" t="n">
        <x:f>COUNT(AB232,AD232,AF232,AH232,AJ232)</x:f>
        <x:v>0</x:v>
      </x:c>
      <x:c r="AP232" s="315" t="n">
        <x:f>SUM(AB232,AD232,AF232,AH232,AJ232)</x:f>
        <x:v>0</x:v>
      </x:c>
      <x:c r="AQ232" s="333" t="n">
        <x:f>AA232*AB232+AC232*AD232+AE232*AF232+AG232*AH232+AI232*AJ232</x:f>
        <x:v>0</x:v>
      </x:c>
      <x:c r="AR232" s="333" t="n">
        <x:f>IF(OR(J232="Strength",J232="Hypertrophy"),MAX(IF(AB232&gt;0,AA232*(1+AB232/30),0),IF(AD232&gt;0,AC232*(1+AD232/30),0),IF(AF232&gt;0,AE232*(1+AF232/30),0),IF(AH232&gt;0,AG232*(1+AH232/30),0),IF(AJ232&gt;0,AI232*(1+AJ232/30),0)),0)</x:f>
        <x:v>0</x:v>
      </x:c>
      <x:c r="AS232" s="315" t="str">
        <x:f>IF(AN232&lt;&gt;"Yes","Not logged",IF(AL232&gt;='Setup'!$B$14,"STOP / MODIFY",IF(Z232=0,"Complete",IF(OR(AO232=0,AK232=""),"Add set data + RIR",IF(AND(MAX(AB232,AD232,AF232,AH232,AJ232)&gt;=P232,AK232&gt;=Q232+1),"Progress",IF(OR(MAX(AB232,AD232,AF232,AH232,AJ232)&lt;O232,AK232&lt;Q232-1),"Regress","Hold"))))))</x:f>
        <x:v>Not logged</x:v>
      </x:c>
      <x:c r="AT232" s="335" t="n">
        <x:f>IF(OR(Z232=0,AN232&lt;&gt;"Yes",AO232=0,AK232=""),0,IF(AL232&gt;='Setup'!$B$14,-2*'Setup'!$B$11,IF(AND(MAX(AB232,AD232,AF232,AH232,AJ232)&gt;=P232,AK232&gt;=Q232+1),'Setup'!$B$10,IF(OR(MAX(AB232,AD232,AF232,AH232,AJ232)&lt;O232,AK232&lt;Q232-1),-'Setup'!$B$11,0))))</x:f>
        <x:v>0</x:v>
      </x:c>
      <x:c r="AU232" s="333" t="n">
        <x:f>IF(Z232=0,0,IF(AN232&lt;&gt;"Yes",Z232,IF(COUNT(AA232,AC232,AE232,AG232,AI232)=0,Z232,ROUND((MAX(AA232,AC232,AE232,AG232,AI232)*(1+AT232))/'Setup'!$B$9,0)*'Setup'!$B$9)))</x:f>
        <x:v>0</x:v>
      </x:c>
      <x:c r="AV232" s="336"/>
    </x:row>
    <x:row r="233">
      <x:c r="A233" s="310" t="n">
        <x:f>'Setup'!$B$3+(C233-1)*7+(D233-1)</x:f>
        <x:v>46270</x:v>
      </x:c>
      <x:c r="B233" s="311" t="str">
        <x:v>4|6|9</x:v>
      </x:c>
      <x:c r="C233" s="311" t="n">
        <x:v>4</x:v>
      </x:c>
      <x:c r="D233" s="311" t="n">
        <x:v>6</x:v>
      </x:c>
      <x:c r="E233" s="311" t="str">
        <x:v>Deload 1</x:v>
      </x:c>
      <x:c r="F233" s="311" t="str">
        <x:v>Push B</x:v>
      </x:c>
      <x:c r="G233" s="311" t="str">
        <x:v>Upper-body speed + chest volume</x:v>
      </x:c>
      <x:c r="H233" s="311" t="n">
        <x:v>9</x:v>
      </x:c>
      <x:c r="I233" s="311" t="str">
        <x:v>Open-Book Thoracic Rotation</x:v>
      </x:c>
      <x:c r="J233" s="311" t="str">
        <x:v>Mobility</x:v>
      </x:c>
      <x:c r="K233" s="311" t="str">
        <x:v>Thoracic</x:v>
      </x:c>
      <x:c r="L233" s="311" t="str">
        <x:v>Straight sets, crisp reps only</x:v>
      </x:c>
      <x:c r="M233" s="311"/>
      <x:c r="N233" s="311" t="n">
        <x:v>2</x:v>
      </x:c>
      <x:c r="O233" s="311" t="n">
        <x:v>6</x:v>
      </x:c>
      <x:c r="P233" s="311" t="n">
        <x:v>10</x:v>
      </x:c>
      <x:c r="Q233" s="311"/>
      <x:c r="R233" s="311" t="n">
        <x:v>20</x:v>
      </x:c>
      <x:c r="S233" s="311" t="str">
        <x:v>Slow</x:v>
      </x:c>
      <x:c r="T233" s="330" t="n">
        <x:v>0.9</x:v>
      </x:c>
      <x:c r="U233" s="330" t="n">
        <x:v>0</x:v>
      </x:c>
      <x:c r="V233" s="331" t="str">
        <x:v>reps</x:v>
      </x:c>
      <x:c r="W233" s="332" t="str">
        <x:f>'Readiness'!K30</x:f>
      </x:c>
      <x:c r="X233" s="314" t="n">
        <x:f>'Readiness'!L30</x:f>
        <x:v>1</x:v>
      </x:c>
      <x:c r="Y233" s="315" t="n">
        <x:f>IF(J233="Mobility",N233,MAX(1,ROUND(N233*X233,0)))</x:f>
        <x:v>2</x:v>
      </x:c>
      <x:c r="Z233" s="333" t="n">
        <x:f>0</x:f>
        <x:v>0</x:v>
      </x:c>
      <x:c r="AA233" s="334"/>
      <x:c r="AB233" s="334"/>
      <x:c r="AC233" s="334"/>
      <x:c r="AD233" s="334"/>
      <x:c r="AE233" s="334"/>
      <x:c r="AF233" s="334"/>
      <x:c r="AG233" s="334"/>
      <x:c r="AH233" s="334"/>
      <x:c r="AI233" s="334"/>
      <x:c r="AJ233" s="312"/>
      <x:c r="AK233" s="312"/>
      <x:c r="AL233" s="312"/>
      <x:c r="AM233" s="312"/>
      <x:c r="AN233" s="312"/>
      <x:c r="AO233" s="315" t="n">
        <x:f>COUNT(AB233,AD233,AF233,AH233,AJ233)</x:f>
        <x:v>0</x:v>
      </x:c>
      <x:c r="AP233" s="315" t="n">
        <x:f>SUM(AB233,AD233,AF233,AH233,AJ233)</x:f>
        <x:v>0</x:v>
      </x:c>
      <x:c r="AQ233" s="333" t="n">
        <x:f>AA233*AB233+AC233*AD233+AE233*AF233+AG233*AH233+AI233*AJ233</x:f>
        <x:v>0</x:v>
      </x:c>
      <x:c r="AR233" s="333" t="n">
        <x:f>IF(OR(J233="Strength",J233="Hypertrophy"),MAX(IF(AB233&gt;0,AA233*(1+AB233/30),0),IF(AD233&gt;0,AC233*(1+AD233/30),0),IF(AF233&gt;0,AE233*(1+AF233/30),0),IF(AH233&gt;0,AG233*(1+AH233/30),0),IF(AJ233&gt;0,AI233*(1+AJ233/30),0)),0)</x:f>
        <x:v>0</x:v>
      </x:c>
      <x:c r="AS233" s="315" t="str">
        <x:f>IF(AN233&lt;&gt;"Yes","Not logged",IF(AL233&gt;='Setup'!$B$14,"STOP / MODIFY",IF(Z233=0,"Complete",IF(OR(AO233=0,AK233=""),"Add set data + RIR",IF(AND(MAX(AB233,AD233,AF233,AH233,AJ233)&gt;=P233,AK233&gt;=Q233+1),"Progress",IF(OR(MAX(AB233,AD233,AF233,AH233,AJ233)&lt;O233,AK233&lt;Q233-1),"Regress","Hold"))))))</x:f>
        <x:v>Not logged</x:v>
      </x:c>
      <x:c r="AT233" s="335" t="n">
        <x:f>IF(OR(Z233=0,AN233&lt;&gt;"Yes",AO233=0,AK233=""),0,IF(AL233&gt;='Setup'!$B$14,-2*'Setup'!$B$11,IF(AND(MAX(AB233,AD233,AF233,AH233,AJ233)&gt;=P233,AK233&gt;=Q233+1),'Setup'!$B$10,IF(OR(MAX(AB233,AD233,AF233,AH233,AJ233)&lt;O233,AK233&lt;Q233-1),-'Setup'!$B$11,0))))</x:f>
        <x:v>0</x:v>
      </x:c>
      <x:c r="AU233" s="333" t="n">
        <x:f>IF(Z233=0,0,IF(AN233&lt;&gt;"Yes",Z233,IF(COUNT(AA233,AC233,AE233,AG233,AI233)=0,Z233,ROUND((MAX(AA233,AC233,AE233,AG233,AI233)*(1+AT233))/'Setup'!$B$9,0)*'Setup'!$B$9)))</x:f>
        <x:v>0</x:v>
      </x:c>
      <x:c r="AV233" s="336"/>
    </x:row>
    <x:row r="234">
      <x:c r="A234" s="310" t="n">
        <x:f>'Setup'!$B$3+(C234-1)*7+(D234-1)</x:f>
        <x:v>46272</x:v>
      </x:c>
      <x:c r="B234" s="311" t="str">
        <x:v>5|1|1</x:v>
      </x:c>
      <x:c r="C234" s="311" t="n">
        <x:v>5</x:v>
      </x:c>
      <x:c r="D234" s="311" t="n">
        <x:v>1</x:v>
      </x:c>
      <x:c r="E234" s="311" t="str">
        <x:v>Intensification</x:v>
      </x:c>
      <x:c r="F234" s="311" t="str">
        <x:v>Lower Strength</x:v>
      </x:c>
      <x:c r="G234" s="311" t="str">
        <x:v>Squat and hinge strength</x:v>
      </x:c>
      <x:c r="H234" s="311" t="n">
        <x:v>1</x:v>
      </x:c>
      <x:c r="I234" s="311" t="str">
        <x:v>Box Jump</x:v>
      </x:c>
      <x:c r="J234" s="311" t="str">
        <x:v>Power</x:v>
      </x:c>
      <x:c r="K234" s="311" t="str">
        <x:v>Quads</x:v>
      </x:c>
      <x:c r="L234" s="311" t="str">
        <x:v>Full reset, stop if height drops</x:v>
      </x:c>
      <x:c r="M234" s="311" t="str"/>
      <x:c r="N234" s="311" t="n">
        <x:v>4</x:v>
      </x:c>
      <x:c r="O234" s="311" t="n">
        <x:v>3</x:v>
      </x:c>
      <x:c r="P234" s="311" t="n">
        <x:v>3</x:v>
      </x:c>
      <x:c r="Q234" s="311" t="n">
        <x:v>3</x:v>
      </x:c>
      <x:c r="R234" s="311" t="n">
        <x:v>75</x:v>
      </x:c>
      <x:c r="S234" s="311" t="str">
        <x:v>Explosive</x:v>
      </x:c>
      <x:c r="T234" s="330" t="n">
        <x:v>1.11</x:v>
      </x:c>
      <x:c r="U234" s="330" t="n">
        <x:v>0</x:v>
      </x:c>
      <x:c r="V234" s="331" t="str">
        <x:v>height</x:v>
      </x:c>
      <x:c r="W234" s="332" t="str">
        <x:f>'Readiness'!K31</x:f>
      </x:c>
      <x:c r="X234" s="314" t="n">
        <x:f>'Readiness'!L31</x:f>
        <x:v>1</x:v>
      </x:c>
      <x:c r="Y234" s="315" t="n">
        <x:f>IF(J234="Mobility",N234,MAX(1,ROUND(N234*X234,0)))</x:f>
        <x:v>4</x:v>
      </x:c>
      <x:c r="Z234" s="333" t="n">
        <x:f>0</x:f>
        <x:v>0</x:v>
      </x:c>
      <x:c r="AA234" s="334"/>
      <x:c r="AB234" s="334"/>
      <x:c r="AC234" s="334"/>
      <x:c r="AD234" s="334"/>
      <x:c r="AE234" s="334"/>
      <x:c r="AF234" s="334"/>
      <x:c r="AG234" s="334"/>
      <x:c r="AH234" s="334"/>
      <x:c r="AI234" s="334"/>
      <x:c r="AJ234" s="312"/>
      <x:c r="AK234" s="312"/>
      <x:c r="AL234" s="312"/>
      <x:c r="AM234" s="312"/>
      <x:c r="AN234" s="312"/>
      <x:c r="AO234" s="315" t="n">
        <x:f>COUNT(AB234,AD234,AF234,AH234,AJ234)</x:f>
        <x:v>0</x:v>
      </x:c>
      <x:c r="AP234" s="315" t="n">
        <x:f>SUM(AB234,AD234,AF234,AH234,AJ234)</x:f>
        <x:v>0</x:v>
      </x:c>
      <x:c r="AQ234" s="333" t="n">
        <x:f>AA234*AB234+AC234*AD234+AE234*AF234+AG234*AH234+AI234*AJ234</x:f>
        <x:v>0</x:v>
      </x:c>
      <x:c r="AR234" s="333" t="n">
        <x:f>IF(OR(J234="Strength",J234="Hypertrophy"),MAX(IF(AB234&gt;0,AA234*(1+AB234/30),0),IF(AD234&gt;0,AC234*(1+AD234/30),0),IF(AF234&gt;0,AE234*(1+AF234/30),0),IF(AH234&gt;0,AG234*(1+AH234/30),0),IF(AJ234&gt;0,AI234*(1+AJ234/30),0)),0)</x:f>
        <x:v>0</x:v>
      </x:c>
      <x:c r="AS234" s="315" t="str">
        <x:f>IF(AN234&lt;&gt;"Yes","Not logged",IF(AL234&gt;='Setup'!$B$14,"STOP / MODIFY",IF(Z234=0,"Complete",IF(OR(AO234=0,AK234=""),"Add set data + RIR",IF(AND(MAX(AB234,AD234,AF234,AH234,AJ234)&gt;=P234,AK234&gt;=Q234+1),"Progress",IF(OR(MAX(AB234,AD234,AF234,AH234,AJ234)&lt;O234,AK234&lt;Q234-1),"Regress","Hold"))))))</x:f>
        <x:v>Not logged</x:v>
      </x:c>
      <x:c r="AT234" s="335" t="n">
        <x:f>IF(OR(Z234=0,AN234&lt;&gt;"Yes",AO234=0,AK234=""),0,IF(AL234&gt;='Setup'!$B$14,-2*'Setup'!$B$11,IF(AND(MAX(AB234,AD234,AF234,AH234,AJ234)&gt;=P234,AK234&gt;=Q234+1),'Setup'!$B$10,IF(OR(MAX(AB234,AD234,AF234,AH234,AJ234)&lt;O234,AK234&lt;Q234-1),-'Setup'!$B$11,0))))</x:f>
        <x:v>0</x:v>
      </x:c>
      <x:c r="AU234" s="333" t="n">
        <x:f>IF(Z234=0,0,IF(AN234&lt;&gt;"Yes",Z234,IF(COUNT(AA234,AC234,AE234,AG234,AI234)=0,Z234,ROUND((MAX(AA234,AC234,AE234,AG234,AI234)*(1+AT234))/'Setup'!$B$9,0)*'Setup'!$B$9)))</x:f>
        <x:v>0</x:v>
      </x:c>
      <x:c r="AV234" s="336"/>
    </x:row>
    <x:row r="235">
      <x:c r="A235" s="310" t="n">
        <x:f>'Setup'!$B$3+(C235-1)*7+(D235-1)</x:f>
        <x:v>46272</x:v>
      </x:c>
      <x:c r="B235" s="311" t="str">
        <x:v>5|1|2</x:v>
      </x:c>
      <x:c r="C235" s="311" t="n">
        <x:v>5</x:v>
      </x:c>
      <x:c r="D235" s="311" t="n">
        <x:v>1</x:v>
      </x:c>
      <x:c r="E235" s="311" t="str">
        <x:v>Intensification</x:v>
      </x:c>
      <x:c r="F235" s="311" t="str">
        <x:v>Lower Strength</x:v>
      </x:c>
      <x:c r="G235" s="311" t="str">
        <x:v>Squat and hinge strength</x:v>
      </x:c>
      <x:c r="H235" s="311" t="n">
        <x:v>2</x:v>
      </x:c>
      <x:c r="I235" s="311" t="str">
        <x:v>Back Squat</x:v>
      </x:c>
      <x:c r="J235" s="311" t="str">
        <x:v>Strength</x:v>
      </x:c>
      <x:c r="K235" s="311" t="str">
        <x:v>Quads</x:v>
      </x:c>
      <x:c r="L235" s="311" t="str">
        <x:v>Top set + back-offs</x:v>
      </x:c>
      <x:c r="M235" s="311" t="str"/>
      <x:c r="N235" s="311" t="n">
        <x:v>5</x:v>
      </x:c>
      <x:c r="O235" s="311" t="n">
        <x:v>3</x:v>
      </x:c>
      <x:c r="P235" s="311" t="n">
        <x:v>5</x:v>
      </x:c>
      <x:c r="Q235" s="311" t="n">
        <x:v>3</x:v>
      </x:c>
      <x:c r="R235" s="311" t="n">
        <x:v>180</x:v>
      </x:c>
      <x:c r="S235" s="311" t="str">
        <x:v>3-1-X</x:v>
      </x:c>
      <x:c r="T235" s="330" t="n">
        <x:v>1.11</x:v>
      </x:c>
      <x:c r="U235" s="330" t="n">
        <x:v>0.8</x:v>
      </x:c>
      <x:c r="V235" s="331" t="str">
        <x:v>load × reps</x:v>
      </x:c>
      <x:c r="W235" s="332" t="str">
        <x:f>'Readiness'!K31</x:f>
      </x:c>
      <x:c r="X235" s="314" t="n">
        <x:f>'Readiness'!L31</x:f>
        <x:v>1</x:v>
      </x:c>
      <x:c r="Y235" s="315" t="n">
        <x:f>IF(J235="Mobility",N235,MAX(1,ROUND(N235*X235,0)))</x:f>
        <x:v>5</x:v>
      </x:c>
      <x:c r="Z235" s="333" t="n">
        <x:f>ROUND((IF(AU180&gt;0,AU180,IF(Z180&gt;0,Z180,'Setup'!$D$23))*T235)/'Setup'!$B$9,0)*'Setup'!$B$9</x:f>
        <x:v>0</x:v>
      </x:c>
      <x:c r="AA235" s="334"/>
      <x:c r="AB235" s="334"/>
      <x:c r="AC235" s="334"/>
      <x:c r="AD235" s="334"/>
      <x:c r="AE235" s="334"/>
      <x:c r="AF235" s="334"/>
      <x:c r="AG235" s="334"/>
      <x:c r="AH235" s="334"/>
      <x:c r="AI235" s="334"/>
      <x:c r="AJ235" s="312"/>
      <x:c r="AK235" s="312"/>
      <x:c r="AL235" s="312"/>
      <x:c r="AM235" s="312"/>
      <x:c r="AN235" s="312"/>
      <x:c r="AO235" s="315" t="n">
        <x:f>COUNT(AB235,AD235,AF235,AH235,AJ235)</x:f>
        <x:v>0</x:v>
      </x:c>
      <x:c r="AP235" s="315" t="n">
        <x:f>SUM(AB235,AD235,AF235,AH235,AJ235)</x:f>
        <x:v>0</x:v>
      </x:c>
      <x:c r="AQ235" s="333" t="n">
        <x:f>AA235*AB235+AC235*AD235+AE235*AF235+AG235*AH235+AI235*AJ235</x:f>
        <x:v>0</x:v>
      </x:c>
      <x:c r="AR235" s="333" t="n">
        <x:f>IF(OR(J235="Strength",J235="Hypertrophy"),MAX(IF(AB235&gt;0,AA235*(1+AB235/30),0),IF(AD235&gt;0,AC235*(1+AD235/30),0),IF(AF235&gt;0,AE235*(1+AF235/30),0),IF(AH235&gt;0,AG235*(1+AH235/30),0),IF(AJ235&gt;0,AI235*(1+AJ235/30),0)),0)</x:f>
        <x:v>0</x:v>
      </x:c>
      <x:c r="AS235" s="315" t="str">
        <x:f>IF(AN235&lt;&gt;"Yes","Not logged",IF(AL235&gt;='Setup'!$B$14,"STOP / MODIFY",IF(Z235=0,"Complete",IF(OR(AO235=0,AK235=""),"Add set data + RIR",IF(AND(MAX(AB235,AD235,AF235,AH235,AJ235)&gt;=P235,AK235&gt;=Q235+1),"Progress",IF(OR(MAX(AB235,AD235,AF235,AH235,AJ235)&lt;O235,AK235&lt;Q235-1),"Regress","Hold"))))))</x:f>
        <x:v>Not logged</x:v>
      </x:c>
      <x:c r="AT235" s="335" t="n">
        <x:f>IF(OR(Z235=0,AN235&lt;&gt;"Yes",AO235=0,AK235=""),0,IF(AL235&gt;='Setup'!$B$14,-2*'Setup'!$B$11,IF(AND(MAX(AB235,AD235,AF235,AH235,AJ235)&gt;=P235,AK235&gt;=Q235+1),'Setup'!$B$10,IF(OR(MAX(AB235,AD235,AF235,AH235,AJ235)&lt;O235,AK235&lt;Q235-1),-'Setup'!$B$11,0))))</x:f>
        <x:v>0</x:v>
      </x:c>
      <x:c r="AU235" s="333" t="n">
        <x:f>IF(Z235=0,0,IF(AN235&lt;&gt;"Yes",Z235,IF(COUNT(AA235,AC235,AE235,AG235,AI235)=0,Z235,ROUND((MAX(AA235,AC235,AE235,AG235,AI235)*(1+AT235))/'Setup'!$B$9,0)*'Setup'!$B$9)))</x:f>
        <x:v>0</x:v>
      </x:c>
      <x:c r="AV235" s="336"/>
    </x:row>
    <x:row r="236">
      <x:c r="A236" s="310" t="n">
        <x:f>'Setup'!$B$3+(C236-1)*7+(D236-1)</x:f>
        <x:v>46272</x:v>
      </x:c>
      <x:c r="B236" s="311" t="str">
        <x:v>5|1|3</x:v>
      </x:c>
      <x:c r="C236" s="311" t="n">
        <x:v>5</x:v>
      </x:c>
      <x:c r="D236" s="311" t="n">
        <x:v>1</x:v>
      </x:c>
      <x:c r="E236" s="311" t="str">
        <x:v>Intensification</x:v>
      </x:c>
      <x:c r="F236" s="311" t="str">
        <x:v>Lower Strength</x:v>
      </x:c>
      <x:c r="G236" s="311" t="str">
        <x:v>Squat and hinge strength</x:v>
      </x:c>
      <x:c r="H236" s="311" t="n">
        <x:v>3</x:v>
      </x:c>
      <x:c r="I236" s="311" t="str">
        <x:v>Conventional Deadlift</x:v>
      </x:c>
      <x:c r="J236" s="311" t="str">
        <x:v>Strength</x:v>
      </x:c>
      <x:c r="K236" s="311" t="str">
        <x:v>Hamstrings</x:v>
      </x:c>
      <x:c r="L236" s="311" t="str">
        <x:v>Straight sets</x:v>
      </x:c>
      <x:c r="M236" s="311" t="str"/>
      <x:c r="N236" s="311" t="n">
        <x:v>3</x:v>
      </x:c>
      <x:c r="O236" s="311" t="n">
        <x:v>3</x:v>
      </x:c>
      <x:c r="P236" s="311" t="n">
        <x:v>5</x:v>
      </x:c>
      <x:c r="Q236" s="311" t="n">
        <x:v>3</x:v>
      </x:c>
      <x:c r="R236" s="311" t="n">
        <x:v>210</x:v>
      </x:c>
      <x:c r="S236" s="311" t="str">
        <x:v>2-1-X</x:v>
      </x:c>
      <x:c r="T236" s="330" t="n">
        <x:v>1.11</x:v>
      </x:c>
      <x:c r="U236" s="330" t="n">
        <x:v>0.78</x:v>
      </x:c>
      <x:c r="V236" s="331" t="str">
        <x:v>load × reps</x:v>
      </x:c>
      <x:c r="W236" s="332" t="str">
        <x:f>'Readiness'!K31</x:f>
      </x:c>
      <x:c r="X236" s="314" t="n">
        <x:f>'Readiness'!L31</x:f>
        <x:v>1</x:v>
      </x:c>
      <x:c r="Y236" s="315" t="n">
        <x:f>IF(J236="Mobility",N236,MAX(1,ROUND(N236*X236,0)))</x:f>
        <x:v>3</x:v>
      </x:c>
      <x:c r="Z236" s="333" t="n">
        <x:f>IF('Setup'!$D$35&gt;0,'Setup'!$D$35,IF('Setup'!$B$7&gt;0,ROUND(('Setup'!$B$7*U236)/'Setup'!$B$9,0)*'Setup'!$B$9,0))</x:f>
        <x:v>0</x:v>
      </x:c>
      <x:c r="AA236" s="334"/>
      <x:c r="AB236" s="334"/>
      <x:c r="AC236" s="334"/>
      <x:c r="AD236" s="334"/>
      <x:c r="AE236" s="334"/>
      <x:c r="AF236" s="334"/>
      <x:c r="AG236" s="334"/>
      <x:c r="AH236" s="334"/>
      <x:c r="AI236" s="334"/>
      <x:c r="AJ236" s="312"/>
      <x:c r="AK236" s="312"/>
      <x:c r="AL236" s="312"/>
      <x:c r="AM236" s="312"/>
      <x:c r="AN236" s="312"/>
      <x:c r="AO236" s="315" t="n">
        <x:f>COUNT(AB236,AD236,AF236,AH236,AJ236)</x:f>
        <x:v>0</x:v>
      </x:c>
      <x:c r="AP236" s="315" t="n">
        <x:f>SUM(AB236,AD236,AF236,AH236,AJ236)</x:f>
        <x:v>0</x:v>
      </x:c>
      <x:c r="AQ236" s="333" t="n">
        <x:f>AA236*AB236+AC236*AD236+AE236*AF236+AG236*AH236+AI236*AJ236</x:f>
        <x:v>0</x:v>
      </x:c>
      <x:c r="AR236" s="333" t="n">
        <x:f>IF(OR(J236="Strength",J236="Hypertrophy"),MAX(IF(AB236&gt;0,AA236*(1+AB236/30),0),IF(AD236&gt;0,AC236*(1+AD236/30),0),IF(AF236&gt;0,AE236*(1+AF236/30),0),IF(AH236&gt;0,AG236*(1+AH236/30),0),IF(AJ236&gt;0,AI236*(1+AJ236/30),0)),0)</x:f>
        <x:v>0</x:v>
      </x:c>
      <x:c r="AS236" s="315" t="str">
        <x:f>IF(AN236&lt;&gt;"Yes","Not logged",IF(AL236&gt;='Setup'!$B$14,"STOP / MODIFY",IF(Z236=0,"Complete",IF(OR(AO236=0,AK236=""),"Add set data + RIR",IF(AND(MAX(AB236,AD236,AF236,AH236,AJ236)&gt;=P236,AK236&gt;=Q236+1),"Progress",IF(OR(MAX(AB236,AD236,AF236,AH236,AJ236)&lt;O236,AK236&lt;Q236-1),"Regress","Hold"))))))</x:f>
        <x:v>Not logged</x:v>
      </x:c>
      <x:c r="AT236" s="335" t="n">
        <x:f>IF(OR(Z236=0,AN236&lt;&gt;"Yes",AO236=0,AK236=""),0,IF(AL236&gt;='Setup'!$B$14,-2*'Setup'!$B$11,IF(AND(MAX(AB236,AD236,AF236,AH236,AJ236)&gt;=P236,AK236&gt;=Q236+1),'Setup'!$B$10,IF(OR(MAX(AB236,AD236,AF236,AH236,AJ236)&lt;O236,AK236&lt;Q236-1),-'Setup'!$B$11,0))))</x:f>
        <x:v>0</x:v>
      </x:c>
      <x:c r="AU236" s="333" t="n">
        <x:f>IF(Z236=0,0,IF(AN236&lt;&gt;"Yes",Z236,IF(COUNT(AA236,AC236,AE236,AG236,AI236)=0,Z236,ROUND((MAX(AA236,AC236,AE236,AG236,AI236)*(1+AT236))/'Setup'!$B$9,0)*'Setup'!$B$9)))</x:f>
        <x:v>0</x:v>
      </x:c>
      <x:c r="AV236" s="336"/>
    </x:row>
    <x:row r="237">
      <x:c r="A237" s="310" t="n">
        <x:f>'Setup'!$B$3+(C237-1)*7+(D237-1)</x:f>
        <x:v>46272</x:v>
      </x:c>
      <x:c r="B237" s="311" t="str">
        <x:v>5|1|4</x:v>
      </x:c>
      <x:c r="C237" s="311" t="n">
        <x:v>5</x:v>
      </x:c>
      <x:c r="D237" s="311" t="n">
        <x:v>1</x:v>
      </x:c>
      <x:c r="E237" s="311" t="str">
        <x:v>Intensification</x:v>
      </x:c>
      <x:c r="F237" s="311" t="str">
        <x:v>Lower Strength</x:v>
      </x:c>
      <x:c r="G237" s="311" t="str">
        <x:v>Squat and hinge strength</x:v>
      </x:c>
      <x:c r="H237" s="311" t="n">
        <x:v>4</x:v>
      </x:c>
      <x:c r="I237" s="311" t="str">
        <x:v>Front-Foot Elevated Split Squat</x:v>
      </x:c>
      <x:c r="J237" s="311" t="str">
        <x:v>Hypertrophy</x:v>
      </x:c>
      <x:c r="K237" s="311" t="str">
        <x:v>Quads</x:v>
      </x:c>
      <x:c r="L237" s="311" t="str">
        <x:v>Straight sets</x:v>
      </x:c>
      <x:c r="M237" s="311" t="str"/>
      <x:c r="N237" s="311" t="n">
        <x:v>3</x:v>
      </x:c>
      <x:c r="O237" s="311" t="n">
        <x:v>6</x:v>
      </x:c>
      <x:c r="P237" s="311" t="n">
        <x:v>8</x:v>
      </x:c>
      <x:c r="Q237" s="311" t="n">
        <x:v>3</x:v>
      </x:c>
      <x:c r="R237" s="311" t="n">
        <x:v>90</x:v>
      </x:c>
      <x:c r="S237" s="311" t="str">
        <x:v>3-0-1</x:v>
      </x:c>
      <x:c r="T237" s="330" t="n">
        <x:v>1.11</x:v>
      </x:c>
      <x:c r="U237" s="330" t="n">
        <x:v>0</x:v>
      </x:c>
      <x:c r="V237" s="331" t="str">
        <x:v>load × reps</x:v>
      </x:c>
      <x:c r="W237" s="332" t="str">
        <x:f>'Readiness'!K31</x:f>
      </x:c>
      <x:c r="X237" s="314" t="n">
        <x:f>'Readiness'!L31</x:f>
        <x:v>1</x:v>
      </x:c>
      <x:c r="Y237" s="315" t="n">
        <x:f>IF(J237="Mobility",N237,MAX(1,ROUND(N237*X237,0)))</x:f>
        <x:v>3</x:v>
      </x:c>
      <x:c r="Z237" s="333" t="n">
        <x:f>IF('Setup'!$D$44&gt;0,'Setup'!$D$44,0)</x:f>
        <x:v>0</x:v>
      </x:c>
      <x:c r="AA237" s="334"/>
      <x:c r="AB237" s="334"/>
      <x:c r="AC237" s="334"/>
      <x:c r="AD237" s="334"/>
      <x:c r="AE237" s="334"/>
      <x:c r="AF237" s="334"/>
      <x:c r="AG237" s="334"/>
      <x:c r="AH237" s="334"/>
      <x:c r="AI237" s="334"/>
      <x:c r="AJ237" s="312"/>
      <x:c r="AK237" s="312"/>
      <x:c r="AL237" s="312"/>
      <x:c r="AM237" s="312"/>
      <x:c r="AN237" s="312"/>
      <x:c r="AO237" s="315" t="n">
        <x:f>COUNT(AB237,AD237,AF237,AH237,AJ237)</x:f>
        <x:v>0</x:v>
      </x:c>
      <x:c r="AP237" s="315" t="n">
        <x:f>SUM(AB237,AD237,AF237,AH237,AJ237)</x:f>
        <x:v>0</x:v>
      </x:c>
      <x:c r="AQ237" s="333" t="n">
        <x:f>AA237*AB237+AC237*AD237+AE237*AF237+AG237*AH237+AI237*AJ237</x:f>
        <x:v>0</x:v>
      </x:c>
      <x:c r="AR237" s="333" t="n">
        <x:f>IF(OR(J237="Strength",J237="Hypertrophy"),MAX(IF(AB237&gt;0,AA237*(1+AB237/30),0),IF(AD237&gt;0,AC237*(1+AD237/30),0),IF(AF237&gt;0,AE237*(1+AF237/30),0),IF(AH237&gt;0,AG237*(1+AH237/30),0),IF(AJ237&gt;0,AI237*(1+AJ237/30),0)),0)</x:f>
        <x:v>0</x:v>
      </x:c>
      <x:c r="AS237" s="315" t="str">
        <x:f>IF(AN237&lt;&gt;"Yes","Not logged",IF(AL237&gt;='Setup'!$B$14,"STOP / MODIFY",IF(Z237=0,"Complete",IF(OR(AO237=0,AK237=""),"Add set data + RIR",IF(AND(MAX(AB237,AD237,AF237,AH237,AJ237)&gt;=P237,AK237&gt;=Q237+1),"Progress",IF(OR(MAX(AB237,AD237,AF237,AH237,AJ237)&lt;O237,AK237&lt;Q237-1),"Regress","Hold"))))))</x:f>
        <x:v>Not logged</x:v>
      </x:c>
      <x:c r="AT237" s="335" t="n">
        <x:f>IF(OR(Z237=0,AN237&lt;&gt;"Yes",AO237=0,AK237=""),0,IF(AL237&gt;='Setup'!$B$14,-2*'Setup'!$B$11,IF(AND(MAX(AB237,AD237,AF237,AH237,AJ237)&gt;=P237,AK237&gt;=Q237+1),'Setup'!$B$10,IF(OR(MAX(AB237,AD237,AF237,AH237,AJ237)&lt;O237,AK237&lt;Q237-1),-'Setup'!$B$11,0))))</x:f>
        <x:v>0</x:v>
      </x:c>
      <x:c r="AU237" s="333" t="n">
        <x:f>IF(Z237=0,0,IF(AN237&lt;&gt;"Yes",Z237,IF(COUNT(AA237,AC237,AE237,AG237,AI237)=0,Z237,ROUND((MAX(AA237,AC237,AE237,AG237,AI237)*(1+AT237))/'Setup'!$B$9,0)*'Setup'!$B$9)))</x:f>
        <x:v>0</x:v>
      </x:c>
      <x:c r="AV237" s="336"/>
    </x:row>
    <x:row r="238">
      <x:c r="A238" s="310" t="n">
        <x:f>'Setup'!$B$3+(C238-1)*7+(D238-1)</x:f>
        <x:v>46272</x:v>
      </x:c>
      <x:c r="B238" s="311" t="str">
        <x:v>5|1|5</x:v>
      </x:c>
      <x:c r="C238" s="311" t="n">
        <x:v>5</x:v>
      </x:c>
      <x:c r="D238" s="311" t="n">
        <x:v>1</x:v>
      </x:c>
      <x:c r="E238" s="311" t="str">
        <x:v>Intensification</x:v>
      </x:c>
      <x:c r="F238" s="311" t="str">
        <x:v>Lower Strength</x:v>
      </x:c>
      <x:c r="G238" s="311" t="str">
        <x:v>Squat and hinge strength</x:v>
      </x:c>
      <x:c r="H238" s="311" t="n">
        <x:v>5</x:v>
      </x:c>
      <x:c r="I238" s="311" t="str">
        <x:v>Nordic Hamstring Curl</x:v>
      </x:c>
      <x:c r="J238" s="311" t="str">
        <x:v>Strength</x:v>
      </x:c>
      <x:c r="K238" s="311" t="str">
        <x:v>Hamstrings</x:v>
      </x:c>
      <x:c r="L238" s="311" t="str">
        <x:v>Controlled eccentric</x:v>
      </x:c>
      <x:c r="M238" s="311" t="str"/>
      <x:c r="N238" s="311" t="n">
        <x:v>3</x:v>
      </x:c>
      <x:c r="O238" s="311" t="n">
        <x:v>5</x:v>
      </x:c>
      <x:c r="P238" s="311" t="n">
        <x:v>8</x:v>
      </x:c>
      <x:c r="Q238" s="311" t="n">
        <x:v>3</x:v>
      </x:c>
      <x:c r="R238" s="311" t="n">
        <x:v>90</x:v>
      </x:c>
      <x:c r="S238" s="311" t="str">
        <x:v>5-0-X</x:v>
      </x:c>
      <x:c r="T238" s="330" t="n">
        <x:v>1.11</x:v>
      </x:c>
      <x:c r="U238" s="330" t="n">
        <x:v>0</x:v>
      </x:c>
      <x:c r="V238" s="331" t="str">
        <x:v>reps</x:v>
      </x:c>
      <x:c r="W238" s="332" t="str">
        <x:f>'Readiness'!K31</x:f>
      </x:c>
      <x:c r="X238" s="314" t="n">
        <x:f>'Readiness'!L31</x:f>
        <x:v>1</x:v>
      </x:c>
      <x:c r="Y238" s="315" t="n">
        <x:f>IF(J238="Mobility",N238,MAX(1,ROUND(N238*X238,0)))</x:f>
        <x:v>3</x:v>
      </x:c>
      <x:c r="Z238" s="333" t="n">
        <x:f>0</x:f>
        <x:v>0</x:v>
      </x:c>
      <x:c r="AA238" s="334"/>
      <x:c r="AB238" s="334"/>
      <x:c r="AC238" s="334"/>
      <x:c r="AD238" s="334"/>
      <x:c r="AE238" s="334"/>
      <x:c r="AF238" s="334"/>
      <x:c r="AG238" s="334"/>
      <x:c r="AH238" s="334"/>
      <x:c r="AI238" s="334"/>
      <x:c r="AJ238" s="312"/>
      <x:c r="AK238" s="312"/>
      <x:c r="AL238" s="312"/>
      <x:c r="AM238" s="312"/>
      <x:c r="AN238" s="312"/>
      <x:c r="AO238" s="315" t="n">
        <x:f>COUNT(AB238,AD238,AF238,AH238,AJ238)</x:f>
        <x:v>0</x:v>
      </x:c>
      <x:c r="AP238" s="315" t="n">
        <x:f>SUM(AB238,AD238,AF238,AH238,AJ238)</x:f>
        <x:v>0</x:v>
      </x:c>
      <x:c r="AQ238" s="333" t="n">
        <x:f>AA238*AB238+AC238*AD238+AE238*AF238+AG238*AH238+AI238*AJ238</x:f>
        <x:v>0</x:v>
      </x:c>
      <x:c r="AR238" s="333" t="n">
        <x:f>IF(OR(J238="Strength",J238="Hypertrophy"),MAX(IF(AB238&gt;0,AA238*(1+AB238/30),0),IF(AD238&gt;0,AC238*(1+AD238/30),0),IF(AF238&gt;0,AE238*(1+AF238/30),0),IF(AH238&gt;0,AG238*(1+AH238/30),0),IF(AJ238&gt;0,AI238*(1+AJ238/30),0)),0)</x:f>
        <x:v>0</x:v>
      </x:c>
      <x:c r="AS238" s="315" t="str">
        <x:f>IF(AN238&lt;&gt;"Yes","Not logged",IF(AL238&gt;='Setup'!$B$14,"STOP / MODIFY",IF(Z238=0,"Complete",IF(OR(AO238=0,AK238=""),"Add set data + RIR",IF(AND(MAX(AB238,AD238,AF238,AH238,AJ238)&gt;=P238,AK238&gt;=Q238+1),"Progress",IF(OR(MAX(AB238,AD238,AF238,AH238,AJ238)&lt;O238,AK238&lt;Q238-1),"Regress","Hold"))))))</x:f>
        <x:v>Not logged</x:v>
      </x:c>
      <x:c r="AT238" s="335" t="n">
        <x:f>IF(OR(Z238=0,AN238&lt;&gt;"Yes",AO238=0,AK238=""),0,IF(AL238&gt;='Setup'!$B$14,-2*'Setup'!$B$11,IF(AND(MAX(AB238,AD238,AF238,AH238,AJ238)&gt;=P238,AK238&gt;=Q238+1),'Setup'!$B$10,IF(OR(MAX(AB238,AD238,AF238,AH238,AJ238)&lt;O238,AK238&lt;Q238-1),-'Setup'!$B$11,0))))</x:f>
        <x:v>0</x:v>
      </x:c>
      <x:c r="AU238" s="333" t="n">
        <x:f>IF(Z238=0,0,IF(AN238&lt;&gt;"Yes",Z238,IF(COUNT(AA238,AC238,AE238,AG238,AI238)=0,Z238,ROUND((MAX(AA238,AC238,AE238,AG238,AI238)*(1+AT238))/'Setup'!$B$9,0)*'Setup'!$B$9)))</x:f>
        <x:v>0</x:v>
      </x:c>
      <x:c r="AV238" s="336"/>
    </x:row>
    <x:row r="239">
      <x:c r="A239" s="310" t="n">
        <x:f>'Setup'!$B$3+(C239-1)*7+(D239-1)</x:f>
        <x:v>46272</x:v>
      </x:c>
      <x:c r="B239" s="311" t="str">
        <x:v>5|1|6</x:v>
      </x:c>
      <x:c r="C239" s="311" t="n">
        <x:v>5</x:v>
      </x:c>
      <x:c r="D239" s="311" t="n">
        <x:v>1</x:v>
      </x:c>
      <x:c r="E239" s="311" t="str">
        <x:v>Intensification</x:v>
      </x:c>
      <x:c r="F239" s="311" t="str">
        <x:v>Lower Strength</x:v>
      </x:c>
      <x:c r="G239" s="311" t="str">
        <x:v>Squat and hinge strength</x:v>
      </x:c>
      <x:c r="H239" s="311" t="n">
        <x:v>6</x:v>
      </x:c>
      <x:c r="I239" s="311" t="str">
        <x:v>Standing Calf Raise</x:v>
      </x:c>
      <x:c r="J239" s="311" t="str">
        <x:v>Hypertrophy</x:v>
      </x:c>
      <x:c r="K239" s="311" t="str">
        <x:v>Calves</x:v>
      </x:c>
      <x:c r="L239" s="311" t="str">
        <x:v>Straight sets</x:v>
      </x:c>
      <x:c r="M239" s="311" t="str"/>
      <x:c r="N239" s="311" t="n">
        <x:v>3</x:v>
      </x:c>
      <x:c r="O239" s="311" t="n">
        <x:v>8</x:v>
      </x:c>
      <x:c r="P239" s="311" t="n">
        <x:v>12</x:v>
      </x:c>
      <x:c r="Q239" s="311" t="n">
        <x:v>3</x:v>
      </x:c>
      <x:c r="R239" s="311" t="n">
        <x:v>60</x:v>
      </x:c>
      <x:c r="S239" s="311" t="str">
        <x:v>2-2-1</x:v>
      </x:c>
      <x:c r="T239" s="330" t="n">
        <x:v>1.11</x:v>
      </x:c>
      <x:c r="U239" s="330" t="n">
        <x:v>0</x:v>
      </x:c>
      <x:c r="V239" s="331" t="str">
        <x:v>load × reps</x:v>
      </x:c>
      <x:c r="W239" s="332" t="str">
        <x:f>'Readiness'!K31</x:f>
      </x:c>
      <x:c r="X239" s="314" t="n">
        <x:f>'Readiness'!L31</x:f>
        <x:v>1</x:v>
      </x:c>
      <x:c r="Y239" s="315" t="n">
        <x:f>IF(J239="Mobility",N239,MAX(1,ROUND(N239*X239,0)))</x:f>
        <x:v>3</x:v>
      </x:c>
      <x:c r="Z239" s="333" t="n">
        <x:f>ROUND((IF(AU184&gt;0,AU184,IF(Z184&gt;0,Z184,'Setup'!$D$90))*T239)/'Setup'!$B$9,0)*'Setup'!$B$9</x:f>
        <x:v>0</x:v>
      </x:c>
      <x:c r="AA239" s="334"/>
      <x:c r="AB239" s="334"/>
      <x:c r="AC239" s="334"/>
      <x:c r="AD239" s="334"/>
      <x:c r="AE239" s="334"/>
      <x:c r="AF239" s="334"/>
      <x:c r="AG239" s="334"/>
      <x:c r="AH239" s="334"/>
      <x:c r="AI239" s="334"/>
      <x:c r="AJ239" s="312"/>
      <x:c r="AK239" s="312"/>
      <x:c r="AL239" s="312"/>
      <x:c r="AM239" s="312"/>
      <x:c r="AN239" s="312"/>
      <x:c r="AO239" s="315" t="n">
        <x:f>COUNT(AB239,AD239,AF239,AH239,AJ239)</x:f>
        <x:v>0</x:v>
      </x:c>
      <x:c r="AP239" s="315" t="n">
        <x:f>SUM(AB239,AD239,AF239,AH239,AJ239)</x:f>
        <x:v>0</x:v>
      </x:c>
      <x:c r="AQ239" s="333" t="n">
        <x:f>AA239*AB239+AC239*AD239+AE239*AF239+AG239*AH239+AI239*AJ239</x:f>
        <x:v>0</x:v>
      </x:c>
      <x:c r="AR239" s="333" t="n">
        <x:f>IF(OR(J239="Strength",J239="Hypertrophy"),MAX(IF(AB239&gt;0,AA239*(1+AB239/30),0),IF(AD239&gt;0,AC239*(1+AD239/30),0),IF(AF239&gt;0,AE239*(1+AF239/30),0),IF(AH239&gt;0,AG239*(1+AH239/30),0),IF(AJ239&gt;0,AI239*(1+AJ239/30),0)),0)</x:f>
        <x:v>0</x:v>
      </x:c>
      <x:c r="AS239" s="315" t="str">
        <x:f>IF(AN239&lt;&gt;"Yes","Not logged",IF(AL239&gt;='Setup'!$B$14,"STOP / MODIFY",IF(Z239=0,"Complete",IF(OR(AO239=0,AK239=""),"Add set data + RIR",IF(AND(MAX(AB239,AD239,AF239,AH239,AJ239)&gt;=P239,AK239&gt;=Q239+1),"Progress",IF(OR(MAX(AB239,AD239,AF239,AH239,AJ239)&lt;O239,AK239&lt;Q239-1),"Regress","Hold"))))))</x:f>
        <x:v>Not logged</x:v>
      </x:c>
      <x:c r="AT239" s="335" t="n">
        <x:f>IF(OR(Z239=0,AN239&lt;&gt;"Yes",AO239=0,AK239=""),0,IF(AL239&gt;='Setup'!$B$14,-2*'Setup'!$B$11,IF(AND(MAX(AB239,AD239,AF239,AH239,AJ239)&gt;=P239,AK239&gt;=Q239+1),'Setup'!$B$10,IF(OR(MAX(AB239,AD239,AF239,AH239,AJ239)&lt;O239,AK239&lt;Q239-1),-'Setup'!$B$11,0))))</x:f>
        <x:v>0</x:v>
      </x:c>
      <x:c r="AU239" s="333" t="n">
        <x:f>IF(Z239=0,0,IF(AN239&lt;&gt;"Yes",Z239,IF(COUNT(AA239,AC239,AE239,AG239,AI239)=0,Z239,ROUND((MAX(AA239,AC239,AE239,AG239,AI239)*(1+AT239))/'Setup'!$B$9,0)*'Setup'!$B$9)))</x:f>
        <x:v>0</x:v>
      </x:c>
      <x:c r="AV239" s="336"/>
    </x:row>
    <x:row r="240">
      <x:c r="A240" s="310" t="n">
        <x:f>'Setup'!$B$3+(C240-1)*7+(D240-1)</x:f>
        <x:v>46272</x:v>
      </x:c>
      <x:c r="B240" s="311" t="str">
        <x:v>5|1|7</x:v>
      </x:c>
      <x:c r="C240" s="311" t="n">
        <x:v>5</x:v>
      </x:c>
      <x:c r="D240" s="311" t="n">
        <x:v>1</x:v>
      </x:c>
      <x:c r="E240" s="311" t="str">
        <x:v>Intensification</x:v>
      </x:c>
      <x:c r="F240" s="311" t="str">
        <x:v>Lower Strength</x:v>
      </x:c>
      <x:c r="G240" s="311" t="str">
        <x:v>Squat and hinge strength</x:v>
      </x:c>
      <x:c r="H240" s="311" t="n">
        <x:v>7</x:v>
      </x:c>
      <x:c r="I240" s="311" t="str">
        <x:v>Ab Wheel Rollout</x:v>
      </x:c>
      <x:c r="J240" s="311" t="str">
        <x:v>Hypertrophy</x:v>
      </x:c>
      <x:c r="K240" s="311" t="str">
        <x:v>Core</x:v>
      </x:c>
      <x:c r="L240" s="311" t="str">
        <x:v>Straight sets</x:v>
      </x:c>
      <x:c r="M240" s="311" t="str"/>
      <x:c r="N240" s="311" t="n">
        <x:v>3</x:v>
      </x:c>
      <x:c r="O240" s="311" t="n">
        <x:v>8</x:v>
      </x:c>
      <x:c r="P240" s="311" t="n">
        <x:v>12</x:v>
      </x:c>
      <x:c r="Q240" s="311" t="n">
        <x:v>3</x:v>
      </x:c>
      <x:c r="R240" s="311" t="n">
        <x:v>60</x:v>
      </x:c>
      <x:c r="S240" s="311" t="str">
        <x:v>3-0-1</x:v>
      </x:c>
      <x:c r="T240" s="330" t="n">
        <x:v>1.11</x:v>
      </x:c>
      <x:c r="U240" s="330" t="n">
        <x:v>0</x:v>
      </x:c>
      <x:c r="V240" s="331" t="str">
        <x:v>reps</x:v>
      </x:c>
      <x:c r="W240" s="332" t="str">
        <x:f>'Readiness'!K31</x:f>
      </x:c>
      <x:c r="X240" s="314" t="n">
        <x:f>'Readiness'!L31</x:f>
        <x:v>1</x:v>
      </x:c>
      <x:c r="Y240" s="315" t="n">
        <x:f>IF(J240="Mobility",N240,MAX(1,ROUND(N240*X240,0)))</x:f>
        <x:v>3</x:v>
      </x:c>
      <x:c r="Z240" s="333" t="n">
        <x:f>0</x:f>
        <x:v>0</x:v>
      </x:c>
      <x:c r="AA240" s="334"/>
      <x:c r="AB240" s="334"/>
      <x:c r="AC240" s="334"/>
      <x:c r="AD240" s="334"/>
      <x:c r="AE240" s="334"/>
      <x:c r="AF240" s="334"/>
      <x:c r="AG240" s="334"/>
      <x:c r="AH240" s="334"/>
      <x:c r="AI240" s="334"/>
      <x:c r="AJ240" s="312"/>
      <x:c r="AK240" s="312"/>
      <x:c r="AL240" s="312"/>
      <x:c r="AM240" s="312"/>
      <x:c r="AN240" s="312"/>
      <x:c r="AO240" s="315" t="n">
        <x:f>COUNT(AB240,AD240,AF240,AH240,AJ240)</x:f>
        <x:v>0</x:v>
      </x:c>
      <x:c r="AP240" s="315" t="n">
        <x:f>SUM(AB240,AD240,AF240,AH240,AJ240)</x:f>
        <x:v>0</x:v>
      </x:c>
      <x:c r="AQ240" s="333" t="n">
        <x:f>AA240*AB240+AC240*AD240+AE240*AF240+AG240*AH240+AI240*AJ240</x:f>
        <x:v>0</x:v>
      </x:c>
      <x:c r="AR240" s="333" t="n">
        <x:f>IF(OR(J240="Strength",J240="Hypertrophy"),MAX(IF(AB240&gt;0,AA240*(1+AB240/30),0),IF(AD240&gt;0,AC240*(1+AD240/30),0),IF(AF240&gt;0,AE240*(1+AF240/30),0),IF(AH240&gt;0,AG240*(1+AH240/30),0),IF(AJ240&gt;0,AI240*(1+AJ240/30),0)),0)</x:f>
        <x:v>0</x:v>
      </x:c>
      <x:c r="AS240" s="315" t="str">
        <x:f>IF(AN240&lt;&gt;"Yes","Not logged",IF(AL240&gt;='Setup'!$B$14,"STOP / MODIFY",IF(Z240=0,"Complete",IF(OR(AO240=0,AK240=""),"Add set data + RIR",IF(AND(MAX(AB240,AD240,AF240,AH240,AJ240)&gt;=P240,AK240&gt;=Q240+1),"Progress",IF(OR(MAX(AB240,AD240,AF240,AH240,AJ240)&lt;O240,AK240&lt;Q240-1),"Regress","Hold"))))))</x:f>
        <x:v>Not logged</x:v>
      </x:c>
      <x:c r="AT240" s="335" t="n">
        <x:f>IF(OR(Z240=0,AN240&lt;&gt;"Yes",AO240=0,AK240=""),0,IF(AL240&gt;='Setup'!$B$14,-2*'Setup'!$B$11,IF(AND(MAX(AB240,AD240,AF240,AH240,AJ240)&gt;=P240,AK240&gt;=Q240+1),'Setup'!$B$10,IF(OR(MAX(AB240,AD240,AF240,AH240,AJ240)&lt;O240,AK240&lt;Q240-1),-'Setup'!$B$11,0))))</x:f>
        <x:v>0</x:v>
      </x:c>
      <x:c r="AU240" s="333" t="n">
        <x:f>IF(Z240=0,0,IF(AN240&lt;&gt;"Yes",Z240,IF(COUNT(AA240,AC240,AE240,AG240,AI240)=0,Z240,ROUND((MAX(AA240,AC240,AE240,AG240,AI240)*(1+AT240))/'Setup'!$B$9,0)*'Setup'!$B$9)))</x:f>
        <x:v>0</x:v>
      </x:c>
      <x:c r="AV240" s="336"/>
    </x:row>
    <x:row r="241">
      <x:c r="A241" s="310" t="n">
        <x:f>'Setup'!$B$3+(C241-1)*7+(D241-1)</x:f>
        <x:v>46272</x:v>
      </x:c>
      <x:c r="B241" s="311" t="str">
        <x:v>5|1|8</x:v>
      </x:c>
      <x:c r="C241" s="311" t="n">
        <x:v>5</x:v>
      </x:c>
      <x:c r="D241" s="311" t="n">
        <x:v>1</x:v>
      </x:c>
      <x:c r="E241" s="311" t="str">
        <x:v>Intensification</x:v>
      </x:c>
      <x:c r="F241" s="311" t="str">
        <x:v>Lower Strength</x:v>
      </x:c>
      <x:c r="G241" s="311" t="str">
        <x:v>Squat and hinge strength</x:v>
      </x:c>
      <x:c r="H241" s="311" t="n">
        <x:v>8</x:v>
      </x:c>
      <x:c r="I241" s="311" t="str">
        <x:v>Ankle Dorsiflexion Mobilization</x:v>
      </x:c>
      <x:c r="J241" s="311" t="str">
        <x:v>Mobility</x:v>
      </x:c>
      <x:c r="K241" s="311" t="str">
        <x:v>Ankles</x:v>
      </x:c>
      <x:c r="L241" s="311" t="str">
        <x:v>Controlled mobility</x:v>
      </x:c>
      <x:c r="M241" s="311" t="str"/>
      <x:c r="N241" s="311" t="n">
        <x:v>2</x:v>
      </x:c>
      <x:c r="O241" s="311" t="n">
        <x:v>8</x:v>
      </x:c>
      <x:c r="P241" s="311" t="n">
        <x:v>12</x:v>
      </x:c>
      <x:c r="Q241" s="311" t="str"/>
      <x:c r="R241" s="311" t="n">
        <x:v>20</x:v>
      </x:c>
      <x:c r="S241" s="311" t="str">
        <x:v>Slow</x:v>
      </x:c>
      <x:c r="T241" s="330" t="n">
        <x:v>1.11</x:v>
      </x:c>
      <x:c r="U241" s="330" t="n">
        <x:v>0</x:v>
      </x:c>
      <x:c r="V241" s="331" t="str">
        <x:v>reps</x:v>
      </x:c>
      <x:c r="W241" s="332" t="str">
        <x:f>'Readiness'!K31</x:f>
      </x:c>
      <x:c r="X241" s="314" t="n">
        <x:f>'Readiness'!L31</x:f>
        <x:v>1</x:v>
      </x:c>
      <x:c r="Y241" s="315" t="n">
        <x:f>IF(J241="Mobility",N241,MAX(1,ROUND(N241*X241,0)))</x:f>
        <x:v>2</x:v>
      </x:c>
      <x:c r="Z241" s="333" t="n">
        <x:f>0</x:f>
        <x:v>0</x:v>
      </x:c>
      <x:c r="AA241" s="334"/>
      <x:c r="AB241" s="334"/>
      <x:c r="AC241" s="334"/>
      <x:c r="AD241" s="334"/>
      <x:c r="AE241" s="334"/>
      <x:c r="AF241" s="334"/>
      <x:c r="AG241" s="334"/>
      <x:c r="AH241" s="334"/>
      <x:c r="AI241" s="334"/>
      <x:c r="AJ241" s="312"/>
      <x:c r="AK241" s="312"/>
      <x:c r="AL241" s="312"/>
      <x:c r="AM241" s="312"/>
      <x:c r="AN241" s="312"/>
      <x:c r="AO241" s="315" t="n">
        <x:f>COUNT(AB241,AD241,AF241,AH241,AJ241)</x:f>
        <x:v>0</x:v>
      </x:c>
      <x:c r="AP241" s="315" t="n">
        <x:f>SUM(AB241,AD241,AF241,AH241,AJ241)</x:f>
        <x:v>0</x:v>
      </x:c>
      <x:c r="AQ241" s="333" t="n">
        <x:f>AA241*AB241+AC241*AD241+AE241*AF241+AG241*AH241+AI241*AJ241</x:f>
        <x:v>0</x:v>
      </x:c>
      <x:c r="AR241" s="333" t="n">
        <x:f>IF(OR(J241="Strength",J241="Hypertrophy"),MAX(IF(AB241&gt;0,AA241*(1+AB241/30),0),IF(AD241&gt;0,AC241*(1+AD241/30),0),IF(AF241&gt;0,AE241*(1+AF241/30),0),IF(AH241&gt;0,AG241*(1+AH241/30),0),IF(AJ241&gt;0,AI241*(1+AJ241/30),0)),0)</x:f>
        <x:v>0</x:v>
      </x:c>
      <x:c r="AS241" s="315" t="str">
        <x:f>IF(AN241&lt;&gt;"Yes","Not logged",IF(AL241&gt;='Setup'!$B$14,"STOP / MODIFY",IF(Z241=0,"Complete",IF(OR(AO241=0,AK241=""),"Add set data + RIR",IF(AND(MAX(AB241,AD241,AF241,AH241,AJ241)&gt;=P241,AK241&gt;=Q241+1),"Progress",IF(OR(MAX(AB241,AD241,AF241,AH241,AJ241)&lt;O241,AK241&lt;Q241-1),"Regress","Hold"))))))</x:f>
        <x:v>Not logged</x:v>
      </x:c>
      <x:c r="AT241" s="335" t="n">
        <x:f>IF(OR(Z241=0,AN241&lt;&gt;"Yes",AO241=0,AK241=""),0,IF(AL241&gt;='Setup'!$B$14,-2*'Setup'!$B$11,IF(AND(MAX(AB241,AD241,AF241,AH241,AJ241)&gt;=P241,AK241&gt;=Q241+1),'Setup'!$B$10,IF(OR(MAX(AB241,AD241,AF241,AH241,AJ241)&lt;O241,AK241&lt;Q241-1),-'Setup'!$B$11,0))))</x:f>
        <x:v>0</x:v>
      </x:c>
      <x:c r="AU241" s="333" t="n">
        <x:f>IF(Z241=0,0,IF(AN241&lt;&gt;"Yes",Z241,IF(COUNT(AA241,AC241,AE241,AG241,AI241)=0,Z241,ROUND((MAX(AA241,AC241,AE241,AG241,AI241)*(1+AT241))/'Setup'!$B$9,0)*'Setup'!$B$9)))</x:f>
        <x:v>0</x:v>
      </x:c>
      <x:c r="AV241" s="336"/>
    </x:row>
    <x:row r="242">
      <x:c r="A242" s="310" t="n">
        <x:f>'Setup'!$B$3+(C242-1)*7+(D242-1)</x:f>
        <x:v>46272</x:v>
      </x:c>
      <x:c r="B242" s="311" t="str">
        <x:v>5|1|9</x:v>
      </x:c>
      <x:c r="C242" s="311" t="n">
        <x:v>5</x:v>
      </x:c>
      <x:c r="D242" s="311" t="n">
        <x:v>1</x:v>
      </x:c>
      <x:c r="E242" s="311" t="str">
        <x:v>Intensification</x:v>
      </x:c>
      <x:c r="F242" s="311" t="str">
        <x:v>Lower Strength</x:v>
      </x:c>
      <x:c r="G242" s="311" t="str">
        <x:v>Squat and hinge strength</x:v>
      </x:c>
      <x:c r="H242" s="311" t="n">
        <x:v>9</x:v>
      </x:c>
      <x:c r="I242" s="311" t="str">
        <x:v>90/90 Hip Switch</x:v>
      </x:c>
      <x:c r="J242" s="311" t="str">
        <x:v>Mobility</x:v>
      </x:c>
      <x:c r="K242" s="311" t="str">
        <x:v>Hips</x:v>
      </x:c>
      <x:c r="L242" s="311" t="str">
        <x:v>Controlled mobility</x:v>
      </x:c>
      <x:c r="M242" s="311" t="str"/>
      <x:c r="N242" s="311" t="n">
        <x:v>2</x:v>
      </x:c>
      <x:c r="O242" s="311" t="n">
        <x:v>6</x:v>
      </x:c>
      <x:c r="P242" s="311" t="n">
        <x:v>10</x:v>
      </x:c>
      <x:c r="Q242" s="311" t="str"/>
      <x:c r="R242" s="311" t="n">
        <x:v>20</x:v>
      </x:c>
      <x:c r="S242" s="311" t="str">
        <x:v>Slow</x:v>
      </x:c>
      <x:c r="T242" s="330" t="n">
        <x:v>1.11</x:v>
      </x:c>
      <x:c r="U242" s="330" t="n">
        <x:v>0</x:v>
      </x:c>
      <x:c r="V242" s="331" t="str">
        <x:v>reps</x:v>
      </x:c>
      <x:c r="W242" s="332" t="str">
        <x:f>'Readiness'!K31</x:f>
      </x:c>
      <x:c r="X242" s="314" t="n">
        <x:f>'Readiness'!L31</x:f>
        <x:v>1</x:v>
      </x:c>
      <x:c r="Y242" s="315" t="n">
        <x:f>IF(J242="Mobility",N242,MAX(1,ROUND(N242*X242,0)))</x:f>
        <x:v>2</x:v>
      </x:c>
      <x:c r="Z242" s="333" t="n">
        <x:f>0</x:f>
        <x:v>0</x:v>
      </x:c>
      <x:c r="AA242" s="334"/>
      <x:c r="AB242" s="334"/>
      <x:c r="AC242" s="334"/>
      <x:c r="AD242" s="334"/>
      <x:c r="AE242" s="334"/>
      <x:c r="AF242" s="334"/>
      <x:c r="AG242" s="334"/>
      <x:c r="AH242" s="334"/>
      <x:c r="AI242" s="334"/>
      <x:c r="AJ242" s="312"/>
      <x:c r="AK242" s="312"/>
      <x:c r="AL242" s="312"/>
      <x:c r="AM242" s="312"/>
      <x:c r="AN242" s="312"/>
      <x:c r="AO242" s="315" t="n">
        <x:f>COUNT(AB242,AD242,AF242,AH242,AJ242)</x:f>
        <x:v>0</x:v>
      </x:c>
      <x:c r="AP242" s="315" t="n">
        <x:f>SUM(AB242,AD242,AF242,AH242,AJ242)</x:f>
        <x:v>0</x:v>
      </x:c>
      <x:c r="AQ242" s="333" t="n">
        <x:f>AA242*AB242+AC242*AD242+AE242*AF242+AG242*AH242+AI242*AJ242</x:f>
        <x:v>0</x:v>
      </x:c>
      <x:c r="AR242" s="333" t="n">
        <x:f>IF(OR(J242="Strength",J242="Hypertrophy"),MAX(IF(AB242&gt;0,AA242*(1+AB242/30),0),IF(AD242&gt;0,AC242*(1+AD242/30),0),IF(AF242&gt;0,AE242*(1+AF242/30),0),IF(AH242&gt;0,AG242*(1+AH242/30),0),IF(AJ242&gt;0,AI242*(1+AJ242/30),0)),0)</x:f>
        <x:v>0</x:v>
      </x:c>
      <x:c r="AS242" s="315" t="str">
        <x:f>IF(AN242&lt;&gt;"Yes","Not logged",IF(AL242&gt;='Setup'!$B$14,"STOP / MODIFY",IF(Z242=0,"Complete",IF(OR(AO242=0,AK242=""),"Add set data + RIR",IF(AND(MAX(AB242,AD242,AF242,AH242,AJ242)&gt;=P242,AK242&gt;=Q242+1),"Progress",IF(OR(MAX(AB242,AD242,AF242,AH242,AJ242)&lt;O242,AK242&lt;Q242-1),"Regress","Hold"))))))</x:f>
        <x:v>Not logged</x:v>
      </x:c>
      <x:c r="AT242" s="335" t="n">
        <x:f>IF(OR(Z242=0,AN242&lt;&gt;"Yes",AO242=0,AK242=""),0,IF(AL242&gt;='Setup'!$B$14,-2*'Setup'!$B$11,IF(AND(MAX(AB242,AD242,AF242,AH242,AJ242)&gt;=P242,AK242&gt;=Q242+1),'Setup'!$B$10,IF(OR(MAX(AB242,AD242,AF242,AH242,AJ242)&lt;O242,AK242&lt;Q242-1),-'Setup'!$B$11,0))))</x:f>
        <x:v>0</x:v>
      </x:c>
      <x:c r="AU242" s="333" t="n">
        <x:f>IF(Z242=0,0,IF(AN242&lt;&gt;"Yes",Z242,IF(COUNT(AA242,AC242,AE242,AG242,AI242)=0,Z242,ROUND((MAX(AA242,AC242,AE242,AG242,AI242)*(1+AT242))/'Setup'!$B$9,0)*'Setup'!$B$9)))</x:f>
        <x:v>0</x:v>
      </x:c>
      <x:c r="AV242" s="336"/>
    </x:row>
    <x:row r="243">
      <x:c r="A243" s="310" t="n">
        <x:f>'Setup'!$B$3+(C243-1)*7+(D243-1)</x:f>
        <x:v>46273</x:v>
      </x:c>
      <x:c r="B243" s="311" t="str">
        <x:v>5|2|1</x:v>
      </x:c>
      <x:c r="C243" s="311" t="n">
        <x:v>5</x:v>
      </x:c>
      <x:c r="D243" s="311" t="n">
        <x:v>2</x:v>
      </x:c>
      <x:c r="E243" s="311" t="str">
        <x:v>Intensification</x:v>
      </x:c>
      <x:c r="F243" s="311" t="str">
        <x:v>Upper Strength</x:v>
      </x:c>
      <x:c r="G243" s="311" t="str">
        <x:v>Heavy press, pull, and carry</x:v>
      </x:c>
      <x:c r="H243" s="311" t="n">
        <x:v>1</x:v>
      </x:c>
      <x:c r="I243" s="311" t="str">
        <x:v>Medicine Ball Chest Pass</x:v>
      </x:c>
      <x:c r="J243" s="311" t="str">
        <x:v>Power</x:v>
      </x:c>
      <x:c r="K243" s="311" t="str">
        <x:v>Chest</x:v>
      </x:c>
      <x:c r="L243" s="311" t="str">
        <x:v>Max intent, full reset</x:v>
      </x:c>
      <x:c r="M243" s="311" t="str"/>
      <x:c r="N243" s="311" t="n">
        <x:v>3</x:v>
      </x:c>
      <x:c r="O243" s="311" t="n">
        <x:v>3</x:v>
      </x:c>
      <x:c r="P243" s="311" t="n">
        <x:v>3</x:v>
      </x:c>
      <x:c r="Q243" s="311" t="n">
        <x:v>3</x:v>
      </x:c>
      <x:c r="R243" s="311" t="n">
        <x:v>60</x:v>
      </x:c>
      <x:c r="S243" s="311" t="str">
        <x:v>Explosive</x:v>
      </x:c>
      <x:c r="T243" s="330" t="n">
        <x:v>1.11</x:v>
      </x:c>
      <x:c r="U243" s="330" t="n">
        <x:v>0</x:v>
      </x:c>
      <x:c r="V243" s="331" t="str">
        <x:v>throw quality</x:v>
      </x:c>
      <x:c r="W243" s="332" t="str">
        <x:f>'Readiness'!K32</x:f>
      </x:c>
      <x:c r="X243" s="314" t="n">
        <x:f>'Readiness'!L32</x:f>
        <x:v>1</x:v>
      </x:c>
      <x:c r="Y243" s="315" t="n">
        <x:f>IF(J243="Mobility",N243,MAX(1,ROUND(N243*X243,0)))</x:f>
        <x:v>3</x:v>
      </x:c>
      <x:c r="Z243" s="333" t="n">
        <x:f>0</x:f>
        <x:v>0</x:v>
      </x:c>
      <x:c r="AA243" s="334"/>
      <x:c r="AB243" s="334"/>
      <x:c r="AC243" s="334"/>
      <x:c r="AD243" s="334"/>
      <x:c r="AE243" s="334"/>
      <x:c r="AF243" s="334"/>
      <x:c r="AG243" s="334"/>
      <x:c r="AH243" s="334"/>
      <x:c r="AI243" s="334"/>
      <x:c r="AJ243" s="312"/>
      <x:c r="AK243" s="312"/>
      <x:c r="AL243" s="312"/>
      <x:c r="AM243" s="312"/>
      <x:c r="AN243" s="312"/>
      <x:c r="AO243" s="315" t="n">
        <x:f>COUNT(AB243,AD243,AF243,AH243,AJ243)</x:f>
        <x:v>0</x:v>
      </x:c>
      <x:c r="AP243" s="315" t="n">
        <x:f>SUM(AB243,AD243,AF243,AH243,AJ243)</x:f>
        <x:v>0</x:v>
      </x:c>
      <x:c r="AQ243" s="333" t="n">
        <x:f>AA243*AB243+AC243*AD243+AE243*AF243+AG243*AH243+AI243*AJ243</x:f>
        <x:v>0</x:v>
      </x:c>
      <x:c r="AR243" s="333" t="n">
        <x:f>IF(OR(J243="Strength",J243="Hypertrophy"),MAX(IF(AB243&gt;0,AA243*(1+AB243/30),0),IF(AD243&gt;0,AC243*(1+AD243/30),0),IF(AF243&gt;0,AE243*(1+AF243/30),0),IF(AH243&gt;0,AG243*(1+AH243/30),0),IF(AJ243&gt;0,AI243*(1+AJ243/30),0)),0)</x:f>
        <x:v>0</x:v>
      </x:c>
      <x:c r="AS243" s="315" t="str">
        <x:f>IF(AN243&lt;&gt;"Yes","Not logged",IF(AL243&gt;='Setup'!$B$14,"STOP / MODIFY",IF(Z243=0,"Complete",IF(OR(AO243=0,AK243=""),"Add set data + RIR",IF(AND(MAX(AB243,AD243,AF243,AH243,AJ243)&gt;=P243,AK243&gt;=Q243+1),"Progress",IF(OR(MAX(AB243,AD243,AF243,AH243,AJ243)&lt;O243,AK243&lt;Q243-1),"Regress","Hold"))))))</x:f>
        <x:v>Not logged</x:v>
      </x:c>
      <x:c r="AT243" s="335" t="n">
        <x:f>IF(OR(Z243=0,AN243&lt;&gt;"Yes",AO243=0,AK243=""),0,IF(AL243&gt;='Setup'!$B$14,-2*'Setup'!$B$11,IF(AND(MAX(AB243,AD243,AF243,AH243,AJ243)&gt;=P243,AK243&gt;=Q243+1),'Setup'!$B$10,IF(OR(MAX(AB243,AD243,AF243,AH243,AJ243)&lt;O243,AK243&lt;Q243-1),-'Setup'!$B$11,0))))</x:f>
        <x:v>0</x:v>
      </x:c>
      <x:c r="AU243" s="333" t="n">
        <x:f>IF(Z243=0,0,IF(AN243&lt;&gt;"Yes",Z243,IF(COUNT(AA243,AC243,AE243,AG243,AI243)=0,Z243,ROUND((MAX(AA243,AC243,AE243,AG243,AI243)*(1+AT243))/'Setup'!$B$9,0)*'Setup'!$B$9)))</x:f>
        <x:v>0</x:v>
      </x:c>
      <x:c r="AV243" s="336"/>
    </x:row>
    <x:row r="244">
      <x:c r="A244" s="310" t="n">
        <x:f>'Setup'!$B$3+(C244-1)*7+(D244-1)</x:f>
        <x:v>46273</x:v>
      </x:c>
      <x:c r="B244" s="311" t="str">
        <x:v>5|2|2</x:v>
      </x:c>
      <x:c r="C244" s="311" t="n">
        <x:v>5</x:v>
      </x:c>
      <x:c r="D244" s="311" t="n">
        <x:v>2</x:v>
      </x:c>
      <x:c r="E244" s="311" t="str">
        <x:v>Intensification</x:v>
      </x:c>
      <x:c r="F244" s="311" t="str">
        <x:v>Upper Strength</x:v>
      </x:c>
      <x:c r="G244" s="311" t="str">
        <x:v>Heavy press, pull, and carry</x:v>
      </x:c>
      <x:c r="H244" s="311" t="n">
        <x:v>2</x:v>
      </x:c>
      <x:c r="I244" s="311" t="str">
        <x:v>Bench Press</x:v>
      </x:c>
      <x:c r="J244" s="311" t="str">
        <x:v>Strength</x:v>
      </x:c>
      <x:c r="K244" s="311" t="str">
        <x:v>Chest</x:v>
      </x:c>
      <x:c r="L244" s="311" t="str">
        <x:v>Top set + back-offs</x:v>
      </x:c>
      <x:c r="M244" s="311" t="str"/>
      <x:c r="N244" s="311" t="n">
        <x:v>5</x:v>
      </x:c>
      <x:c r="O244" s="311" t="n">
        <x:v>3</x:v>
      </x:c>
      <x:c r="P244" s="311" t="n">
        <x:v>5</x:v>
      </x:c>
      <x:c r="Q244" s="311" t="n">
        <x:v>3</x:v>
      </x:c>
      <x:c r="R244" s="311" t="n">
        <x:v>180</x:v>
      </x:c>
      <x:c r="S244" s="311" t="str">
        <x:v>2-0-X</x:v>
      </x:c>
      <x:c r="T244" s="330" t="n">
        <x:v>1.11</x:v>
      </x:c>
      <x:c r="U244" s="330" t="n">
        <x:v>0.8</x:v>
      </x:c>
      <x:c r="V244" s="331" t="str">
        <x:v>load × reps</x:v>
      </x:c>
      <x:c r="W244" s="332" t="str">
        <x:f>'Readiness'!K32</x:f>
      </x:c>
      <x:c r="X244" s="314" t="n">
        <x:f>'Readiness'!L32</x:f>
        <x:v>1</x:v>
      </x:c>
      <x:c r="Y244" s="315" t="n">
        <x:f>IF(J244="Mobility",N244,MAX(1,ROUND(N244*X244,0)))</x:f>
        <x:v>5</x:v>
      </x:c>
      <x:c r="Z244" s="333" t="n">
        <x:f>ROUND((IF(AU198&gt;0,AU198,IF(Z198&gt;0,Z198,'Setup'!$D$27))*T244)/'Setup'!$B$9,0)*'Setup'!$B$9</x:f>
        <x:v>0</x:v>
      </x:c>
      <x:c r="AA244" s="334"/>
      <x:c r="AB244" s="334"/>
      <x:c r="AC244" s="334"/>
      <x:c r="AD244" s="334"/>
      <x:c r="AE244" s="334"/>
      <x:c r="AF244" s="334"/>
      <x:c r="AG244" s="334"/>
      <x:c r="AH244" s="334"/>
      <x:c r="AI244" s="334"/>
      <x:c r="AJ244" s="312"/>
      <x:c r="AK244" s="312"/>
      <x:c r="AL244" s="312"/>
      <x:c r="AM244" s="312"/>
      <x:c r="AN244" s="312"/>
      <x:c r="AO244" s="315" t="n">
        <x:f>COUNT(AB244,AD244,AF244,AH244,AJ244)</x:f>
        <x:v>0</x:v>
      </x:c>
      <x:c r="AP244" s="315" t="n">
        <x:f>SUM(AB244,AD244,AF244,AH244,AJ244)</x:f>
        <x:v>0</x:v>
      </x:c>
      <x:c r="AQ244" s="333" t="n">
        <x:f>AA244*AB244+AC244*AD244+AE244*AF244+AG244*AH244+AI244*AJ244</x:f>
        <x:v>0</x:v>
      </x:c>
      <x:c r="AR244" s="333" t="n">
        <x:f>IF(OR(J244="Strength",J244="Hypertrophy"),MAX(IF(AB244&gt;0,AA244*(1+AB244/30),0),IF(AD244&gt;0,AC244*(1+AD244/30),0),IF(AF244&gt;0,AE244*(1+AF244/30),0),IF(AH244&gt;0,AG244*(1+AH244/30),0),IF(AJ244&gt;0,AI244*(1+AJ244/30),0)),0)</x:f>
        <x:v>0</x:v>
      </x:c>
      <x:c r="AS244" s="315" t="str">
        <x:f>IF(AN244&lt;&gt;"Yes","Not logged",IF(AL244&gt;='Setup'!$B$14,"STOP / MODIFY",IF(Z244=0,"Complete",IF(OR(AO244=0,AK244=""),"Add set data + RIR",IF(AND(MAX(AB244,AD244,AF244,AH244,AJ244)&gt;=P244,AK244&gt;=Q244+1),"Progress",IF(OR(MAX(AB244,AD244,AF244,AH244,AJ244)&lt;O244,AK244&lt;Q244-1),"Regress","Hold"))))))</x:f>
        <x:v>Not logged</x:v>
      </x:c>
      <x:c r="AT244" s="335" t="n">
        <x:f>IF(OR(Z244=0,AN244&lt;&gt;"Yes",AO244=0,AK244=""),0,IF(AL244&gt;='Setup'!$B$14,-2*'Setup'!$B$11,IF(AND(MAX(AB244,AD244,AF244,AH244,AJ244)&gt;=P244,AK244&gt;=Q244+1),'Setup'!$B$10,IF(OR(MAX(AB244,AD244,AF244,AH244,AJ244)&lt;O244,AK244&lt;Q244-1),-'Setup'!$B$11,0))))</x:f>
        <x:v>0</x:v>
      </x:c>
      <x:c r="AU244" s="333" t="n">
        <x:f>IF(Z244=0,0,IF(AN244&lt;&gt;"Yes",Z244,IF(COUNT(AA244,AC244,AE244,AG244,AI244)=0,Z244,ROUND((MAX(AA244,AC244,AE244,AG244,AI244)*(1+AT244))/'Setup'!$B$9,0)*'Setup'!$B$9)))</x:f>
        <x:v>0</x:v>
      </x:c>
      <x:c r="AV244" s="336"/>
    </x:row>
    <x:row r="245">
      <x:c r="A245" s="310" t="n">
        <x:f>'Setup'!$B$3+(C245-1)*7+(D245-1)</x:f>
        <x:v>46273</x:v>
      </x:c>
      <x:c r="B245" s="311" t="str">
        <x:v>5|2|3</x:v>
      </x:c>
      <x:c r="C245" s="311" t="n">
        <x:v>5</x:v>
      </x:c>
      <x:c r="D245" s="311" t="n">
        <x:v>2</x:v>
      </x:c>
      <x:c r="E245" s="311" t="str">
        <x:v>Intensification</x:v>
      </x:c>
      <x:c r="F245" s="311" t="str">
        <x:v>Upper Strength</x:v>
      </x:c>
      <x:c r="G245" s="311" t="str">
        <x:v>Heavy press, pull, and carry</x:v>
      </x:c>
      <x:c r="H245" s="311" t="n">
        <x:v>3</x:v>
      </x:c>
      <x:c r="I245" s="311" t="str">
        <x:v>Weighted Pull-Up</x:v>
      </x:c>
      <x:c r="J245" s="311" t="str">
        <x:v>Strength</x:v>
      </x:c>
      <x:c r="K245" s="311" t="str">
        <x:v>Back</x:v>
      </x:c>
      <x:c r="L245" s="311" t="str">
        <x:v>Straight sets</x:v>
      </x:c>
      <x:c r="M245" s="311" t="str"/>
      <x:c r="N245" s="311" t="n">
        <x:v>4</x:v>
      </x:c>
      <x:c r="O245" s="311" t="n">
        <x:v>4</x:v>
      </x:c>
      <x:c r="P245" s="311" t="n">
        <x:v>6</x:v>
      </x:c>
      <x:c r="Q245" s="311" t="n">
        <x:v>3</x:v>
      </x:c>
      <x:c r="R245" s="311" t="n">
        <x:v>150</x:v>
      </x:c>
      <x:c r="S245" s="311" t="str">
        <x:v>2-1-X</x:v>
      </x:c>
      <x:c r="T245" s="330" t="n">
        <x:v>1.11</x:v>
      </x:c>
      <x:c r="U245" s="330" t="n">
        <x:v>0</x:v>
      </x:c>
      <x:c r="V245" s="331" t="str">
        <x:v>load × reps</x:v>
      </x:c>
      <x:c r="W245" s="332" t="str">
        <x:f>'Readiness'!K32</x:f>
      </x:c>
      <x:c r="X245" s="314" t="n">
        <x:f>'Readiness'!L32</x:f>
        <x:v>1</x:v>
      </x:c>
      <x:c r="Y245" s="315" t="n">
        <x:f>IF(J245="Mobility",N245,MAX(1,ROUND(N245*X245,0)))</x:f>
        <x:v>4</x:v>
      </x:c>
      <x:c r="Z245" s="333" t="n">
        <x:f>ROUND((IF(AU189&gt;0,AU189,IF(Z189&gt;0,Z189,'Setup'!$D$94))*T245)/'Setup'!$B$9,0)*'Setup'!$B$9</x:f>
        <x:v>0</x:v>
      </x:c>
      <x:c r="AA245" s="334"/>
      <x:c r="AB245" s="334"/>
      <x:c r="AC245" s="334"/>
      <x:c r="AD245" s="334"/>
      <x:c r="AE245" s="334"/>
      <x:c r="AF245" s="334"/>
      <x:c r="AG245" s="334"/>
      <x:c r="AH245" s="334"/>
      <x:c r="AI245" s="334"/>
      <x:c r="AJ245" s="312"/>
      <x:c r="AK245" s="312"/>
      <x:c r="AL245" s="312"/>
      <x:c r="AM245" s="312"/>
      <x:c r="AN245" s="312"/>
      <x:c r="AO245" s="315" t="n">
        <x:f>COUNT(AB245,AD245,AF245,AH245,AJ245)</x:f>
        <x:v>0</x:v>
      </x:c>
      <x:c r="AP245" s="315" t="n">
        <x:f>SUM(AB245,AD245,AF245,AH245,AJ245)</x:f>
        <x:v>0</x:v>
      </x:c>
      <x:c r="AQ245" s="333" t="n">
        <x:f>AA245*AB245+AC245*AD245+AE245*AF245+AG245*AH245+AI245*AJ245</x:f>
        <x:v>0</x:v>
      </x:c>
      <x:c r="AR245" s="333" t="n">
        <x:f>IF(OR(J245="Strength",J245="Hypertrophy"),MAX(IF(AB245&gt;0,AA245*(1+AB245/30),0),IF(AD245&gt;0,AC245*(1+AD245/30),0),IF(AF245&gt;0,AE245*(1+AF245/30),0),IF(AH245&gt;0,AG245*(1+AH245/30),0),IF(AJ245&gt;0,AI245*(1+AJ245/30),0)),0)</x:f>
        <x:v>0</x:v>
      </x:c>
      <x:c r="AS245" s="315" t="str">
        <x:f>IF(AN245&lt;&gt;"Yes","Not logged",IF(AL245&gt;='Setup'!$B$14,"STOP / MODIFY",IF(Z245=0,"Complete",IF(OR(AO245=0,AK245=""),"Add set data + RIR",IF(AND(MAX(AB245,AD245,AF245,AH245,AJ245)&gt;=P245,AK245&gt;=Q245+1),"Progress",IF(OR(MAX(AB245,AD245,AF245,AH245,AJ245)&lt;O245,AK245&lt;Q245-1),"Regress","Hold"))))))</x:f>
        <x:v>Not logged</x:v>
      </x:c>
      <x:c r="AT245" s="335" t="n">
        <x:f>IF(OR(Z245=0,AN245&lt;&gt;"Yes",AO245=0,AK245=""),0,IF(AL245&gt;='Setup'!$B$14,-2*'Setup'!$B$11,IF(AND(MAX(AB245,AD245,AF245,AH245,AJ245)&gt;=P245,AK245&gt;=Q245+1),'Setup'!$B$10,IF(OR(MAX(AB245,AD245,AF245,AH245,AJ245)&lt;O245,AK245&lt;Q245-1),-'Setup'!$B$11,0))))</x:f>
        <x:v>0</x:v>
      </x:c>
      <x:c r="AU245" s="333" t="n">
        <x:f>IF(Z245=0,0,IF(AN245&lt;&gt;"Yes",Z245,IF(COUNT(AA245,AC245,AE245,AG245,AI245)=0,Z245,ROUND((MAX(AA245,AC245,AE245,AG245,AI245)*(1+AT245))/'Setup'!$B$9,0)*'Setup'!$B$9)))</x:f>
        <x:v>0</x:v>
      </x:c>
      <x:c r="AV245" s="336"/>
    </x:row>
    <x:row r="246">
      <x:c r="A246" s="310" t="n">
        <x:f>'Setup'!$B$3+(C246-1)*7+(D246-1)</x:f>
        <x:v>46273</x:v>
      </x:c>
      <x:c r="B246" s="311" t="str">
        <x:v>5|2|4</x:v>
      </x:c>
      <x:c r="C246" s="311" t="n">
        <x:v>5</x:v>
      </x:c>
      <x:c r="D246" s="311" t="n">
        <x:v>2</x:v>
      </x:c>
      <x:c r="E246" s="311" t="str">
        <x:v>Intensification</x:v>
      </x:c>
      <x:c r="F246" s="311" t="str">
        <x:v>Upper Strength</x:v>
      </x:c>
      <x:c r="G246" s="311" t="str">
        <x:v>Heavy press, pull, and carry</x:v>
      </x:c>
      <x:c r="H246" s="311" t="n">
        <x:v>4</x:v>
      </x:c>
      <x:c r="I246" s="311" t="str">
        <x:v>Overhead Press</x:v>
      </x:c>
      <x:c r="J246" s="311" t="str">
        <x:v>Strength</x:v>
      </x:c>
      <x:c r="K246" s="311" t="str">
        <x:v>Shoulders</x:v>
      </x:c>
      <x:c r="L246" s="311" t="str">
        <x:v>Straight sets</x:v>
      </x:c>
      <x:c r="M246" s="311" t="str"/>
      <x:c r="N246" s="311" t="n">
        <x:v>4</x:v>
      </x:c>
      <x:c r="O246" s="311" t="n">
        <x:v>4</x:v>
      </x:c>
      <x:c r="P246" s="311" t="n">
        <x:v>6</x:v>
      </x:c>
      <x:c r="Q246" s="311" t="n">
        <x:v>3</x:v>
      </x:c>
      <x:c r="R246" s="311" t="n">
        <x:v>150</x:v>
      </x:c>
      <x:c r="S246" s="311" t="str">
        <x:v>2-0-X</x:v>
      </x:c>
      <x:c r="T246" s="330" t="n">
        <x:v>1.11</x:v>
      </x:c>
      <x:c r="U246" s="330" t="n">
        <x:v>0.76</x:v>
      </x:c>
      <x:c r="V246" s="331" t="str">
        <x:v>load × reps</x:v>
      </x:c>
      <x:c r="W246" s="332" t="str">
        <x:f>'Readiness'!K32</x:f>
      </x:c>
      <x:c r="X246" s="314" t="n">
        <x:f>'Readiness'!L32</x:f>
        <x:v>1</x:v>
      </x:c>
      <x:c r="Y246" s="315" t="n">
        <x:f>IF(J246="Mobility",N246,MAX(1,ROUND(N246*X246,0)))</x:f>
        <x:v>4</x:v>
      </x:c>
      <x:c r="Z246" s="333" t="n">
        <x:f>IF('Setup'!$D$70&gt;0,'Setup'!$D$70,IF('Setup'!$B$8&gt;0,ROUND(('Setup'!$B$8*U246)/'Setup'!$B$9,0)*'Setup'!$B$9,0))</x:f>
        <x:v>0</x:v>
      </x:c>
      <x:c r="AA246" s="334"/>
      <x:c r="AB246" s="334"/>
      <x:c r="AC246" s="334"/>
      <x:c r="AD246" s="334"/>
      <x:c r="AE246" s="334"/>
      <x:c r="AF246" s="334"/>
      <x:c r="AG246" s="334"/>
      <x:c r="AH246" s="334"/>
      <x:c r="AI246" s="334"/>
      <x:c r="AJ246" s="312"/>
      <x:c r="AK246" s="312"/>
      <x:c r="AL246" s="312"/>
      <x:c r="AM246" s="312"/>
      <x:c r="AN246" s="312"/>
      <x:c r="AO246" s="315" t="n">
        <x:f>COUNT(AB246,AD246,AF246,AH246,AJ246)</x:f>
        <x:v>0</x:v>
      </x:c>
      <x:c r="AP246" s="315" t="n">
        <x:f>SUM(AB246,AD246,AF246,AH246,AJ246)</x:f>
        <x:v>0</x:v>
      </x:c>
      <x:c r="AQ246" s="333" t="n">
        <x:f>AA246*AB246+AC246*AD246+AE246*AF246+AG246*AH246+AI246*AJ246</x:f>
        <x:v>0</x:v>
      </x:c>
      <x:c r="AR246" s="333" t="n">
        <x:f>IF(OR(J246="Strength",J246="Hypertrophy"),MAX(IF(AB246&gt;0,AA246*(1+AB246/30),0),IF(AD246&gt;0,AC246*(1+AD246/30),0),IF(AF246&gt;0,AE246*(1+AF246/30),0),IF(AH246&gt;0,AG246*(1+AH246/30),0),IF(AJ246&gt;0,AI246*(1+AJ246/30),0)),0)</x:f>
        <x:v>0</x:v>
      </x:c>
      <x:c r="AS246" s="315" t="str">
        <x:f>IF(AN246&lt;&gt;"Yes","Not logged",IF(AL246&gt;='Setup'!$B$14,"STOP / MODIFY",IF(Z246=0,"Complete",IF(OR(AO246=0,AK246=""),"Add set data + RIR",IF(AND(MAX(AB246,AD246,AF246,AH246,AJ246)&gt;=P246,AK246&gt;=Q246+1),"Progress",IF(OR(MAX(AB246,AD246,AF246,AH246,AJ246)&lt;O246,AK246&lt;Q246-1),"Regress","Hold"))))))</x:f>
        <x:v>Not logged</x:v>
      </x:c>
      <x:c r="AT246" s="335" t="n">
        <x:f>IF(OR(Z246=0,AN246&lt;&gt;"Yes",AO246=0,AK246=""),0,IF(AL246&gt;='Setup'!$B$14,-2*'Setup'!$B$11,IF(AND(MAX(AB246,AD246,AF246,AH246,AJ246)&gt;=P246,AK246&gt;=Q246+1),'Setup'!$B$10,IF(OR(MAX(AB246,AD246,AF246,AH246,AJ246)&lt;O246,AK246&lt;Q246-1),-'Setup'!$B$11,0))))</x:f>
        <x:v>0</x:v>
      </x:c>
      <x:c r="AU246" s="333" t="n">
        <x:f>IF(Z246=0,0,IF(AN246&lt;&gt;"Yes",Z246,IF(COUNT(AA246,AC246,AE246,AG246,AI246)=0,Z246,ROUND((MAX(AA246,AC246,AE246,AG246,AI246)*(1+AT246))/'Setup'!$B$9,0)*'Setup'!$B$9)))</x:f>
        <x:v>0</x:v>
      </x:c>
      <x:c r="AV246" s="336"/>
    </x:row>
    <x:row r="247">
      <x:c r="A247" s="310" t="n">
        <x:f>'Setup'!$B$3+(C247-1)*7+(D247-1)</x:f>
        <x:v>46273</x:v>
      </x:c>
      <x:c r="B247" s="311" t="str">
        <x:v>5|2|5</x:v>
      </x:c>
      <x:c r="C247" s="311" t="n">
        <x:v>5</x:v>
      </x:c>
      <x:c r="D247" s="311" t="n">
        <x:v>2</x:v>
      </x:c>
      <x:c r="E247" s="311" t="str">
        <x:v>Intensification</x:v>
      </x:c>
      <x:c r="F247" s="311" t="str">
        <x:v>Upper Strength</x:v>
      </x:c>
      <x:c r="G247" s="311" t="str">
        <x:v>Heavy press, pull, and carry</x:v>
      </x:c>
      <x:c r="H247" s="311" t="n">
        <x:v>5</x:v>
      </x:c>
      <x:c r="I247" s="311" t="str">
        <x:v>Barbell Row</x:v>
      </x:c>
      <x:c r="J247" s="311" t="str">
        <x:v>Strength</x:v>
      </x:c>
      <x:c r="K247" s="311" t="str">
        <x:v>Back</x:v>
      </x:c>
      <x:c r="L247" s="311" t="str">
        <x:v>Straight sets</x:v>
      </x:c>
      <x:c r="M247" s="311" t="str"/>
      <x:c r="N247" s="311" t="n">
        <x:v>4</x:v>
      </x:c>
      <x:c r="O247" s="311" t="n">
        <x:v>5</x:v>
      </x:c>
      <x:c r="P247" s="311" t="n">
        <x:v>7</x:v>
      </x:c>
      <x:c r="Q247" s="311" t="n">
        <x:v>3</x:v>
      </x:c>
      <x:c r="R247" s="311" t="n">
        <x:v>120</x:v>
      </x:c>
      <x:c r="S247" s="311" t="str">
        <x:v>2-1-1</x:v>
      </x:c>
      <x:c r="T247" s="330" t="n">
        <x:v>1.11</x:v>
      </x:c>
      <x:c r="U247" s="330" t="n">
        <x:v>0</x:v>
      </x:c>
      <x:c r="V247" s="331" t="str">
        <x:v>load × reps</x:v>
      </x:c>
      <x:c r="W247" s="332" t="str">
        <x:f>'Readiness'!K32</x:f>
      </x:c>
      <x:c r="X247" s="314" t="n">
        <x:f>'Readiness'!L32</x:f>
        <x:v>1</x:v>
      </x:c>
      <x:c r="Y247" s="315" t="n">
        <x:f>IF(J247="Mobility",N247,MAX(1,ROUND(N247*X247,0)))</x:f>
        <x:v>4</x:v>
      </x:c>
      <x:c r="Z247" s="333" t="n">
        <x:f>ROUND((IF(AU190&gt;0,AU190,IF(Z190&gt;0,Z190,'Setup'!$D$26))*T247)/'Setup'!$B$9,0)*'Setup'!$B$9</x:f>
        <x:v>0</x:v>
      </x:c>
      <x:c r="AA247" s="334"/>
      <x:c r="AB247" s="334"/>
      <x:c r="AC247" s="334"/>
      <x:c r="AD247" s="334"/>
      <x:c r="AE247" s="334"/>
      <x:c r="AF247" s="334"/>
      <x:c r="AG247" s="334"/>
      <x:c r="AH247" s="334"/>
      <x:c r="AI247" s="334"/>
      <x:c r="AJ247" s="312"/>
      <x:c r="AK247" s="312"/>
      <x:c r="AL247" s="312"/>
      <x:c r="AM247" s="312"/>
      <x:c r="AN247" s="312"/>
      <x:c r="AO247" s="315" t="n">
        <x:f>COUNT(AB247,AD247,AF247,AH247,AJ247)</x:f>
        <x:v>0</x:v>
      </x:c>
      <x:c r="AP247" s="315" t="n">
        <x:f>SUM(AB247,AD247,AF247,AH247,AJ247)</x:f>
        <x:v>0</x:v>
      </x:c>
      <x:c r="AQ247" s="333" t="n">
        <x:f>AA247*AB247+AC247*AD247+AE247*AF247+AG247*AH247+AI247*AJ247</x:f>
        <x:v>0</x:v>
      </x:c>
      <x:c r="AR247" s="333" t="n">
        <x:f>IF(OR(J247="Strength",J247="Hypertrophy"),MAX(IF(AB247&gt;0,AA247*(1+AB247/30),0),IF(AD247&gt;0,AC247*(1+AD247/30),0),IF(AF247&gt;0,AE247*(1+AF247/30),0),IF(AH247&gt;0,AG247*(1+AH247/30),0),IF(AJ247&gt;0,AI247*(1+AJ247/30),0)),0)</x:f>
        <x:v>0</x:v>
      </x:c>
      <x:c r="AS247" s="315" t="str">
        <x:f>IF(AN247&lt;&gt;"Yes","Not logged",IF(AL247&gt;='Setup'!$B$14,"STOP / MODIFY",IF(Z247=0,"Complete",IF(OR(AO247=0,AK247=""),"Add set data + RIR",IF(AND(MAX(AB247,AD247,AF247,AH247,AJ247)&gt;=P247,AK247&gt;=Q247+1),"Progress",IF(OR(MAX(AB247,AD247,AF247,AH247,AJ247)&lt;O247,AK247&lt;Q247-1),"Regress","Hold"))))))</x:f>
        <x:v>Not logged</x:v>
      </x:c>
      <x:c r="AT247" s="335" t="n">
        <x:f>IF(OR(Z247=0,AN247&lt;&gt;"Yes",AO247=0,AK247=""),0,IF(AL247&gt;='Setup'!$B$14,-2*'Setup'!$B$11,IF(AND(MAX(AB247,AD247,AF247,AH247,AJ247)&gt;=P247,AK247&gt;=Q247+1),'Setup'!$B$10,IF(OR(MAX(AB247,AD247,AF247,AH247,AJ247)&lt;O247,AK247&lt;Q247-1),-'Setup'!$B$11,0))))</x:f>
        <x:v>0</x:v>
      </x:c>
      <x:c r="AU247" s="333" t="n">
        <x:f>IF(Z247=0,0,IF(AN247&lt;&gt;"Yes",Z247,IF(COUNT(AA247,AC247,AE247,AG247,AI247)=0,Z247,ROUND((MAX(AA247,AC247,AE247,AG247,AI247)*(1+AT247))/'Setup'!$B$9,0)*'Setup'!$B$9)))</x:f>
        <x:v>0</x:v>
      </x:c>
      <x:c r="AV247" s="336"/>
    </x:row>
    <x:row r="248">
      <x:c r="A248" s="310" t="n">
        <x:f>'Setup'!$B$3+(C248-1)*7+(D248-1)</x:f>
        <x:v>46273</x:v>
      </x:c>
      <x:c r="B248" s="311" t="str">
        <x:v>5|2|6</x:v>
      </x:c>
      <x:c r="C248" s="311" t="n">
        <x:v>5</x:v>
      </x:c>
      <x:c r="D248" s="311" t="n">
        <x:v>2</x:v>
      </x:c>
      <x:c r="E248" s="311" t="str">
        <x:v>Intensification</x:v>
      </x:c>
      <x:c r="F248" s="311" t="str">
        <x:v>Upper Strength</x:v>
      </x:c>
      <x:c r="G248" s="311" t="str">
        <x:v>Heavy press, pull, and carry</x:v>
      </x:c>
      <x:c r="H248" s="311" t="n">
        <x:v>6</x:v>
      </x:c>
      <x:c r="I248" s="311" t="str">
        <x:v>Kettlebell Bottom-Up Carry</x:v>
      </x:c>
      <x:c r="J248" s="311" t="str">
        <x:v>Athletic</x:v>
      </x:c>
      <x:c r="K248" s="311" t="str">
        <x:v>Shoulders</x:v>
      </x:c>
      <x:c r="L248" s="311" t="str">
        <x:v>Stable wrist and stacked ribs</x:v>
      </x:c>
      <x:c r="M248" s="311" t="str"/>
      <x:c r="N248" s="311" t="n">
        <x:v>3</x:v>
      </x:c>
      <x:c r="O248" s="311" t="n">
        <x:v>20</x:v>
      </x:c>
      <x:c r="P248" s="311" t="n">
        <x:v>30</x:v>
      </x:c>
      <x:c r="Q248" s="311" t="n">
        <x:v>3</x:v>
      </x:c>
      <x:c r="R248" s="311" t="n">
        <x:v>60</x:v>
      </x:c>
      <x:c r="S248" s="311" t="str">
        <x:v>Controlled</x:v>
      </x:c>
      <x:c r="T248" s="330" t="n">
        <x:v>1.11</x:v>
      </x:c>
      <x:c r="U248" s="330" t="n">
        <x:v>0</x:v>
      </x:c>
      <x:c r="V248" s="331" t="str">
        <x:v>load + meters</x:v>
      </x:c>
      <x:c r="W248" s="332" t="str">
        <x:f>'Readiness'!K32</x:f>
      </x:c>
      <x:c r="X248" s="314" t="n">
        <x:f>'Readiness'!L32</x:f>
        <x:v>1</x:v>
      </x:c>
      <x:c r="Y248" s="315" t="n">
        <x:f>IF(J248="Mobility",N248,MAX(1,ROUND(N248*X248,0)))</x:f>
        <x:v>3</x:v>
      </x:c>
      <x:c r="Z248" s="333" t="n">
        <x:f>0</x:f>
        <x:v>0</x:v>
      </x:c>
      <x:c r="AA248" s="334"/>
      <x:c r="AB248" s="334"/>
      <x:c r="AC248" s="334"/>
      <x:c r="AD248" s="334"/>
      <x:c r="AE248" s="334"/>
      <x:c r="AF248" s="334"/>
      <x:c r="AG248" s="334"/>
      <x:c r="AH248" s="334"/>
      <x:c r="AI248" s="334"/>
      <x:c r="AJ248" s="312"/>
      <x:c r="AK248" s="312"/>
      <x:c r="AL248" s="312"/>
      <x:c r="AM248" s="312"/>
      <x:c r="AN248" s="312"/>
      <x:c r="AO248" s="315" t="n">
        <x:f>COUNT(AB248,AD248,AF248,AH248,AJ248)</x:f>
        <x:v>0</x:v>
      </x:c>
      <x:c r="AP248" s="315" t="n">
        <x:f>SUM(AB248,AD248,AF248,AH248,AJ248)</x:f>
        <x:v>0</x:v>
      </x:c>
      <x:c r="AQ248" s="333" t="n">
        <x:f>AA248*AB248+AC248*AD248+AE248*AF248+AG248*AH248+AI248*AJ248</x:f>
        <x:v>0</x:v>
      </x:c>
      <x:c r="AR248" s="333" t="n">
        <x:f>IF(OR(J248="Strength",J248="Hypertrophy"),MAX(IF(AB248&gt;0,AA248*(1+AB248/30),0),IF(AD248&gt;0,AC248*(1+AD248/30),0),IF(AF248&gt;0,AE248*(1+AF248/30),0),IF(AH248&gt;0,AG248*(1+AH248/30),0),IF(AJ248&gt;0,AI248*(1+AJ248/30),0)),0)</x:f>
        <x:v>0</x:v>
      </x:c>
      <x:c r="AS248" s="315" t="str">
        <x:f>IF(AN248&lt;&gt;"Yes","Not logged",IF(AL248&gt;='Setup'!$B$14,"STOP / MODIFY",IF(Z248=0,"Complete",IF(OR(AO248=0,AK248=""),"Add set data + RIR",IF(AND(MAX(AB248,AD248,AF248,AH248,AJ248)&gt;=P248,AK248&gt;=Q248+1),"Progress",IF(OR(MAX(AB248,AD248,AF248,AH248,AJ248)&lt;O248,AK248&lt;Q248-1),"Regress","Hold"))))))</x:f>
        <x:v>Not logged</x:v>
      </x:c>
      <x:c r="AT248" s="335" t="n">
        <x:f>IF(OR(Z248=0,AN248&lt;&gt;"Yes",AO248=0,AK248=""),0,IF(AL248&gt;='Setup'!$B$14,-2*'Setup'!$B$11,IF(AND(MAX(AB248,AD248,AF248,AH248,AJ248)&gt;=P248,AK248&gt;=Q248+1),'Setup'!$B$10,IF(OR(MAX(AB248,AD248,AF248,AH248,AJ248)&lt;O248,AK248&lt;Q248-1),-'Setup'!$B$11,0))))</x:f>
        <x:v>0</x:v>
      </x:c>
      <x:c r="AU248" s="333" t="n">
        <x:f>IF(Z248=0,0,IF(AN248&lt;&gt;"Yes",Z248,IF(COUNT(AA248,AC248,AE248,AG248,AI248)=0,Z248,ROUND((MAX(AA248,AC248,AE248,AG248,AI248)*(1+AT248))/'Setup'!$B$9,0)*'Setup'!$B$9)))</x:f>
        <x:v>0</x:v>
      </x:c>
      <x:c r="AV248" s="336"/>
    </x:row>
    <x:row r="249">
      <x:c r="A249" s="310" t="n">
        <x:f>'Setup'!$B$3+(C249-1)*7+(D249-1)</x:f>
        <x:v>46273</x:v>
      </x:c>
      <x:c r="B249" s="311" t="str">
        <x:v>5|2|7</x:v>
      </x:c>
      <x:c r="C249" s="311" t="n">
        <x:v>5</x:v>
      </x:c>
      <x:c r="D249" s="311" t="n">
        <x:v>2</x:v>
      </x:c>
      <x:c r="E249" s="311" t="str">
        <x:v>Intensification</x:v>
      </x:c>
      <x:c r="F249" s="311" t="str">
        <x:v>Upper Strength</x:v>
      </x:c>
      <x:c r="G249" s="311" t="str">
        <x:v>Heavy press, pull, and carry</x:v>
      </x:c>
      <x:c r="H249" s="311" t="n">
        <x:v>7</x:v>
      </x:c>
      <x:c r="I249" s="311" t="str">
        <x:v>Chest-Supported Dumbbell Row</x:v>
      </x:c>
      <x:c r="J249" s="311" t="str">
        <x:v>Hypertrophy</x:v>
      </x:c>
      <x:c r="K249" s="311" t="str">
        <x:v>Back</x:v>
      </x:c>
      <x:c r="L249" s="311" t="str">
        <x:v>Straight sets</x:v>
      </x:c>
      <x:c r="M249" s="311" t="str"/>
      <x:c r="N249" s="311" t="n">
        <x:v>3</x:v>
      </x:c>
      <x:c r="O249" s="311" t="n">
        <x:v>6</x:v>
      </x:c>
      <x:c r="P249" s="311" t="n">
        <x:v>8</x:v>
      </x:c>
      <x:c r="Q249" s="311" t="n">
        <x:v>3</x:v>
      </x:c>
      <x:c r="R249" s="311" t="n">
        <x:v>90</x:v>
      </x:c>
      <x:c r="S249" s="311" t="str">
        <x:v>2-1-1</x:v>
      </x:c>
      <x:c r="T249" s="330" t="n">
        <x:v>1.11</x:v>
      </x:c>
      <x:c r="U249" s="330" t="n">
        <x:v>0</x:v>
      </x:c>
      <x:c r="V249" s="331" t="str">
        <x:v>load × reps</x:v>
      </x:c>
      <x:c r="W249" s="332" t="str">
        <x:f>'Readiness'!K32</x:f>
      </x:c>
      <x:c r="X249" s="314" t="n">
        <x:f>'Readiness'!L32</x:f>
        <x:v>1</x:v>
      </x:c>
      <x:c r="Y249" s="315" t="n">
        <x:f>IF(J249="Mobility",N249,MAX(1,ROUND(N249*X249,0)))</x:f>
        <x:v>3</x:v>
      </x:c>
      <x:c r="Z249" s="333" t="n">
        <x:f>ROUND((IF(AU191&gt;0,AU191,IF(Z191&gt;0,Z191,'Setup'!$D$34))*T249)/'Setup'!$B$9,0)*'Setup'!$B$9</x:f>
        <x:v>0</x:v>
      </x:c>
      <x:c r="AA249" s="334"/>
      <x:c r="AB249" s="334"/>
      <x:c r="AC249" s="334"/>
      <x:c r="AD249" s="334"/>
      <x:c r="AE249" s="334"/>
      <x:c r="AF249" s="334"/>
      <x:c r="AG249" s="334"/>
      <x:c r="AH249" s="334"/>
      <x:c r="AI249" s="334"/>
      <x:c r="AJ249" s="312"/>
      <x:c r="AK249" s="312"/>
      <x:c r="AL249" s="312"/>
      <x:c r="AM249" s="312"/>
      <x:c r="AN249" s="312"/>
      <x:c r="AO249" s="315" t="n">
        <x:f>COUNT(AB249,AD249,AF249,AH249,AJ249)</x:f>
        <x:v>0</x:v>
      </x:c>
      <x:c r="AP249" s="315" t="n">
        <x:f>SUM(AB249,AD249,AF249,AH249,AJ249)</x:f>
        <x:v>0</x:v>
      </x:c>
      <x:c r="AQ249" s="333" t="n">
        <x:f>AA249*AB249+AC249*AD249+AE249*AF249+AG249*AH249+AI249*AJ249</x:f>
        <x:v>0</x:v>
      </x:c>
      <x:c r="AR249" s="333" t="n">
        <x:f>IF(OR(J249="Strength",J249="Hypertrophy"),MAX(IF(AB249&gt;0,AA249*(1+AB249/30),0),IF(AD249&gt;0,AC249*(1+AD249/30),0),IF(AF249&gt;0,AE249*(1+AF249/30),0),IF(AH249&gt;0,AG249*(1+AH249/30),0),IF(AJ249&gt;0,AI249*(1+AJ249/30),0)),0)</x:f>
        <x:v>0</x:v>
      </x:c>
      <x:c r="AS249" s="315" t="str">
        <x:f>IF(AN249&lt;&gt;"Yes","Not logged",IF(AL249&gt;='Setup'!$B$14,"STOP / MODIFY",IF(Z249=0,"Complete",IF(OR(AO249=0,AK249=""),"Add set data + RIR",IF(AND(MAX(AB249,AD249,AF249,AH249,AJ249)&gt;=P249,AK249&gt;=Q249+1),"Progress",IF(OR(MAX(AB249,AD249,AF249,AH249,AJ249)&lt;O249,AK249&lt;Q249-1),"Regress","Hold"))))))</x:f>
        <x:v>Not logged</x:v>
      </x:c>
      <x:c r="AT249" s="335" t="n">
        <x:f>IF(OR(Z249=0,AN249&lt;&gt;"Yes",AO249=0,AK249=""),0,IF(AL249&gt;='Setup'!$B$14,-2*'Setup'!$B$11,IF(AND(MAX(AB249,AD249,AF249,AH249,AJ249)&gt;=P249,AK249&gt;=Q249+1),'Setup'!$B$10,IF(OR(MAX(AB249,AD249,AF249,AH249,AJ249)&lt;O249,AK249&lt;Q249-1),-'Setup'!$B$11,0))))</x:f>
        <x:v>0</x:v>
      </x:c>
      <x:c r="AU249" s="333" t="n">
        <x:f>IF(Z249=0,0,IF(AN249&lt;&gt;"Yes",Z249,IF(COUNT(AA249,AC249,AE249,AG249,AI249)=0,Z249,ROUND((MAX(AA249,AC249,AE249,AG249,AI249)*(1+AT249))/'Setup'!$B$9,0)*'Setup'!$B$9)))</x:f>
        <x:v>0</x:v>
      </x:c>
      <x:c r="AV249" s="336"/>
    </x:row>
    <x:row r="250">
      <x:c r="A250" s="310" t="n">
        <x:f>'Setup'!$B$3+(C250-1)*7+(D250-1)</x:f>
        <x:v>46273</x:v>
      </x:c>
      <x:c r="B250" s="311" t="str">
        <x:v>5|2|8</x:v>
      </x:c>
      <x:c r="C250" s="311" t="n">
        <x:v>5</x:v>
      </x:c>
      <x:c r="D250" s="311" t="n">
        <x:v>2</x:v>
      </x:c>
      <x:c r="E250" s="311" t="str">
        <x:v>Intensification</x:v>
      </x:c>
      <x:c r="F250" s="311" t="str">
        <x:v>Upper Strength</x:v>
      </x:c>
      <x:c r="G250" s="311" t="str">
        <x:v>Heavy press, pull, and carry</x:v>
      </x:c>
      <x:c r="H250" s="311" t="n">
        <x:v>8</x:v>
      </x:c>
      <x:c r="I250" s="311" t="str">
        <x:v>Farmer Carry</x:v>
      </x:c>
      <x:c r="J250" s="311" t="str">
        <x:v>Athletic</x:v>
      </x:c>
      <x:c r="K250" s="311" t="str">
        <x:v>Full Body</x:v>
      </x:c>
      <x:c r="L250" s="311" t="str">
        <x:v>Tall posture, fast feet</x:v>
      </x:c>
      <x:c r="M250" s="311" t="str"/>
      <x:c r="N250" s="311" t="n">
        <x:v>4</x:v>
      </x:c>
      <x:c r="O250" s="311" t="n">
        <x:v>30</x:v>
      </x:c>
      <x:c r="P250" s="311" t="n">
        <x:v>40</x:v>
      </x:c>
      <x:c r="Q250" s="311" t="n">
        <x:v>3</x:v>
      </x:c>
      <x:c r="R250" s="311" t="n">
        <x:v>75</x:v>
      </x:c>
      <x:c r="S250" s="311" t="str">
        <x:v>Controlled</x:v>
      </x:c>
      <x:c r="T250" s="330" t="n">
        <x:v>1.11</x:v>
      </x:c>
      <x:c r="U250" s="330" t="n">
        <x:v>0</x:v>
      </x:c>
      <x:c r="V250" s="331" t="str">
        <x:v>load + meters</x:v>
      </x:c>
      <x:c r="W250" s="332" t="str">
        <x:f>'Readiness'!K32</x:f>
      </x:c>
      <x:c r="X250" s="314" t="n">
        <x:f>'Readiness'!L32</x:f>
        <x:v>1</x:v>
      </x:c>
      <x:c r="Y250" s="315" t="n">
        <x:f>IF(J250="Mobility",N250,MAX(1,ROUND(N250*X250,0)))</x:f>
        <x:v>4</x:v>
      </x:c>
      <x:c r="Z250" s="333" t="n">
        <x:f>0</x:f>
        <x:v>0</x:v>
      </x:c>
      <x:c r="AA250" s="334"/>
      <x:c r="AB250" s="334"/>
      <x:c r="AC250" s="334"/>
      <x:c r="AD250" s="334"/>
      <x:c r="AE250" s="334"/>
      <x:c r="AF250" s="334"/>
      <x:c r="AG250" s="334"/>
      <x:c r="AH250" s="334"/>
      <x:c r="AI250" s="334"/>
      <x:c r="AJ250" s="312"/>
      <x:c r="AK250" s="312"/>
      <x:c r="AL250" s="312"/>
      <x:c r="AM250" s="312"/>
      <x:c r="AN250" s="312"/>
      <x:c r="AO250" s="315" t="n">
        <x:f>COUNT(AB250,AD250,AF250,AH250,AJ250)</x:f>
        <x:v>0</x:v>
      </x:c>
      <x:c r="AP250" s="315" t="n">
        <x:f>SUM(AB250,AD250,AF250,AH250,AJ250)</x:f>
        <x:v>0</x:v>
      </x:c>
      <x:c r="AQ250" s="333" t="n">
        <x:f>AA250*AB250+AC250*AD250+AE250*AF250+AG250*AH250+AI250*AJ250</x:f>
        <x:v>0</x:v>
      </x:c>
      <x:c r="AR250" s="333" t="n">
        <x:f>IF(OR(J250="Strength",J250="Hypertrophy"),MAX(IF(AB250&gt;0,AA250*(1+AB250/30),0),IF(AD250&gt;0,AC250*(1+AD250/30),0),IF(AF250&gt;0,AE250*(1+AF250/30),0),IF(AH250&gt;0,AG250*(1+AH250/30),0),IF(AJ250&gt;0,AI250*(1+AJ250/30),0)),0)</x:f>
        <x:v>0</x:v>
      </x:c>
      <x:c r="AS250" s="315" t="str">
        <x:f>IF(AN250&lt;&gt;"Yes","Not logged",IF(AL250&gt;='Setup'!$B$14,"STOP / MODIFY",IF(Z250=0,"Complete",IF(OR(AO250=0,AK250=""),"Add set data + RIR",IF(AND(MAX(AB250,AD250,AF250,AH250,AJ250)&gt;=P250,AK250&gt;=Q250+1),"Progress",IF(OR(MAX(AB250,AD250,AF250,AH250,AJ250)&lt;O250,AK250&lt;Q250-1),"Regress","Hold"))))))</x:f>
        <x:v>Not logged</x:v>
      </x:c>
      <x:c r="AT250" s="335" t="n">
        <x:f>IF(OR(Z250=0,AN250&lt;&gt;"Yes",AO250=0,AK250=""),0,IF(AL250&gt;='Setup'!$B$14,-2*'Setup'!$B$11,IF(AND(MAX(AB250,AD250,AF250,AH250,AJ250)&gt;=P250,AK250&gt;=Q250+1),'Setup'!$B$10,IF(OR(MAX(AB250,AD250,AF250,AH250,AJ250)&lt;O250,AK250&lt;Q250-1),-'Setup'!$B$11,0))))</x:f>
        <x:v>0</x:v>
      </x:c>
      <x:c r="AU250" s="333" t="n">
        <x:f>IF(Z250=0,0,IF(AN250&lt;&gt;"Yes",Z250,IF(COUNT(AA250,AC250,AE250,AG250,AI250)=0,Z250,ROUND((MAX(AA250,AC250,AE250,AG250,AI250)*(1+AT250))/'Setup'!$B$9,0)*'Setup'!$B$9)))</x:f>
        <x:v>0</x:v>
      </x:c>
      <x:c r="AV250" s="336"/>
    </x:row>
    <x:row r="251">
      <x:c r="A251" s="310" t="n">
        <x:f>'Setup'!$B$3+(C251-1)*7+(D251-1)</x:f>
        <x:v>46273</x:v>
      </x:c>
      <x:c r="B251" s="311" t="str">
        <x:v>5|2|9</x:v>
      </x:c>
      <x:c r="C251" s="311" t="n">
        <x:v>5</x:v>
      </x:c>
      <x:c r="D251" s="311" t="n">
        <x:v>2</x:v>
      </x:c>
      <x:c r="E251" s="311" t="str">
        <x:v>Intensification</x:v>
      </x:c>
      <x:c r="F251" s="311" t="str">
        <x:v>Upper Strength</x:v>
      </x:c>
      <x:c r="G251" s="311" t="str">
        <x:v>Heavy press, pull, and carry</x:v>
      </x:c>
      <x:c r="H251" s="311" t="n">
        <x:v>9</x:v>
      </x:c>
      <x:c r="I251" s="311" t="str">
        <x:v>Shoulder CARs</x:v>
      </x:c>
      <x:c r="J251" s="311" t="str">
        <x:v>Mobility</x:v>
      </x:c>
      <x:c r="K251" s="311" t="str">
        <x:v>Shoulders</x:v>
      </x:c>
      <x:c r="L251" s="311" t="str">
        <x:v>Controlled articular rotation</x:v>
      </x:c>
      <x:c r="M251" s="311" t="str"/>
      <x:c r="N251" s="311" t="n">
        <x:v>2</x:v>
      </x:c>
      <x:c r="O251" s="311" t="n">
        <x:v>3</x:v>
      </x:c>
      <x:c r="P251" s="311" t="n">
        <x:v>5</x:v>
      </x:c>
      <x:c r="Q251" s="311" t="str"/>
      <x:c r="R251" s="311" t="n">
        <x:v>20</x:v>
      </x:c>
      <x:c r="S251" s="311" t="str">
        <x:v>Slow</x:v>
      </x:c>
      <x:c r="T251" s="330" t="n">
        <x:v>1.11</x:v>
      </x:c>
      <x:c r="U251" s="330" t="n">
        <x:v>0</x:v>
      </x:c>
      <x:c r="V251" s="331" t="str">
        <x:v>reps</x:v>
      </x:c>
      <x:c r="W251" s="332" t="str">
        <x:f>'Readiness'!K32</x:f>
      </x:c>
      <x:c r="X251" s="314" t="n">
        <x:f>'Readiness'!L32</x:f>
        <x:v>1</x:v>
      </x:c>
      <x:c r="Y251" s="315" t="n">
        <x:f>IF(J251="Mobility",N251,MAX(1,ROUND(N251*X251,0)))</x:f>
        <x:v>2</x:v>
      </x:c>
      <x:c r="Z251" s="333" t="n">
        <x:f>0</x:f>
        <x:v>0</x:v>
      </x:c>
      <x:c r="AA251" s="334"/>
      <x:c r="AB251" s="334"/>
      <x:c r="AC251" s="334"/>
      <x:c r="AD251" s="334"/>
      <x:c r="AE251" s="334"/>
      <x:c r="AF251" s="334"/>
      <x:c r="AG251" s="334"/>
      <x:c r="AH251" s="334"/>
      <x:c r="AI251" s="334"/>
      <x:c r="AJ251" s="312"/>
      <x:c r="AK251" s="312"/>
      <x:c r="AL251" s="312"/>
      <x:c r="AM251" s="312"/>
      <x:c r="AN251" s="312"/>
      <x:c r="AO251" s="315" t="n">
        <x:f>COUNT(AB251,AD251,AF251,AH251,AJ251)</x:f>
        <x:v>0</x:v>
      </x:c>
      <x:c r="AP251" s="315" t="n">
        <x:f>SUM(AB251,AD251,AF251,AH251,AJ251)</x:f>
        <x:v>0</x:v>
      </x:c>
      <x:c r="AQ251" s="333" t="n">
        <x:f>AA251*AB251+AC251*AD251+AE251*AF251+AG251*AH251+AI251*AJ251</x:f>
        <x:v>0</x:v>
      </x:c>
      <x:c r="AR251" s="333" t="n">
        <x:f>IF(OR(J251="Strength",J251="Hypertrophy"),MAX(IF(AB251&gt;0,AA251*(1+AB251/30),0),IF(AD251&gt;0,AC251*(1+AD251/30),0),IF(AF251&gt;0,AE251*(1+AF251/30),0),IF(AH251&gt;0,AG251*(1+AH251/30),0),IF(AJ251&gt;0,AI251*(1+AJ251/30),0)),0)</x:f>
        <x:v>0</x:v>
      </x:c>
      <x:c r="AS251" s="315" t="str">
        <x:f>IF(AN251&lt;&gt;"Yes","Not logged",IF(AL251&gt;='Setup'!$B$14,"STOP / MODIFY",IF(Z251=0,"Complete",IF(OR(AO251=0,AK251=""),"Add set data + RIR",IF(AND(MAX(AB251,AD251,AF251,AH251,AJ251)&gt;=P251,AK251&gt;=Q251+1),"Progress",IF(OR(MAX(AB251,AD251,AF251,AH251,AJ251)&lt;O251,AK251&lt;Q251-1),"Regress","Hold"))))))</x:f>
        <x:v>Not logged</x:v>
      </x:c>
      <x:c r="AT251" s="335" t="n">
        <x:f>IF(OR(Z251=0,AN251&lt;&gt;"Yes",AO251=0,AK251=""),0,IF(AL251&gt;='Setup'!$B$14,-2*'Setup'!$B$11,IF(AND(MAX(AB251,AD251,AF251,AH251,AJ251)&gt;=P251,AK251&gt;=Q251+1),'Setup'!$B$10,IF(OR(MAX(AB251,AD251,AF251,AH251,AJ251)&lt;O251,AK251&lt;Q251-1),-'Setup'!$B$11,0))))</x:f>
        <x:v>0</x:v>
      </x:c>
      <x:c r="AU251" s="333" t="n">
        <x:f>IF(Z251=0,0,IF(AN251&lt;&gt;"Yes",Z251,IF(COUNT(AA251,AC251,AE251,AG251,AI251)=0,Z251,ROUND((MAX(AA251,AC251,AE251,AG251,AI251)*(1+AT251))/'Setup'!$B$9,0)*'Setup'!$B$9)))</x:f>
        <x:v>0</x:v>
      </x:c>
      <x:c r="AV251" s="336"/>
    </x:row>
    <x:row r="252">
      <x:c r="A252" s="310" t="n">
        <x:f>'Setup'!$B$3+(C252-1)*7+(D252-1)</x:f>
        <x:v>46274</x:v>
      </x:c>
      <x:c r="B252" s="311" t="str">
        <x:v>5|3|1</x:v>
      </x:c>
      <x:c r="C252" s="311" t="n">
        <x:v>5</x:v>
      </x:c>
      <x:c r="D252" s="311" t="n">
        <x:v>3</x:v>
      </x:c>
      <x:c r="E252" s="311" t="str">
        <x:v>Intensification</x:v>
      </x:c>
      <x:c r="F252" s="311" t="str">
        <x:v>Legs Hypertrophy</x:v>
      </x:c>
      <x:c r="G252" s="311" t="str">
        <x:v>Quad, hamstring, and calf volume</x:v>
      </x:c>
      <x:c r="H252" s="311" t="n">
        <x:v>1</x:v>
      </x:c>
      <x:c r="I252" s="311" t="str">
        <x:v>Hack Squat</x:v>
      </x:c>
      <x:c r="J252" s="311" t="str">
        <x:v>Hypertrophy</x:v>
      </x:c>
      <x:c r="K252" s="311" t="str">
        <x:v>Quads</x:v>
      </x:c>
      <x:c r="L252" s="311" t="str">
        <x:v>Straight sets</x:v>
      </x:c>
      <x:c r="M252" s="311" t="str"/>
      <x:c r="N252" s="311" t="n">
        <x:v>4</x:v>
      </x:c>
      <x:c r="O252" s="311" t="n">
        <x:v>8</x:v>
      </x:c>
      <x:c r="P252" s="311" t="n">
        <x:v>12</x:v>
      </x:c>
      <x:c r="Q252" s="311" t="n">
        <x:v>3</x:v>
      </x:c>
      <x:c r="R252" s="311" t="n">
        <x:v>120</x:v>
      </x:c>
      <x:c r="S252" s="311" t="str">
        <x:v>3-1-1</x:v>
      </x:c>
      <x:c r="T252" s="330" t="n">
        <x:v>1.11</x:v>
      </x:c>
      <x:c r="U252" s="330" t="n">
        <x:v>0</x:v>
      </x:c>
      <x:c r="V252" s="331" t="str">
        <x:v>load × reps</x:v>
      </x:c>
      <x:c r="W252" s="332" t="str">
        <x:f>'Readiness'!K33</x:f>
      </x:c>
      <x:c r="X252" s="314" t="n">
        <x:f>'Readiness'!L33</x:f>
        <x:v>1</x:v>
      </x:c>
      <x:c r="Y252" s="315" t="n">
        <x:f>IF(J252="Mobility",N252,MAX(1,ROUND(N252*X252,0)))</x:f>
        <x:v>4</x:v>
      </x:c>
      <x:c r="Z252" s="333" t="n">
        <x:f>IF('Setup'!$D$46&gt;0,'Setup'!$D$46,0)</x:f>
        <x:v>0</x:v>
      </x:c>
      <x:c r="AA252" s="334"/>
      <x:c r="AB252" s="334"/>
      <x:c r="AC252" s="334"/>
      <x:c r="AD252" s="334"/>
      <x:c r="AE252" s="334"/>
      <x:c r="AF252" s="334"/>
      <x:c r="AG252" s="334"/>
      <x:c r="AH252" s="334"/>
      <x:c r="AI252" s="334"/>
      <x:c r="AJ252" s="312"/>
      <x:c r="AK252" s="312"/>
      <x:c r="AL252" s="312"/>
      <x:c r="AM252" s="312"/>
      <x:c r="AN252" s="312"/>
      <x:c r="AO252" s="315" t="n">
        <x:f>COUNT(AB252,AD252,AF252,AH252,AJ252)</x:f>
        <x:v>0</x:v>
      </x:c>
      <x:c r="AP252" s="315" t="n">
        <x:f>SUM(AB252,AD252,AF252,AH252,AJ252)</x:f>
        <x:v>0</x:v>
      </x:c>
      <x:c r="AQ252" s="333" t="n">
        <x:f>AA252*AB252+AC252*AD252+AE252*AF252+AG252*AH252+AI252*AJ252</x:f>
        <x:v>0</x:v>
      </x:c>
      <x:c r="AR252" s="333" t="n">
        <x:f>IF(OR(J252="Strength",J252="Hypertrophy"),MAX(IF(AB252&gt;0,AA252*(1+AB252/30),0),IF(AD252&gt;0,AC252*(1+AD252/30),0),IF(AF252&gt;0,AE252*(1+AF252/30),0),IF(AH252&gt;0,AG252*(1+AH252/30),0),IF(AJ252&gt;0,AI252*(1+AJ252/30),0)),0)</x:f>
        <x:v>0</x:v>
      </x:c>
      <x:c r="AS252" s="315" t="str">
        <x:f>IF(AN252&lt;&gt;"Yes","Not logged",IF(AL252&gt;='Setup'!$B$14,"STOP / MODIFY",IF(Z252=0,"Complete",IF(OR(AO252=0,AK252=""),"Add set data + RIR",IF(AND(MAX(AB252,AD252,AF252,AH252,AJ252)&gt;=P252,AK252&gt;=Q252+1),"Progress",IF(OR(MAX(AB252,AD252,AF252,AH252,AJ252)&lt;O252,AK252&lt;Q252-1),"Regress","Hold"))))))</x:f>
        <x:v>Not logged</x:v>
      </x:c>
      <x:c r="AT252" s="335" t="n">
        <x:f>IF(OR(Z252=0,AN252&lt;&gt;"Yes",AO252=0,AK252=""),0,IF(AL252&gt;='Setup'!$B$14,-2*'Setup'!$B$11,IF(AND(MAX(AB252,AD252,AF252,AH252,AJ252)&gt;=P252,AK252&gt;=Q252+1),'Setup'!$B$10,IF(OR(MAX(AB252,AD252,AF252,AH252,AJ252)&lt;O252,AK252&lt;Q252-1),-'Setup'!$B$11,0))))</x:f>
        <x:v>0</x:v>
      </x:c>
      <x:c r="AU252" s="333" t="n">
        <x:f>IF(Z252=0,0,IF(AN252&lt;&gt;"Yes",Z252,IF(COUNT(AA252,AC252,AE252,AG252,AI252)=0,Z252,ROUND((MAX(AA252,AC252,AE252,AG252,AI252)*(1+AT252))/'Setup'!$B$9,0)*'Setup'!$B$9)))</x:f>
        <x:v>0</x:v>
      </x:c>
      <x:c r="AV252" s="336"/>
    </x:row>
    <x:row r="253">
      <x:c r="A253" s="310" t="n">
        <x:f>'Setup'!$B$3+(C253-1)*7+(D253-1)</x:f>
        <x:v>46274</x:v>
      </x:c>
      <x:c r="B253" s="311" t="str">
        <x:v>5|3|2</x:v>
      </x:c>
      <x:c r="C253" s="311" t="n">
        <x:v>5</x:v>
      </x:c>
      <x:c r="D253" s="311" t="n">
        <x:v>3</x:v>
      </x:c>
      <x:c r="E253" s="311" t="str">
        <x:v>Intensification</x:v>
      </x:c>
      <x:c r="F253" s="311" t="str">
        <x:v>Legs Hypertrophy</x:v>
      </x:c>
      <x:c r="G253" s="311" t="str">
        <x:v>Quad, hamstring, and calf volume</x:v>
      </x:c>
      <x:c r="H253" s="311" t="n">
        <x:v>2</x:v>
      </x:c>
      <x:c r="I253" s="311" t="str">
        <x:v>Romanian Deadlift</x:v>
      </x:c>
      <x:c r="J253" s="311" t="str">
        <x:v>Hypertrophy</x:v>
      </x:c>
      <x:c r="K253" s="311" t="str">
        <x:v>Hamstrings</x:v>
      </x:c>
      <x:c r="L253" s="311" t="str">
        <x:v>Straight sets</x:v>
      </x:c>
      <x:c r="M253" s="311" t="str"/>
      <x:c r="N253" s="311" t="n">
        <x:v>4</x:v>
      </x:c>
      <x:c r="O253" s="311" t="n">
        <x:v>8</x:v>
      </x:c>
      <x:c r="P253" s="311" t="n">
        <x:v>10</x:v>
      </x:c>
      <x:c r="Q253" s="311" t="n">
        <x:v>3</x:v>
      </x:c>
      <x:c r="R253" s="311" t="n">
        <x:v>120</x:v>
      </x:c>
      <x:c r="S253" s="311" t="str">
        <x:v>3-1-1</x:v>
      </x:c>
      <x:c r="T253" s="330" t="n">
        <x:v>1.11</x:v>
      </x:c>
      <x:c r="U253" s="330" t="n">
        <x:v>0.58</x:v>
      </x:c>
      <x:c r="V253" s="331" t="str">
        <x:v>load × reps</x:v>
      </x:c>
      <x:c r="W253" s="332" t="str">
        <x:f>'Readiness'!K33</x:f>
      </x:c>
      <x:c r="X253" s="314" t="n">
        <x:f>'Readiness'!L33</x:f>
        <x:v>1</x:v>
      </x:c>
      <x:c r="Y253" s="315" t="n">
        <x:f>IF(J253="Mobility",N253,MAX(1,ROUND(N253*X253,0)))</x:f>
        <x:v>4</x:v>
      </x:c>
      <x:c r="Z253" s="333" t="n">
        <x:f>ROUND((IF(AU181&gt;0,AU181,IF(Z181&gt;0,Z181,'Setup'!$D$79))*T253)/'Setup'!$B$9,0)*'Setup'!$B$9</x:f>
        <x:v>0</x:v>
      </x:c>
      <x:c r="AA253" s="334"/>
      <x:c r="AB253" s="334"/>
      <x:c r="AC253" s="334"/>
      <x:c r="AD253" s="334"/>
      <x:c r="AE253" s="334"/>
      <x:c r="AF253" s="334"/>
      <x:c r="AG253" s="334"/>
      <x:c r="AH253" s="334"/>
      <x:c r="AI253" s="334"/>
      <x:c r="AJ253" s="312"/>
      <x:c r="AK253" s="312"/>
      <x:c r="AL253" s="312"/>
      <x:c r="AM253" s="312"/>
      <x:c r="AN253" s="312"/>
      <x:c r="AO253" s="315" t="n">
        <x:f>COUNT(AB253,AD253,AF253,AH253,AJ253)</x:f>
        <x:v>0</x:v>
      </x:c>
      <x:c r="AP253" s="315" t="n">
        <x:f>SUM(AB253,AD253,AF253,AH253,AJ253)</x:f>
        <x:v>0</x:v>
      </x:c>
      <x:c r="AQ253" s="333" t="n">
        <x:f>AA253*AB253+AC253*AD253+AE253*AF253+AG253*AH253+AI253*AJ253</x:f>
        <x:v>0</x:v>
      </x:c>
      <x:c r="AR253" s="333" t="n">
        <x:f>IF(OR(J253="Strength",J253="Hypertrophy"),MAX(IF(AB253&gt;0,AA253*(1+AB253/30),0),IF(AD253&gt;0,AC253*(1+AD253/30),0),IF(AF253&gt;0,AE253*(1+AF253/30),0),IF(AH253&gt;0,AG253*(1+AH253/30),0),IF(AJ253&gt;0,AI253*(1+AJ253/30),0)),0)</x:f>
        <x:v>0</x:v>
      </x:c>
      <x:c r="AS253" s="315" t="str">
        <x:f>IF(AN253&lt;&gt;"Yes","Not logged",IF(AL253&gt;='Setup'!$B$14,"STOP / MODIFY",IF(Z253=0,"Complete",IF(OR(AO253=0,AK253=""),"Add set data + RIR",IF(AND(MAX(AB253,AD253,AF253,AH253,AJ253)&gt;=P253,AK253&gt;=Q253+1),"Progress",IF(OR(MAX(AB253,AD253,AF253,AH253,AJ253)&lt;O253,AK253&lt;Q253-1),"Regress","Hold"))))))</x:f>
        <x:v>Not logged</x:v>
      </x:c>
      <x:c r="AT253" s="335" t="n">
        <x:f>IF(OR(Z253=0,AN253&lt;&gt;"Yes",AO253=0,AK253=""),0,IF(AL253&gt;='Setup'!$B$14,-2*'Setup'!$B$11,IF(AND(MAX(AB253,AD253,AF253,AH253,AJ253)&gt;=P253,AK253&gt;=Q253+1),'Setup'!$B$10,IF(OR(MAX(AB253,AD253,AF253,AH253,AJ253)&lt;O253,AK253&lt;Q253-1),-'Setup'!$B$11,0))))</x:f>
        <x:v>0</x:v>
      </x:c>
      <x:c r="AU253" s="333" t="n">
        <x:f>IF(Z253=0,0,IF(AN253&lt;&gt;"Yes",Z253,IF(COUNT(AA253,AC253,AE253,AG253,AI253)=0,Z253,ROUND((MAX(AA253,AC253,AE253,AG253,AI253)*(1+AT253))/'Setup'!$B$9,0)*'Setup'!$B$9)))</x:f>
        <x:v>0</x:v>
      </x:c>
      <x:c r="AV253" s="336"/>
    </x:row>
    <x:row r="254">
      <x:c r="A254" s="310" t="n">
        <x:f>'Setup'!$B$3+(C254-1)*7+(D254-1)</x:f>
        <x:v>46274</x:v>
      </x:c>
      <x:c r="B254" s="311" t="str">
        <x:v>5|3|3</x:v>
      </x:c>
      <x:c r="C254" s="311" t="n">
        <x:v>5</x:v>
      </x:c>
      <x:c r="D254" s="311" t="n">
        <x:v>3</x:v>
      </x:c>
      <x:c r="E254" s="311" t="str">
        <x:v>Intensification</x:v>
      </x:c>
      <x:c r="F254" s="311" t="str">
        <x:v>Legs Hypertrophy</x:v>
      </x:c>
      <x:c r="G254" s="311" t="str">
        <x:v>Quad, hamstring, and calf volume</x:v>
      </x:c>
      <x:c r="H254" s="311" t="n">
        <x:v>3</x:v>
      </x:c>
      <x:c r="I254" s="311" t="str">
        <x:v>Bulgarian Split Squat</x:v>
      </x:c>
      <x:c r="J254" s="311" t="str">
        <x:v>Hypertrophy</x:v>
      </x:c>
      <x:c r="K254" s="311" t="str">
        <x:v>Quads</x:v>
      </x:c>
      <x:c r="L254" s="311" t="str">
        <x:v>Straight sets</x:v>
      </x:c>
      <x:c r="M254" s="311" t="str"/>
      <x:c r="N254" s="311" t="n">
        <x:v>3</x:v>
      </x:c>
      <x:c r="O254" s="311" t="n">
        <x:v>10</x:v>
      </x:c>
      <x:c r="P254" s="311" t="n">
        <x:v>12</x:v>
      </x:c>
      <x:c r="Q254" s="311" t="n">
        <x:v>3</x:v>
      </x:c>
      <x:c r="R254" s="311" t="n">
        <x:v>90</x:v>
      </x:c>
      <x:c r="S254" s="311" t="str">
        <x:v>3-0-1</x:v>
      </x:c>
      <x:c r="T254" s="330" t="n">
        <x:v>1.11</x:v>
      </x:c>
      <x:c r="U254" s="330" t="n">
        <x:v>0</x:v>
      </x:c>
      <x:c r="V254" s="331" t="str">
        <x:v>load × reps</x:v>
      </x:c>
      <x:c r="W254" s="332" t="str">
        <x:f>'Readiness'!K33</x:f>
      </x:c>
      <x:c r="X254" s="314" t="n">
        <x:f>'Readiness'!L33</x:f>
        <x:v>1</x:v>
      </x:c>
      <x:c r="Y254" s="315" t="n">
        <x:f>IF(J254="Mobility",N254,MAX(1,ROUND(N254*X254,0)))</x:f>
        <x:v>3</x:v>
      </x:c>
      <x:c r="Z254" s="333" t="n">
        <x:f>ROUND((IF(AU182&gt;0,AU182,IF(Z182&gt;0,Z182,'Setup'!$D$30))*T254)/'Setup'!$B$9,0)*'Setup'!$B$9</x:f>
        <x:v>0</x:v>
      </x:c>
      <x:c r="AA254" s="334"/>
      <x:c r="AB254" s="334"/>
      <x:c r="AC254" s="334"/>
      <x:c r="AD254" s="334"/>
      <x:c r="AE254" s="334"/>
      <x:c r="AF254" s="334"/>
      <x:c r="AG254" s="334"/>
      <x:c r="AH254" s="334"/>
      <x:c r="AI254" s="334"/>
      <x:c r="AJ254" s="312"/>
      <x:c r="AK254" s="312"/>
      <x:c r="AL254" s="312"/>
      <x:c r="AM254" s="312"/>
      <x:c r="AN254" s="312"/>
      <x:c r="AO254" s="315" t="n">
        <x:f>COUNT(AB254,AD254,AF254,AH254,AJ254)</x:f>
        <x:v>0</x:v>
      </x:c>
      <x:c r="AP254" s="315" t="n">
        <x:f>SUM(AB254,AD254,AF254,AH254,AJ254)</x:f>
        <x:v>0</x:v>
      </x:c>
      <x:c r="AQ254" s="333" t="n">
        <x:f>AA254*AB254+AC254*AD254+AE254*AF254+AG254*AH254+AI254*AJ254</x:f>
        <x:v>0</x:v>
      </x:c>
      <x:c r="AR254" s="333" t="n">
        <x:f>IF(OR(J254="Strength",J254="Hypertrophy"),MAX(IF(AB254&gt;0,AA254*(1+AB254/30),0),IF(AD254&gt;0,AC254*(1+AD254/30),0),IF(AF254&gt;0,AE254*(1+AF254/30),0),IF(AH254&gt;0,AG254*(1+AH254/30),0),IF(AJ254&gt;0,AI254*(1+AJ254/30),0)),0)</x:f>
        <x:v>0</x:v>
      </x:c>
      <x:c r="AS254" s="315" t="str">
        <x:f>IF(AN254&lt;&gt;"Yes","Not logged",IF(AL254&gt;='Setup'!$B$14,"STOP / MODIFY",IF(Z254=0,"Complete",IF(OR(AO254=0,AK254=""),"Add set data + RIR",IF(AND(MAX(AB254,AD254,AF254,AH254,AJ254)&gt;=P254,AK254&gt;=Q254+1),"Progress",IF(OR(MAX(AB254,AD254,AF254,AH254,AJ254)&lt;O254,AK254&lt;Q254-1),"Regress","Hold"))))))</x:f>
        <x:v>Not logged</x:v>
      </x:c>
      <x:c r="AT254" s="335" t="n">
        <x:f>IF(OR(Z254=0,AN254&lt;&gt;"Yes",AO254=0,AK254=""),0,IF(AL254&gt;='Setup'!$B$14,-2*'Setup'!$B$11,IF(AND(MAX(AB254,AD254,AF254,AH254,AJ254)&gt;=P254,AK254&gt;=Q254+1),'Setup'!$B$10,IF(OR(MAX(AB254,AD254,AF254,AH254,AJ254)&lt;O254,AK254&lt;Q254-1),-'Setup'!$B$11,0))))</x:f>
        <x:v>0</x:v>
      </x:c>
      <x:c r="AU254" s="333" t="n">
        <x:f>IF(Z254=0,0,IF(AN254&lt;&gt;"Yes",Z254,IF(COUNT(AA254,AC254,AE254,AG254,AI254)=0,Z254,ROUND((MAX(AA254,AC254,AE254,AG254,AI254)*(1+AT254))/'Setup'!$B$9,0)*'Setup'!$B$9)))</x:f>
        <x:v>0</x:v>
      </x:c>
      <x:c r="AV254" s="336"/>
    </x:row>
    <x:row r="255">
      <x:c r="A255" s="310" t="n">
        <x:f>'Setup'!$B$3+(C255-1)*7+(D255-1)</x:f>
        <x:v>46274</x:v>
      </x:c>
      <x:c r="B255" s="311" t="str">
        <x:v>5|3|4</x:v>
      </x:c>
      <x:c r="C255" s="311" t="n">
        <x:v>5</x:v>
      </x:c>
      <x:c r="D255" s="311" t="n">
        <x:v>3</x:v>
      </x:c>
      <x:c r="E255" s="311" t="str">
        <x:v>Intensification</x:v>
      </x:c>
      <x:c r="F255" s="311" t="str">
        <x:v>Legs Hypertrophy</x:v>
      </x:c>
      <x:c r="G255" s="311" t="str">
        <x:v>Quad, hamstring, and calf volume</x:v>
      </x:c>
      <x:c r="H255" s="311" t="n">
        <x:v>4</x:v>
      </x:c>
      <x:c r="I255" s="311" t="str">
        <x:v>Lying Leg Curl</x:v>
      </x:c>
      <x:c r="J255" s="311" t="str">
        <x:v>Hypertrophy</x:v>
      </x:c>
      <x:c r="K255" s="311" t="str">
        <x:v>Hamstrings</x:v>
      </x:c>
      <x:c r="L255" s="311" t="str">
        <x:v>Straight sets</x:v>
      </x:c>
      <x:c r="M255" s="311" t="str"/>
      <x:c r="N255" s="311" t="n">
        <x:v>3</x:v>
      </x:c>
      <x:c r="O255" s="311" t="n">
        <x:v>10</x:v>
      </x:c>
      <x:c r="P255" s="311" t="n">
        <x:v>15</x:v>
      </x:c>
      <x:c r="Q255" s="311" t="n">
        <x:v>3</x:v>
      </x:c>
      <x:c r="R255" s="311" t="n">
        <x:v>60</x:v>
      </x:c>
      <x:c r="S255" s="311" t="str">
        <x:v>2-1-2</x:v>
      </x:c>
      <x:c r="T255" s="330" t="n">
        <x:v>1.11</x:v>
      </x:c>
      <x:c r="U255" s="330" t="n">
        <x:v>0</x:v>
      </x:c>
      <x:c r="V255" s="331" t="str">
        <x:v>load × reps</x:v>
      </x:c>
      <x:c r="W255" s="332" t="str">
        <x:f>'Readiness'!K33</x:f>
      </x:c>
      <x:c r="X255" s="314" t="n">
        <x:f>'Readiness'!L33</x:f>
        <x:v>1</x:v>
      </x:c>
      <x:c r="Y255" s="315" t="n">
        <x:f>IF(J255="Mobility",N255,MAX(1,ROUND(N255*X255,0)))</x:f>
        <x:v>3</x:v>
      </x:c>
      <x:c r="Z255" s="333" t="n">
        <x:f>ROUND((IF(AU183&gt;0,AU183,IF(Z183&gt;0,Z183,'Setup'!$D$59))*T255)/'Setup'!$B$9,0)*'Setup'!$B$9</x:f>
        <x:v>0</x:v>
      </x:c>
      <x:c r="AA255" s="334"/>
      <x:c r="AB255" s="334"/>
      <x:c r="AC255" s="334"/>
      <x:c r="AD255" s="334"/>
      <x:c r="AE255" s="334"/>
      <x:c r="AF255" s="334"/>
      <x:c r="AG255" s="334"/>
      <x:c r="AH255" s="334"/>
      <x:c r="AI255" s="334"/>
      <x:c r="AJ255" s="312"/>
      <x:c r="AK255" s="312"/>
      <x:c r="AL255" s="312"/>
      <x:c r="AM255" s="312"/>
      <x:c r="AN255" s="312"/>
      <x:c r="AO255" s="315" t="n">
        <x:f>COUNT(AB255,AD255,AF255,AH255,AJ255)</x:f>
        <x:v>0</x:v>
      </x:c>
      <x:c r="AP255" s="315" t="n">
        <x:f>SUM(AB255,AD255,AF255,AH255,AJ255)</x:f>
        <x:v>0</x:v>
      </x:c>
      <x:c r="AQ255" s="333" t="n">
        <x:f>AA255*AB255+AC255*AD255+AE255*AF255+AG255*AH255+AI255*AJ255</x:f>
        <x:v>0</x:v>
      </x:c>
      <x:c r="AR255" s="333" t="n">
        <x:f>IF(OR(J255="Strength",J255="Hypertrophy"),MAX(IF(AB255&gt;0,AA255*(1+AB255/30),0),IF(AD255&gt;0,AC255*(1+AD255/30),0),IF(AF255&gt;0,AE255*(1+AF255/30),0),IF(AH255&gt;0,AG255*(1+AH255/30),0),IF(AJ255&gt;0,AI255*(1+AJ255/30),0)),0)</x:f>
        <x:v>0</x:v>
      </x:c>
      <x:c r="AS255" s="315" t="str">
        <x:f>IF(AN255&lt;&gt;"Yes","Not logged",IF(AL255&gt;='Setup'!$B$14,"STOP / MODIFY",IF(Z255=0,"Complete",IF(OR(AO255=0,AK255=""),"Add set data + RIR",IF(AND(MAX(AB255,AD255,AF255,AH255,AJ255)&gt;=P255,AK255&gt;=Q255+1),"Progress",IF(OR(MAX(AB255,AD255,AF255,AH255,AJ255)&lt;O255,AK255&lt;Q255-1),"Regress","Hold"))))))</x:f>
        <x:v>Not logged</x:v>
      </x:c>
      <x:c r="AT255" s="335" t="n">
        <x:f>IF(OR(Z255=0,AN255&lt;&gt;"Yes",AO255=0,AK255=""),0,IF(AL255&gt;='Setup'!$B$14,-2*'Setup'!$B$11,IF(AND(MAX(AB255,AD255,AF255,AH255,AJ255)&gt;=P255,AK255&gt;=Q255+1),'Setup'!$B$10,IF(OR(MAX(AB255,AD255,AF255,AH255,AJ255)&lt;O255,AK255&lt;Q255-1),-'Setup'!$B$11,0))))</x:f>
        <x:v>0</x:v>
      </x:c>
      <x:c r="AU255" s="333" t="n">
        <x:f>IF(Z255=0,0,IF(AN255&lt;&gt;"Yes",Z255,IF(COUNT(AA255,AC255,AE255,AG255,AI255)=0,Z255,ROUND((MAX(AA255,AC255,AE255,AG255,AI255)*(1+AT255))/'Setup'!$B$9,0)*'Setup'!$B$9)))</x:f>
        <x:v>0</x:v>
      </x:c>
      <x:c r="AV255" s="336"/>
    </x:row>
    <x:row r="256">
      <x:c r="A256" s="310" t="n">
        <x:f>'Setup'!$B$3+(C256-1)*7+(D256-1)</x:f>
        <x:v>46274</x:v>
      </x:c>
      <x:c r="B256" s="311" t="str">
        <x:v>5|3|5</x:v>
      </x:c>
      <x:c r="C256" s="311" t="n">
        <x:v>5</x:v>
      </x:c>
      <x:c r="D256" s="311" t="n">
        <x:v>3</x:v>
      </x:c>
      <x:c r="E256" s="311" t="str">
        <x:v>Intensification</x:v>
      </x:c>
      <x:c r="F256" s="311" t="str">
        <x:v>Legs Hypertrophy</x:v>
      </x:c>
      <x:c r="G256" s="311" t="str">
        <x:v>Quad, hamstring, and calf volume</x:v>
      </x:c>
      <x:c r="H256" s="311" t="n">
        <x:v>5</x:v>
      </x:c>
      <x:c r="I256" s="311" t="str">
        <x:v>Leg Extension</x:v>
      </x:c>
      <x:c r="J256" s="311" t="str">
        <x:v>Hypertrophy</x:v>
      </x:c>
      <x:c r="K256" s="311" t="str">
        <x:v>Quads</x:v>
      </x:c>
      <x:c r="L256" s="311" t="str">
        <x:v>Straight sets</x:v>
      </x:c>
      <x:c r="M256" s="311" t="str"/>
      <x:c r="N256" s="311" t="n">
        <x:v>3</x:v>
      </x:c>
      <x:c r="O256" s="311" t="n">
        <x:v>12</x:v>
      </x:c>
      <x:c r="P256" s="311" t="n">
        <x:v>20</x:v>
      </x:c>
      <x:c r="Q256" s="311" t="n">
        <x:v>3</x:v>
      </x:c>
      <x:c r="R256" s="311" t="n">
        <x:v>60</x:v>
      </x:c>
      <x:c r="S256" s="311" t="str">
        <x:v>2-1-2</x:v>
      </x:c>
      <x:c r="T256" s="330" t="n">
        <x:v>1.11</x:v>
      </x:c>
      <x:c r="U256" s="330" t="n">
        <x:v>0</x:v>
      </x:c>
      <x:c r="V256" s="331" t="str">
        <x:v>load × reps</x:v>
      </x:c>
      <x:c r="W256" s="332" t="str">
        <x:f>'Readiness'!K33</x:f>
      </x:c>
      <x:c r="X256" s="314" t="n">
        <x:f>'Readiness'!L33</x:f>
        <x:v>1</x:v>
      </x:c>
      <x:c r="Y256" s="315" t="n">
        <x:f>IF(J256="Mobility",N256,MAX(1,ROUND(N256*X256,0)))</x:f>
        <x:v>3</x:v>
      </x:c>
      <x:c r="Z256" s="333" t="n">
        <x:f>IF('Setup'!$D$57&gt;0,'Setup'!$D$57,0)</x:f>
        <x:v>0</x:v>
      </x:c>
      <x:c r="AA256" s="334"/>
      <x:c r="AB256" s="334"/>
      <x:c r="AC256" s="334"/>
      <x:c r="AD256" s="334"/>
      <x:c r="AE256" s="334"/>
      <x:c r="AF256" s="334"/>
      <x:c r="AG256" s="334"/>
      <x:c r="AH256" s="334"/>
      <x:c r="AI256" s="334"/>
      <x:c r="AJ256" s="312"/>
      <x:c r="AK256" s="312"/>
      <x:c r="AL256" s="312"/>
      <x:c r="AM256" s="312"/>
      <x:c r="AN256" s="312"/>
      <x:c r="AO256" s="315" t="n">
        <x:f>COUNT(AB256,AD256,AF256,AH256,AJ256)</x:f>
        <x:v>0</x:v>
      </x:c>
      <x:c r="AP256" s="315" t="n">
        <x:f>SUM(AB256,AD256,AF256,AH256,AJ256)</x:f>
        <x:v>0</x:v>
      </x:c>
      <x:c r="AQ256" s="333" t="n">
        <x:f>AA256*AB256+AC256*AD256+AE256*AF256+AG256*AH256+AI256*AJ256</x:f>
        <x:v>0</x:v>
      </x:c>
      <x:c r="AR256" s="333" t="n">
        <x:f>IF(OR(J256="Strength",J256="Hypertrophy"),MAX(IF(AB256&gt;0,AA256*(1+AB256/30),0),IF(AD256&gt;0,AC256*(1+AD256/30),0),IF(AF256&gt;0,AE256*(1+AF256/30),0),IF(AH256&gt;0,AG256*(1+AH256/30),0),IF(AJ256&gt;0,AI256*(1+AJ256/30),0)),0)</x:f>
        <x:v>0</x:v>
      </x:c>
      <x:c r="AS256" s="315" t="str">
        <x:f>IF(AN256&lt;&gt;"Yes","Not logged",IF(AL256&gt;='Setup'!$B$14,"STOP / MODIFY",IF(Z256=0,"Complete",IF(OR(AO256=0,AK256=""),"Add set data + RIR",IF(AND(MAX(AB256,AD256,AF256,AH256,AJ256)&gt;=P256,AK256&gt;=Q256+1),"Progress",IF(OR(MAX(AB256,AD256,AF256,AH256,AJ256)&lt;O256,AK256&lt;Q256-1),"Regress","Hold"))))))</x:f>
        <x:v>Not logged</x:v>
      </x:c>
      <x:c r="AT256" s="335" t="n">
        <x:f>IF(OR(Z256=0,AN256&lt;&gt;"Yes",AO256=0,AK256=""),0,IF(AL256&gt;='Setup'!$B$14,-2*'Setup'!$B$11,IF(AND(MAX(AB256,AD256,AF256,AH256,AJ256)&gt;=P256,AK256&gt;=Q256+1),'Setup'!$B$10,IF(OR(MAX(AB256,AD256,AF256,AH256,AJ256)&lt;O256,AK256&lt;Q256-1),-'Setup'!$B$11,0))))</x:f>
        <x:v>0</x:v>
      </x:c>
      <x:c r="AU256" s="333" t="n">
        <x:f>IF(Z256=0,0,IF(AN256&lt;&gt;"Yes",Z256,IF(COUNT(AA256,AC256,AE256,AG256,AI256)=0,Z256,ROUND((MAX(AA256,AC256,AE256,AG256,AI256)*(1+AT256))/'Setup'!$B$9,0)*'Setup'!$B$9)))</x:f>
        <x:v>0</x:v>
      </x:c>
      <x:c r="AV256" s="336"/>
    </x:row>
    <x:row r="257">
      <x:c r="A257" s="310" t="n">
        <x:f>'Setup'!$B$3+(C257-1)*7+(D257-1)</x:f>
        <x:v>46274</x:v>
      </x:c>
      <x:c r="B257" s="311" t="str">
        <x:v>5|3|6</x:v>
      </x:c>
      <x:c r="C257" s="311" t="n">
        <x:v>5</x:v>
      </x:c>
      <x:c r="D257" s="311" t="n">
        <x:v>3</x:v>
      </x:c>
      <x:c r="E257" s="311" t="str">
        <x:v>Intensification</x:v>
      </x:c>
      <x:c r="F257" s="311" t="str">
        <x:v>Legs Hypertrophy</x:v>
      </x:c>
      <x:c r="G257" s="311" t="str">
        <x:v>Quad, hamstring, and calf volume</x:v>
      </x:c>
      <x:c r="H257" s="311" t="n">
        <x:v>6</x:v>
      </x:c>
      <x:c r="I257" s="311" t="str">
        <x:v>Seated Calf Raise</x:v>
      </x:c>
      <x:c r="J257" s="311" t="str">
        <x:v>Hypertrophy</x:v>
      </x:c>
      <x:c r="K257" s="311" t="str">
        <x:v>Calves</x:v>
      </x:c>
      <x:c r="L257" s="311" t="str">
        <x:v>Straight sets</x:v>
      </x:c>
      <x:c r="M257" s="311" t="str"/>
      <x:c r="N257" s="311" t="n">
        <x:v>4</x:v>
      </x:c>
      <x:c r="O257" s="311" t="n">
        <x:v>12</x:v>
      </x:c>
      <x:c r="P257" s="311" t="n">
        <x:v>20</x:v>
      </x:c>
      <x:c r="Q257" s="311" t="n">
        <x:v>3</x:v>
      </x:c>
      <x:c r="R257" s="311" t="n">
        <x:v>60</x:v>
      </x:c>
      <x:c r="S257" s="311" t="str">
        <x:v>2-2-1</x:v>
      </x:c>
      <x:c r="T257" s="330" t="n">
        <x:v>1.11</x:v>
      </x:c>
      <x:c r="U257" s="330" t="n">
        <x:v>0</x:v>
      </x:c>
      <x:c r="V257" s="331" t="str">
        <x:v>load × reps</x:v>
      </x:c>
      <x:c r="W257" s="332" t="str">
        <x:f>'Readiness'!K33</x:f>
      </x:c>
      <x:c r="X257" s="314" t="n">
        <x:f>'Readiness'!L33</x:f>
        <x:v>1</x:v>
      </x:c>
      <x:c r="Y257" s="315" t="n">
        <x:f>IF(J257="Mobility",N257,MAX(1,ROUND(N257*X257,0)))</x:f>
        <x:v>4</x:v>
      </x:c>
      <x:c r="Z257" s="333" t="n">
        <x:f>ROUND((IF(AU213&gt;0,AU213,IF(Z213&gt;0,Z213,'Setup'!$D$82))*T257)/'Setup'!$B$9,0)*'Setup'!$B$9</x:f>
        <x:v>0</x:v>
      </x:c>
      <x:c r="AA257" s="334"/>
      <x:c r="AB257" s="334"/>
      <x:c r="AC257" s="334"/>
      <x:c r="AD257" s="334"/>
      <x:c r="AE257" s="334"/>
      <x:c r="AF257" s="334"/>
      <x:c r="AG257" s="334"/>
      <x:c r="AH257" s="334"/>
      <x:c r="AI257" s="334"/>
      <x:c r="AJ257" s="312"/>
      <x:c r="AK257" s="312"/>
      <x:c r="AL257" s="312"/>
      <x:c r="AM257" s="312"/>
      <x:c r="AN257" s="312"/>
      <x:c r="AO257" s="315" t="n">
        <x:f>COUNT(AB257,AD257,AF257,AH257,AJ257)</x:f>
        <x:v>0</x:v>
      </x:c>
      <x:c r="AP257" s="315" t="n">
        <x:f>SUM(AB257,AD257,AF257,AH257,AJ257)</x:f>
        <x:v>0</x:v>
      </x:c>
      <x:c r="AQ257" s="333" t="n">
        <x:f>AA257*AB257+AC257*AD257+AE257*AF257+AG257*AH257+AI257*AJ257</x:f>
        <x:v>0</x:v>
      </x:c>
      <x:c r="AR257" s="333" t="n">
        <x:f>IF(OR(J257="Strength",J257="Hypertrophy"),MAX(IF(AB257&gt;0,AA257*(1+AB257/30),0),IF(AD257&gt;0,AC257*(1+AD257/30),0),IF(AF257&gt;0,AE257*(1+AF257/30),0),IF(AH257&gt;0,AG257*(1+AH257/30),0),IF(AJ257&gt;0,AI257*(1+AJ257/30),0)),0)</x:f>
        <x:v>0</x:v>
      </x:c>
      <x:c r="AS257" s="315" t="str">
        <x:f>IF(AN257&lt;&gt;"Yes","Not logged",IF(AL257&gt;='Setup'!$B$14,"STOP / MODIFY",IF(Z257=0,"Complete",IF(OR(AO257=0,AK257=""),"Add set data + RIR",IF(AND(MAX(AB257,AD257,AF257,AH257,AJ257)&gt;=P257,AK257&gt;=Q257+1),"Progress",IF(OR(MAX(AB257,AD257,AF257,AH257,AJ257)&lt;O257,AK257&lt;Q257-1),"Regress","Hold"))))))</x:f>
        <x:v>Not logged</x:v>
      </x:c>
      <x:c r="AT257" s="335" t="n">
        <x:f>IF(OR(Z257=0,AN257&lt;&gt;"Yes",AO257=0,AK257=""),0,IF(AL257&gt;='Setup'!$B$14,-2*'Setup'!$B$11,IF(AND(MAX(AB257,AD257,AF257,AH257,AJ257)&gt;=P257,AK257&gt;=Q257+1),'Setup'!$B$10,IF(OR(MAX(AB257,AD257,AF257,AH257,AJ257)&lt;O257,AK257&lt;Q257-1),-'Setup'!$B$11,0))))</x:f>
        <x:v>0</x:v>
      </x:c>
      <x:c r="AU257" s="333" t="n">
        <x:f>IF(Z257=0,0,IF(AN257&lt;&gt;"Yes",Z257,IF(COUNT(AA257,AC257,AE257,AG257,AI257)=0,Z257,ROUND((MAX(AA257,AC257,AE257,AG257,AI257)*(1+AT257))/'Setup'!$B$9,0)*'Setup'!$B$9)))</x:f>
        <x:v>0</x:v>
      </x:c>
      <x:c r="AV257" s="336"/>
    </x:row>
    <x:row r="258">
      <x:c r="A258" s="310" t="n">
        <x:f>'Setup'!$B$3+(C258-1)*7+(D258-1)</x:f>
        <x:v>46274</x:v>
      </x:c>
      <x:c r="B258" s="311" t="str">
        <x:v>5|3|7</x:v>
      </x:c>
      <x:c r="C258" s="311" t="n">
        <x:v>5</x:v>
      </x:c>
      <x:c r="D258" s="311" t="n">
        <x:v>3</x:v>
      </x:c>
      <x:c r="E258" s="311" t="str">
        <x:v>Intensification</x:v>
      </x:c>
      <x:c r="F258" s="311" t="str">
        <x:v>Legs Hypertrophy</x:v>
      </x:c>
      <x:c r="G258" s="311" t="str">
        <x:v>Quad, hamstring, and calf volume</x:v>
      </x:c>
      <x:c r="H258" s="311" t="n">
        <x:v>7</x:v>
      </x:c>
      <x:c r="I258" s="311" t="str">
        <x:v>Cable Hip Adduction</x:v>
      </x:c>
      <x:c r="J258" s="311" t="str">
        <x:v>Hypertrophy</x:v>
      </x:c>
      <x:c r="K258" s="311" t="str">
        <x:v>Adductors</x:v>
      </x:c>
      <x:c r="L258" s="311" t="str">
        <x:v>Straight sets</x:v>
      </x:c>
      <x:c r="M258" s="311" t="str"/>
      <x:c r="N258" s="311" t="n">
        <x:v>3</x:v>
      </x:c>
      <x:c r="O258" s="311" t="n">
        <x:v>12</x:v>
      </x:c>
      <x:c r="P258" s="311" t="n">
        <x:v>20</x:v>
      </x:c>
      <x:c r="Q258" s="311" t="n">
        <x:v>3</x:v>
      </x:c>
      <x:c r="R258" s="311" t="n">
        <x:v>45</x:v>
      </x:c>
      <x:c r="S258" s="311" t="str">
        <x:v>2-1-2</x:v>
      </x:c>
      <x:c r="T258" s="330" t="n">
        <x:v>1.11</x:v>
      </x:c>
      <x:c r="U258" s="330" t="n">
        <x:v>0</x:v>
      </x:c>
      <x:c r="V258" s="331" t="str">
        <x:v>load × reps</x:v>
      </x:c>
      <x:c r="W258" s="332" t="str">
        <x:f>'Readiness'!K33</x:f>
      </x:c>
      <x:c r="X258" s="314" t="n">
        <x:f>'Readiness'!L33</x:f>
        <x:v>1</x:v>
      </x:c>
      <x:c r="Y258" s="315" t="n">
        <x:f>IF(J258="Mobility",N258,MAX(1,ROUND(N258*X258,0)))</x:f>
        <x:v>3</x:v>
      </x:c>
      <x:c r="Z258" s="333" t="n">
        <x:f>IF('Setup'!$D$32&gt;0,'Setup'!$D$32,0)</x:f>
        <x:v>0</x:v>
      </x:c>
      <x:c r="AA258" s="334"/>
      <x:c r="AB258" s="334"/>
      <x:c r="AC258" s="334"/>
      <x:c r="AD258" s="334"/>
      <x:c r="AE258" s="334"/>
      <x:c r="AF258" s="334"/>
      <x:c r="AG258" s="334"/>
      <x:c r="AH258" s="334"/>
      <x:c r="AI258" s="334"/>
      <x:c r="AJ258" s="312"/>
      <x:c r="AK258" s="312"/>
      <x:c r="AL258" s="312"/>
      <x:c r="AM258" s="312"/>
      <x:c r="AN258" s="312"/>
      <x:c r="AO258" s="315" t="n">
        <x:f>COUNT(AB258,AD258,AF258,AH258,AJ258)</x:f>
        <x:v>0</x:v>
      </x:c>
      <x:c r="AP258" s="315" t="n">
        <x:f>SUM(AB258,AD258,AF258,AH258,AJ258)</x:f>
        <x:v>0</x:v>
      </x:c>
      <x:c r="AQ258" s="333" t="n">
        <x:f>AA258*AB258+AC258*AD258+AE258*AF258+AG258*AH258+AI258*AJ258</x:f>
        <x:v>0</x:v>
      </x:c>
      <x:c r="AR258" s="333" t="n">
        <x:f>IF(OR(J258="Strength",J258="Hypertrophy"),MAX(IF(AB258&gt;0,AA258*(1+AB258/30),0),IF(AD258&gt;0,AC258*(1+AD258/30),0),IF(AF258&gt;0,AE258*(1+AF258/30),0),IF(AH258&gt;0,AG258*(1+AH258/30),0),IF(AJ258&gt;0,AI258*(1+AJ258/30),0)),0)</x:f>
        <x:v>0</x:v>
      </x:c>
      <x:c r="AS258" s="315" t="str">
        <x:f>IF(AN258&lt;&gt;"Yes","Not logged",IF(AL258&gt;='Setup'!$B$14,"STOP / MODIFY",IF(Z258=0,"Complete",IF(OR(AO258=0,AK258=""),"Add set data + RIR",IF(AND(MAX(AB258,AD258,AF258,AH258,AJ258)&gt;=P258,AK258&gt;=Q258+1),"Progress",IF(OR(MAX(AB258,AD258,AF258,AH258,AJ258)&lt;O258,AK258&lt;Q258-1),"Regress","Hold"))))))</x:f>
        <x:v>Not logged</x:v>
      </x:c>
      <x:c r="AT258" s="335" t="n">
        <x:f>IF(OR(Z258=0,AN258&lt;&gt;"Yes",AO258=0,AK258=""),0,IF(AL258&gt;='Setup'!$B$14,-2*'Setup'!$B$11,IF(AND(MAX(AB258,AD258,AF258,AH258,AJ258)&gt;=P258,AK258&gt;=Q258+1),'Setup'!$B$10,IF(OR(MAX(AB258,AD258,AF258,AH258,AJ258)&lt;O258,AK258&lt;Q258-1),-'Setup'!$B$11,0))))</x:f>
        <x:v>0</x:v>
      </x:c>
      <x:c r="AU258" s="333" t="n">
        <x:f>IF(Z258=0,0,IF(AN258&lt;&gt;"Yes",Z258,IF(COUNT(AA258,AC258,AE258,AG258,AI258)=0,Z258,ROUND((MAX(AA258,AC258,AE258,AG258,AI258)*(1+AT258))/'Setup'!$B$9,0)*'Setup'!$B$9)))</x:f>
        <x:v>0</x:v>
      </x:c>
      <x:c r="AV258" s="336"/>
    </x:row>
    <x:row r="259">
      <x:c r="A259" s="310" t="n">
        <x:f>'Setup'!$B$3+(C259-1)*7+(D259-1)</x:f>
        <x:v>46274</x:v>
      </x:c>
      <x:c r="B259" s="311" t="str">
        <x:v>5|3|8</x:v>
      </x:c>
      <x:c r="C259" s="311" t="n">
        <x:v>5</x:v>
      </x:c>
      <x:c r="D259" s="311" t="n">
        <x:v>3</x:v>
      </x:c>
      <x:c r="E259" s="311" t="str">
        <x:v>Intensification</x:v>
      </x:c>
      <x:c r="F259" s="311" t="str">
        <x:v>Legs Hypertrophy</x:v>
      </x:c>
      <x:c r="G259" s="311" t="str">
        <x:v>Quad, hamstring, and calf volume</x:v>
      </x:c>
      <x:c r="H259" s="311" t="n">
        <x:v>8</x:v>
      </x:c>
      <x:c r="I259" s="311" t="str">
        <x:v>Couch Stretch</x:v>
      </x:c>
      <x:c r="J259" s="311" t="str">
        <x:v>Mobility</x:v>
      </x:c>
      <x:c r="K259" s="311" t="str">
        <x:v>Hips</x:v>
      </x:c>
      <x:c r="L259" s="311" t="str">
        <x:v>Relaxed breathing</x:v>
      </x:c>
      <x:c r="M259" s="311" t="str"/>
      <x:c r="N259" s="311" t="n">
        <x:v>2</x:v>
      </x:c>
      <x:c r="O259" s="311" t="n">
        <x:v>30</x:v>
      </x:c>
      <x:c r="P259" s="311" t="n">
        <x:v>45</x:v>
      </x:c>
      <x:c r="Q259" s="311" t="str"/>
      <x:c r="R259" s="311" t="n">
        <x:v>20</x:v>
      </x:c>
      <x:c r="S259" s="311" t="str">
        <x:v>Hold</x:v>
      </x:c>
      <x:c r="T259" s="330" t="n">
        <x:v>1.11</x:v>
      </x:c>
      <x:c r="U259" s="330" t="n">
        <x:v>0</x:v>
      </x:c>
      <x:c r="V259" s="331" t="str">
        <x:v>seconds</x:v>
      </x:c>
      <x:c r="W259" s="332" t="str">
        <x:f>'Readiness'!K33</x:f>
      </x:c>
      <x:c r="X259" s="314" t="n">
        <x:f>'Readiness'!L33</x:f>
        <x:v>1</x:v>
      </x:c>
      <x:c r="Y259" s="315" t="n">
        <x:f>IF(J259="Mobility",N259,MAX(1,ROUND(N259*X259,0)))</x:f>
        <x:v>2</x:v>
      </x:c>
      <x:c r="Z259" s="333" t="n">
        <x:f>0</x:f>
        <x:v>0</x:v>
      </x:c>
      <x:c r="AA259" s="334"/>
      <x:c r="AB259" s="334"/>
      <x:c r="AC259" s="334"/>
      <x:c r="AD259" s="334"/>
      <x:c r="AE259" s="334"/>
      <x:c r="AF259" s="334"/>
      <x:c r="AG259" s="334"/>
      <x:c r="AH259" s="334"/>
      <x:c r="AI259" s="334"/>
      <x:c r="AJ259" s="312"/>
      <x:c r="AK259" s="312"/>
      <x:c r="AL259" s="312"/>
      <x:c r="AM259" s="312"/>
      <x:c r="AN259" s="312"/>
      <x:c r="AO259" s="315" t="n">
        <x:f>COUNT(AB259,AD259,AF259,AH259,AJ259)</x:f>
        <x:v>0</x:v>
      </x:c>
      <x:c r="AP259" s="315" t="n">
        <x:f>SUM(AB259,AD259,AF259,AH259,AJ259)</x:f>
        <x:v>0</x:v>
      </x:c>
      <x:c r="AQ259" s="333" t="n">
        <x:f>AA259*AB259+AC259*AD259+AE259*AF259+AG259*AH259+AI259*AJ259</x:f>
        <x:v>0</x:v>
      </x:c>
      <x:c r="AR259" s="333" t="n">
        <x:f>IF(OR(J259="Strength",J259="Hypertrophy"),MAX(IF(AB259&gt;0,AA259*(1+AB259/30),0),IF(AD259&gt;0,AC259*(1+AD259/30),0),IF(AF259&gt;0,AE259*(1+AF259/30),0),IF(AH259&gt;0,AG259*(1+AH259/30),0),IF(AJ259&gt;0,AI259*(1+AJ259/30),0)),0)</x:f>
        <x:v>0</x:v>
      </x:c>
      <x:c r="AS259" s="315" t="str">
        <x:f>IF(AN259&lt;&gt;"Yes","Not logged",IF(AL259&gt;='Setup'!$B$14,"STOP / MODIFY",IF(Z259=0,"Complete",IF(OR(AO259=0,AK259=""),"Add set data + RIR",IF(AND(MAX(AB259,AD259,AF259,AH259,AJ259)&gt;=P259,AK259&gt;=Q259+1),"Progress",IF(OR(MAX(AB259,AD259,AF259,AH259,AJ259)&lt;O259,AK259&lt;Q259-1),"Regress","Hold"))))))</x:f>
        <x:v>Not logged</x:v>
      </x:c>
      <x:c r="AT259" s="335" t="n">
        <x:f>IF(OR(Z259=0,AN259&lt;&gt;"Yes",AO259=0,AK259=""),0,IF(AL259&gt;='Setup'!$B$14,-2*'Setup'!$B$11,IF(AND(MAX(AB259,AD259,AF259,AH259,AJ259)&gt;=P259,AK259&gt;=Q259+1),'Setup'!$B$10,IF(OR(MAX(AB259,AD259,AF259,AH259,AJ259)&lt;O259,AK259&lt;Q259-1),-'Setup'!$B$11,0))))</x:f>
        <x:v>0</x:v>
      </x:c>
      <x:c r="AU259" s="333" t="n">
        <x:f>IF(Z259=0,0,IF(AN259&lt;&gt;"Yes",Z259,IF(COUNT(AA259,AC259,AE259,AG259,AI259)=0,Z259,ROUND((MAX(AA259,AC259,AE259,AG259,AI259)*(1+AT259))/'Setup'!$B$9,0)*'Setup'!$B$9)))</x:f>
        <x:v>0</x:v>
      </x:c>
      <x:c r="AV259" s="336"/>
    </x:row>
    <x:row r="260">
      <x:c r="A260" s="310" t="n">
        <x:f>'Setup'!$B$3+(C260-1)*7+(D260-1)</x:f>
        <x:v>46275</x:v>
      </x:c>
      <x:c r="B260" s="311" t="str">
        <x:v>5|4|1</x:v>
      </x:c>
      <x:c r="C260" s="311" t="n">
        <x:v>5</x:v>
      </x:c>
      <x:c r="D260" s="311" t="n">
        <x:v>4</x:v>
      </x:c>
      <x:c r="E260" s="311" t="str">
        <x:v>Intensification</x:v>
      </x:c>
      <x:c r="F260" s="311" t="str">
        <x:v>Push Hypertrophy</x:v>
      </x:c>
      <x:c r="G260" s="311" t="str">
        <x:v>Chest, delts, and triceps volume</x:v>
      </x:c>
      <x:c r="H260" s="311" t="n">
        <x:v>1</x:v>
      </x:c>
      <x:c r="I260" s="311" t="str">
        <x:v>Incline Dumbbell Bench Press</x:v>
      </x:c>
      <x:c r="J260" s="311" t="str">
        <x:v>Hypertrophy</x:v>
      </x:c>
      <x:c r="K260" s="311" t="str">
        <x:v>Chest</x:v>
      </x:c>
      <x:c r="L260" s="311" t="str">
        <x:v>Straight sets</x:v>
      </x:c>
      <x:c r="M260" s="311" t="str"/>
      <x:c r="N260" s="311" t="n">
        <x:v>4</x:v>
      </x:c>
      <x:c r="O260" s="311" t="n">
        <x:v>8</x:v>
      </x:c>
      <x:c r="P260" s="311" t="n">
        <x:v>12</x:v>
      </x:c>
      <x:c r="Q260" s="311" t="n">
        <x:v>3</x:v>
      </x:c>
      <x:c r="R260" s="311" t="n">
        <x:v>90</x:v>
      </x:c>
      <x:c r="S260" s="311" t="str">
        <x:v>3-0-1</x:v>
      </x:c>
      <x:c r="T260" s="330" t="n">
        <x:v>1.11</x:v>
      </x:c>
      <x:c r="U260" s="330" t="n">
        <x:v>0</x:v>
      </x:c>
      <x:c r="V260" s="331" t="str">
        <x:v>load × reps</x:v>
      </x:c>
      <x:c r="W260" s="332" t="str">
        <x:f>'Readiness'!K34</x:f>
      </x:c>
      <x:c r="X260" s="314" t="n">
        <x:f>'Readiness'!L34</x:f>
        <x:v>1</x:v>
      </x:c>
      <x:c r="Y260" s="315" t="n">
        <x:f>IF(J260="Mobility",N260,MAX(1,ROUND(N260*X260,0)))</x:f>
        <x:v>4</x:v>
      </x:c>
      <x:c r="Z260" s="333" t="n">
        <x:f>ROUND((IF(AU199&gt;0,AU199,IF(Z199&gt;0,Z199,'Setup'!$D$50))*T260)/'Setup'!$B$9,0)*'Setup'!$B$9</x:f>
        <x:v>0</x:v>
      </x:c>
      <x:c r="AA260" s="334"/>
      <x:c r="AB260" s="334"/>
      <x:c r="AC260" s="334"/>
      <x:c r="AD260" s="334"/>
      <x:c r="AE260" s="334"/>
      <x:c r="AF260" s="334"/>
      <x:c r="AG260" s="334"/>
      <x:c r="AH260" s="334"/>
      <x:c r="AI260" s="334"/>
      <x:c r="AJ260" s="312"/>
      <x:c r="AK260" s="312"/>
      <x:c r="AL260" s="312"/>
      <x:c r="AM260" s="312"/>
      <x:c r="AN260" s="312"/>
      <x:c r="AO260" s="315" t="n">
        <x:f>COUNT(AB260,AD260,AF260,AH260,AJ260)</x:f>
        <x:v>0</x:v>
      </x:c>
      <x:c r="AP260" s="315" t="n">
        <x:f>SUM(AB260,AD260,AF260,AH260,AJ260)</x:f>
        <x:v>0</x:v>
      </x:c>
      <x:c r="AQ260" s="333" t="n">
        <x:f>AA260*AB260+AC260*AD260+AE260*AF260+AG260*AH260+AI260*AJ260</x:f>
        <x:v>0</x:v>
      </x:c>
      <x:c r="AR260" s="333" t="n">
        <x:f>IF(OR(J260="Strength",J260="Hypertrophy"),MAX(IF(AB260&gt;0,AA260*(1+AB260/30),0),IF(AD260&gt;0,AC260*(1+AD260/30),0),IF(AF260&gt;0,AE260*(1+AF260/30),0),IF(AH260&gt;0,AG260*(1+AH260/30),0),IF(AJ260&gt;0,AI260*(1+AJ260/30),0)),0)</x:f>
        <x:v>0</x:v>
      </x:c>
      <x:c r="AS260" s="315" t="str">
        <x:f>IF(AN260&lt;&gt;"Yes","Not logged",IF(AL260&gt;='Setup'!$B$14,"STOP / MODIFY",IF(Z260=0,"Complete",IF(OR(AO260=0,AK260=""),"Add set data + RIR",IF(AND(MAX(AB260,AD260,AF260,AH260,AJ260)&gt;=P260,AK260&gt;=Q260+1),"Progress",IF(OR(MAX(AB260,AD260,AF260,AH260,AJ260)&lt;O260,AK260&lt;Q260-1),"Regress","Hold"))))))</x:f>
        <x:v>Not logged</x:v>
      </x:c>
      <x:c r="AT260" s="335" t="n">
        <x:f>IF(OR(Z260=0,AN260&lt;&gt;"Yes",AO260=0,AK260=""),0,IF(AL260&gt;='Setup'!$B$14,-2*'Setup'!$B$11,IF(AND(MAX(AB260,AD260,AF260,AH260,AJ260)&gt;=P260,AK260&gt;=Q260+1),'Setup'!$B$10,IF(OR(MAX(AB260,AD260,AF260,AH260,AJ260)&lt;O260,AK260&lt;Q260-1),-'Setup'!$B$11,0))))</x:f>
        <x:v>0</x:v>
      </x:c>
      <x:c r="AU260" s="333" t="n">
        <x:f>IF(Z260=0,0,IF(AN260&lt;&gt;"Yes",Z260,IF(COUNT(AA260,AC260,AE260,AG260,AI260)=0,Z260,ROUND((MAX(AA260,AC260,AE260,AG260,AI260)*(1+AT260))/'Setup'!$B$9,0)*'Setup'!$B$9)))</x:f>
        <x:v>0</x:v>
      </x:c>
      <x:c r="AV260" s="336"/>
    </x:row>
    <x:row r="261">
      <x:c r="A261" s="310" t="n">
        <x:f>'Setup'!$B$3+(C261-1)*7+(D261-1)</x:f>
        <x:v>46275</x:v>
      </x:c>
      <x:c r="B261" s="311" t="str">
        <x:v>5|4|2</x:v>
      </x:c>
      <x:c r="C261" s="311" t="n">
        <x:v>5</x:v>
      </x:c>
      <x:c r="D261" s="311" t="n">
        <x:v>4</x:v>
      </x:c>
      <x:c r="E261" s="311" t="str">
        <x:v>Intensification</x:v>
      </x:c>
      <x:c r="F261" s="311" t="str">
        <x:v>Push Hypertrophy</x:v>
      </x:c>
      <x:c r="G261" s="311" t="str">
        <x:v>Chest, delts, and triceps volume</x:v>
      </x:c>
      <x:c r="H261" s="311" t="n">
        <x:v>2</x:v>
      </x:c>
      <x:c r="I261" s="311" t="str">
        <x:v>Machine Chest Press</x:v>
      </x:c>
      <x:c r="J261" s="311" t="str">
        <x:v>Hypertrophy</x:v>
      </x:c>
      <x:c r="K261" s="311" t="str">
        <x:v>Chest</x:v>
      </x:c>
      <x:c r="L261" s="311" t="str">
        <x:v>Straight sets</x:v>
      </x:c>
      <x:c r="M261" s="311" t="str"/>
      <x:c r="N261" s="311" t="n">
        <x:v>3</x:v>
      </x:c>
      <x:c r="O261" s="311" t="n">
        <x:v>10</x:v>
      </x:c>
      <x:c r="P261" s="311" t="n">
        <x:v>15</x:v>
      </x:c>
      <x:c r="Q261" s="311" t="n">
        <x:v>3</x:v>
      </x:c>
      <x:c r="R261" s="311" t="n">
        <x:v>75</x:v>
      </x:c>
      <x:c r="S261" s="311" t="str">
        <x:v>2-1-1</x:v>
      </x:c>
      <x:c r="T261" s="330" t="n">
        <x:v>1.11</x:v>
      </x:c>
      <x:c r="U261" s="330" t="n">
        <x:v>0</x:v>
      </x:c>
      <x:c r="V261" s="331" t="str">
        <x:v>load × reps</x:v>
      </x:c>
      <x:c r="W261" s="332" t="str">
        <x:f>'Readiness'!K34</x:f>
      </x:c>
      <x:c r="X261" s="314" t="n">
        <x:f>'Readiness'!L34</x:f>
        <x:v>1</x:v>
      </x:c>
      <x:c r="Y261" s="315" t="n">
        <x:f>IF(J261="Mobility",N261,MAX(1,ROUND(N261*X261,0)))</x:f>
        <x:v>3</x:v>
      </x:c>
      <x:c r="Z261" s="333" t="n">
        <x:f>ROUND((IF(AU228&gt;0,AU228,IF(Z228&gt;0,Z228,'Setup'!$D$60))*T261)/'Setup'!$B$9,0)*'Setup'!$B$9</x:f>
        <x:v>0</x:v>
      </x:c>
      <x:c r="AA261" s="334"/>
      <x:c r="AB261" s="334"/>
      <x:c r="AC261" s="334"/>
      <x:c r="AD261" s="334"/>
      <x:c r="AE261" s="334"/>
      <x:c r="AF261" s="334"/>
      <x:c r="AG261" s="334"/>
      <x:c r="AH261" s="334"/>
      <x:c r="AI261" s="334"/>
      <x:c r="AJ261" s="312"/>
      <x:c r="AK261" s="312"/>
      <x:c r="AL261" s="312"/>
      <x:c r="AM261" s="312"/>
      <x:c r="AN261" s="312"/>
      <x:c r="AO261" s="315" t="n">
        <x:f>COUNT(AB261,AD261,AF261,AH261,AJ261)</x:f>
        <x:v>0</x:v>
      </x:c>
      <x:c r="AP261" s="315" t="n">
        <x:f>SUM(AB261,AD261,AF261,AH261,AJ261)</x:f>
        <x:v>0</x:v>
      </x:c>
      <x:c r="AQ261" s="333" t="n">
        <x:f>AA261*AB261+AC261*AD261+AE261*AF261+AG261*AH261+AI261*AJ261</x:f>
        <x:v>0</x:v>
      </x:c>
      <x:c r="AR261" s="333" t="n">
        <x:f>IF(OR(J261="Strength",J261="Hypertrophy"),MAX(IF(AB261&gt;0,AA261*(1+AB261/30),0),IF(AD261&gt;0,AC261*(1+AD261/30),0),IF(AF261&gt;0,AE261*(1+AF261/30),0),IF(AH261&gt;0,AG261*(1+AH261/30),0),IF(AJ261&gt;0,AI261*(1+AJ261/30),0)),0)</x:f>
        <x:v>0</x:v>
      </x:c>
      <x:c r="AS261" s="315" t="str">
        <x:f>IF(AN261&lt;&gt;"Yes","Not logged",IF(AL261&gt;='Setup'!$B$14,"STOP / MODIFY",IF(Z261=0,"Complete",IF(OR(AO261=0,AK261=""),"Add set data + RIR",IF(AND(MAX(AB261,AD261,AF261,AH261,AJ261)&gt;=P261,AK261&gt;=Q261+1),"Progress",IF(OR(MAX(AB261,AD261,AF261,AH261,AJ261)&lt;O261,AK261&lt;Q261-1),"Regress","Hold"))))))</x:f>
        <x:v>Not logged</x:v>
      </x:c>
      <x:c r="AT261" s="335" t="n">
        <x:f>IF(OR(Z261=0,AN261&lt;&gt;"Yes",AO261=0,AK261=""),0,IF(AL261&gt;='Setup'!$B$14,-2*'Setup'!$B$11,IF(AND(MAX(AB261,AD261,AF261,AH261,AJ261)&gt;=P261,AK261&gt;=Q261+1),'Setup'!$B$10,IF(OR(MAX(AB261,AD261,AF261,AH261,AJ261)&lt;O261,AK261&lt;Q261-1),-'Setup'!$B$11,0))))</x:f>
        <x:v>0</x:v>
      </x:c>
      <x:c r="AU261" s="333" t="n">
        <x:f>IF(Z261=0,0,IF(AN261&lt;&gt;"Yes",Z261,IF(COUNT(AA261,AC261,AE261,AG261,AI261)=0,Z261,ROUND((MAX(AA261,AC261,AE261,AG261,AI261)*(1+AT261))/'Setup'!$B$9,0)*'Setup'!$B$9)))</x:f>
        <x:v>0</x:v>
      </x:c>
      <x:c r="AV261" s="336"/>
    </x:row>
    <x:row r="262">
      <x:c r="A262" s="310" t="n">
        <x:f>'Setup'!$B$3+(C262-1)*7+(D262-1)</x:f>
        <x:v>46275</x:v>
      </x:c>
      <x:c r="B262" s="311" t="str">
        <x:v>5|4|3</x:v>
      </x:c>
      <x:c r="C262" s="311" t="n">
        <x:v>5</x:v>
      </x:c>
      <x:c r="D262" s="311" t="n">
        <x:v>4</x:v>
      </x:c>
      <x:c r="E262" s="311" t="str">
        <x:v>Intensification</x:v>
      </x:c>
      <x:c r="F262" s="311" t="str">
        <x:v>Push Hypertrophy</x:v>
      </x:c>
      <x:c r="G262" s="311" t="str">
        <x:v>Chest, delts, and triceps volume</x:v>
      </x:c>
      <x:c r="H262" s="311" t="n">
        <x:v>3</x:v>
      </x:c>
      <x:c r="I262" s="311" t="str">
        <x:v>Seated Dumbbell Shoulder Press</x:v>
      </x:c>
      <x:c r="J262" s="311" t="str">
        <x:v>Hypertrophy</x:v>
      </x:c>
      <x:c r="K262" s="311" t="str">
        <x:v>Shoulders</x:v>
      </x:c>
      <x:c r="L262" s="311" t="str">
        <x:v>Straight sets</x:v>
      </x:c>
      <x:c r="M262" s="311" t="str"/>
      <x:c r="N262" s="311" t="n">
        <x:v>3</x:v>
      </x:c>
      <x:c r="O262" s="311" t="n">
        <x:v>8</x:v>
      </x:c>
      <x:c r="P262" s="311" t="n">
        <x:v>12</x:v>
      </x:c>
      <x:c r="Q262" s="311" t="n">
        <x:v>3</x:v>
      </x:c>
      <x:c r="R262" s="311" t="n">
        <x:v>90</x:v>
      </x:c>
      <x:c r="S262" s="311" t="str">
        <x:v>2-0-1</x:v>
      </x:c>
      <x:c r="T262" s="330" t="n">
        <x:v>1.11</x:v>
      </x:c>
      <x:c r="U262" s="330" t="n">
        <x:v>0</x:v>
      </x:c>
      <x:c r="V262" s="331" t="str">
        <x:v>load × reps</x:v>
      </x:c>
      <x:c r="W262" s="332" t="str">
        <x:f>'Readiness'!K34</x:f>
      </x:c>
      <x:c r="X262" s="314" t="n">
        <x:f>'Readiness'!L34</x:f>
        <x:v>1</x:v>
      </x:c>
      <x:c r="Y262" s="315" t="n">
        <x:f>IF(J262="Mobility",N262,MAX(1,ROUND(N262*X262,0)))</x:f>
        <x:v>3</x:v>
      </x:c>
      <x:c r="Z262" s="333" t="n">
        <x:f>ROUND((IF(AU200&gt;0,AU200,IF(Z200&gt;0,Z200,'Setup'!$D$83))*T262)/'Setup'!$B$9,0)*'Setup'!$B$9</x:f>
        <x:v>0</x:v>
      </x:c>
      <x:c r="AA262" s="334"/>
      <x:c r="AB262" s="334"/>
      <x:c r="AC262" s="334"/>
      <x:c r="AD262" s="334"/>
      <x:c r="AE262" s="334"/>
      <x:c r="AF262" s="334"/>
      <x:c r="AG262" s="334"/>
      <x:c r="AH262" s="334"/>
      <x:c r="AI262" s="334"/>
      <x:c r="AJ262" s="312"/>
      <x:c r="AK262" s="312"/>
      <x:c r="AL262" s="312"/>
      <x:c r="AM262" s="312"/>
      <x:c r="AN262" s="312"/>
      <x:c r="AO262" s="315" t="n">
        <x:f>COUNT(AB262,AD262,AF262,AH262,AJ262)</x:f>
        <x:v>0</x:v>
      </x:c>
      <x:c r="AP262" s="315" t="n">
        <x:f>SUM(AB262,AD262,AF262,AH262,AJ262)</x:f>
        <x:v>0</x:v>
      </x:c>
      <x:c r="AQ262" s="333" t="n">
        <x:f>AA262*AB262+AC262*AD262+AE262*AF262+AG262*AH262+AI262*AJ262</x:f>
        <x:v>0</x:v>
      </x:c>
      <x:c r="AR262" s="333" t="n">
        <x:f>IF(OR(J262="Strength",J262="Hypertrophy"),MAX(IF(AB262&gt;0,AA262*(1+AB262/30),0),IF(AD262&gt;0,AC262*(1+AD262/30),0),IF(AF262&gt;0,AE262*(1+AF262/30),0),IF(AH262&gt;0,AG262*(1+AH262/30),0),IF(AJ262&gt;0,AI262*(1+AJ262/30),0)),0)</x:f>
        <x:v>0</x:v>
      </x:c>
      <x:c r="AS262" s="315" t="str">
        <x:f>IF(AN262&lt;&gt;"Yes","Not logged",IF(AL262&gt;='Setup'!$B$14,"STOP / MODIFY",IF(Z262=0,"Complete",IF(OR(AO262=0,AK262=""),"Add set data + RIR",IF(AND(MAX(AB262,AD262,AF262,AH262,AJ262)&gt;=P262,AK262&gt;=Q262+1),"Progress",IF(OR(MAX(AB262,AD262,AF262,AH262,AJ262)&lt;O262,AK262&lt;Q262-1),"Regress","Hold"))))))</x:f>
        <x:v>Not logged</x:v>
      </x:c>
      <x:c r="AT262" s="335" t="n">
        <x:f>IF(OR(Z262=0,AN262&lt;&gt;"Yes",AO262=0,AK262=""),0,IF(AL262&gt;='Setup'!$B$14,-2*'Setup'!$B$11,IF(AND(MAX(AB262,AD262,AF262,AH262,AJ262)&gt;=P262,AK262&gt;=Q262+1),'Setup'!$B$10,IF(OR(MAX(AB262,AD262,AF262,AH262,AJ262)&lt;O262,AK262&lt;Q262-1),-'Setup'!$B$11,0))))</x:f>
        <x:v>0</x:v>
      </x:c>
      <x:c r="AU262" s="333" t="n">
        <x:f>IF(Z262=0,0,IF(AN262&lt;&gt;"Yes",Z262,IF(COUNT(AA262,AC262,AE262,AG262,AI262)=0,Z262,ROUND((MAX(AA262,AC262,AE262,AG262,AI262)*(1+AT262))/'Setup'!$B$9,0)*'Setup'!$B$9)))</x:f>
        <x:v>0</x:v>
      </x:c>
      <x:c r="AV262" s="336"/>
    </x:row>
    <x:row r="263">
      <x:c r="A263" s="310" t="n">
        <x:f>'Setup'!$B$3+(C263-1)*7+(D263-1)</x:f>
        <x:v>46275</x:v>
      </x:c>
      <x:c r="B263" s="311" t="str">
        <x:v>5|4|4</x:v>
      </x:c>
      <x:c r="C263" s="311" t="n">
        <x:v>5</x:v>
      </x:c>
      <x:c r="D263" s="311" t="n">
        <x:v>4</x:v>
      </x:c>
      <x:c r="E263" s="311" t="str">
        <x:v>Intensification</x:v>
      </x:c>
      <x:c r="F263" s="311" t="str">
        <x:v>Push Hypertrophy</x:v>
      </x:c>
      <x:c r="G263" s="311" t="str">
        <x:v>Chest, delts, and triceps volume</x:v>
      </x:c>
      <x:c r="H263" s="311" t="n">
        <x:v>4</x:v>
      </x:c>
      <x:c r="I263" s="311" t="str">
        <x:v>Cable Fly</x:v>
      </x:c>
      <x:c r="J263" s="311" t="str">
        <x:v>Hypertrophy</x:v>
      </x:c>
      <x:c r="K263" s="311" t="str">
        <x:v>Chest</x:v>
      </x:c>
      <x:c r="L263" s="311" t="str">
        <x:v>Superset</x:v>
      </x:c>
      <x:c r="M263" s="311" t="str">
        <x:v>A1</x:v>
      </x:c>
      <x:c r="N263" s="311" t="n">
        <x:v>3</x:v>
      </x:c>
      <x:c r="O263" s="311" t="n">
        <x:v>12</x:v>
      </x:c>
      <x:c r="P263" s="311" t="n">
        <x:v>15</x:v>
      </x:c>
      <x:c r="Q263" s="311" t="n">
        <x:v>3</x:v>
      </x:c>
      <x:c r="R263" s="311" t="n">
        <x:v>30</x:v>
      </x:c>
      <x:c r="S263" s="311" t="str">
        <x:v>2-1-2</x:v>
      </x:c>
      <x:c r="T263" s="330" t="n">
        <x:v>1.11</x:v>
      </x:c>
      <x:c r="U263" s="330" t="n">
        <x:v>0</x:v>
      </x:c>
      <x:c r="V263" s="331" t="str">
        <x:v>load × reps</x:v>
      </x:c>
      <x:c r="W263" s="332" t="str">
        <x:f>'Readiness'!K34</x:f>
      </x:c>
      <x:c r="X263" s="314" t="n">
        <x:f>'Readiness'!L34</x:f>
        <x:v>1</x:v>
      </x:c>
      <x:c r="Y263" s="315" t="n">
        <x:f>IF(J263="Mobility",N263,MAX(1,ROUND(N263*X263,0)))</x:f>
        <x:v>3</x:v>
      </x:c>
      <x:c r="Z263" s="333" t="n">
        <x:f>ROUND((IF(AU201&gt;0,AU201,IF(Z201&gt;0,Z201,'Setup'!$D$31))*T263)/'Setup'!$B$9,0)*'Setup'!$B$9</x:f>
        <x:v>0</x:v>
      </x:c>
      <x:c r="AA263" s="334"/>
      <x:c r="AB263" s="334"/>
      <x:c r="AC263" s="334"/>
      <x:c r="AD263" s="334"/>
      <x:c r="AE263" s="334"/>
      <x:c r="AF263" s="334"/>
      <x:c r="AG263" s="334"/>
      <x:c r="AH263" s="334"/>
      <x:c r="AI263" s="334"/>
      <x:c r="AJ263" s="312"/>
      <x:c r="AK263" s="312"/>
      <x:c r="AL263" s="312"/>
      <x:c r="AM263" s="312"/>
      <x:c r="AN263" s="312"/>
      <x:c r="AO263" s="315" t="n">
        <x:f>COUNT(AB263,AD263,AF263,AH263,AJ263)</x:f>
        <x:v>0</x:v>
      </x:c>
      <x:c r="AP263" s="315" t="n">
        <x:f>SUM(AB263,AD263,AF263,AH263,AJ263)</x:f>
        <x:v>0</x:v>
      </x:c>
      <x:c r="AQ263" s="333" t="n">
        <x:f>AA263*AB263+AC263*AD263+AE263*AF263+AG263*AH263+AI263*AJ263</x:f>
        <x:v>0</x:v>
      </x:c>
      <x:c r="AR263" s="333" t="n">
        <x:f>IF(OR(J263="Strength",J263="Hypertrophy"),MAX(IF(AB263&gt;0,AA263*(1+AB263/30),0),IF(AD263&gt;0,AC263*(1+AD263/30),0),IF(AF263&gt;0,AE263*(1+AF263/30),0),IF(AH263&gt;0,AG263*(1+AH263/30),0),IF(AJ263&gt;0,AI263*(1+AJ263/30),0)),0)</x:f>
        <x:v>0</x:v>
      </x:c>
      <x:c r="AS263" s="315" t="str">
        <x:f>IF(AN263&lt;&gt;"Yes","Not logged",IF(AL263&gt;='Setup'!$B$14,"STOP / MODIFY",IF(Z263=0,"Complete",IF(OR(AO263=0,AK263=""),"Add set data + RIR",IF(AND(MAX(AB263,AD263,AF263,AH263,AJ263)&gt;=P263,AK263&gt;=Q263+1),"Progress",IF(OR(MAX(AB263,AD263,AF263,AH263,AJ263)&lt;O263,AK263&lt;Q263-1),"Regress","Hold"))))))</x:f>
        <x:v>Not logged</x:v>
      </x:c>
      <x:c r="AT263" s="335" t="n">
        <x:f>IF(OR(Z263=0,AN263&lt;&gt;"Yes",AO263=0,AK263=""),0,IF(AL263&gt;='Setup'!$B$14,-2*'Setup'!$B$11,IF(AND(MAX(AB263,AD263,AF263,AH263,AJ263)&gt;=P263,AK263&gt;=Q263+1),'Setup'!$B$10,IF(OR(MAX(AB263,AD263,AF263,AH263,AJ263)&lt;O263,AK263&lt;Q263-1),-'Setup'!$B$11,0))))</x:f>
        <x:v>0</x:v>
      </x:c>
      <x:c r="AU263" s="333" t="n">
        <x:f>IF(Z263=0,0,IF(AN263&lt;&gt;"Yes",Z263,IF(COUNT(AA263,AC263,AE263,AG263,AI263)=0,Z263,ROUND((MAX(AA263,AC263,AE263,AG263,AI263)*(1+AT263))/'Setup'!$B$9,0)*'Setup'!$B$9)))</x:f>
        <x:v>0</x:v>
      </x:c>
      <x:c r="AV263" s="336"/>
    </x:row>
    <x:row r="264">
      <x:c r="A264" s="310" t="n">
        <x:f>'Setup'!$B$3+(C264-1)*7+(D264-1)</x:f>
        <x:v>46275</x:v>
      </x:c>
      <x:c r="B264" s="311" t="str">
        <x:v>5|4|5</x:v>
      </x:c>
      <x:c r="C264" s="311" t="n">
        <x:v>5</x:v>
      </x:c>
      <x:c r="D264" s="311" t="n">
        <x:v>4</x:v>
      </x:c>
      <x:c r="E264" s="311" t="str">
        <x:v>Intensification</x:v>
      </x:c>
      <x:c r="F264" s="311" t="str">
        <x:v>Push Hypertrophy</x:v>
      </x:c>
      <x:c r="G264" s="311" t="str">
        <x:v>Chest, delts, and triceps volume</x:v>
      </x:c>
      <x:c r="H264" s="311" t="n">
        <x:v>5</x:v>
      </x:c>
      <x:c r="I264" s="311" t="str">
        <x:v>Cable Lateral Raise</x:v>
      </x:c>
      <x:c r="J264" s="311" t="str">
        <x:v>Hypertrophy</x:v>
      </x:c>
      <x:c r="K264" s="311" t="str">
        <x:v>Shoulders</x:v>
      </x:c>
      <x:c r="L264" s="311" t="str">
        <x:v>Superset</x:v>
      </x:c>
      <x:c r="M264" s="311" t="str">
        <x:v>A2</x:v>
      </x:c>
      <x:c r="N264" s="311" t="n">
        <x:v>4</x:v>
      </x:c>
      <x:c r="O264" s="311" t="n">
        <x:v>12</x:v>
      </x:c>
      <x:c r="P264" s="311" t="n">
        <x:v>20</x:v>
      </x:c>
      <x:c r="Q264" s="311" t="n">
        <x:v>3</x:v>
      </x:c>
      <x:c r="R264" s="311" t="n">
        <x:v>30</x:v>
      </x:c>
      <x:c r="S264" s="311" t="str">
        <x:v>2-1-2</x:v>
      </x:c>
      <x:c r="T264" s="330" t="n">
        <x:v>1.11</x:v>
      </x:c>
      <x:c r="U264" s="330" t="n">
        <x:v>0</x:v>
      </x:c>
      <x:c r="V264" s="331" t="str">
        <x:v>load × reps</x:v>
      </x:c>
      <x:c r="W264" s="332" t="str">
        <x:f>'Readiness'!K34</x:f>
      </x:c>
      <x:c r="X264" s="314" t="n">
        <x:f>'Readiness'!L34</x:f>
        <x:v>1</x:v>
      </x:c>
      <x:c r="Y264" s="315" t="n">
        <x:f>IF(J264="Mobility",N264,MAX(1,ROUND(N264*X264,0)))</x:f>
        <x:v>4</x:v>
      </x:c>
      <x:c r="Z264" s="333" t="n">
        <x:f>ROUND((IF(AU202&gt;0,AU202,IF(Z202&gt;0,Z202,'Setup'!$D$33))*T264)/'Setup'!$B$9,0)*'Setup'!$B$9</x:f>
        <x:v>0</x:v>
      </x:c>
      <x:c r="AA264" s="334"/>
      <x:c r="AB264" s="334"/>
      <x:c r="AC264" s="334"/>
      <x:c r="AD264" s="334"/>
      <x:c r="AE264" s="334"/>
      <x:c r="AF264" s="334"/>
      <x:c r="AG264" s="334"/>
      <x:c r="AH264" s="334"/>
      <x:c r="AI264" s="334"/>
      <x:c r="AJ264" s="312"/>
      <x:c r="AK264" s="312"/>
      <x:c r="AL264" s="312"/>
      <x:c r="AM264" s="312"/>
      <x:c r="AN264" s="312"/>
      <x:c r="AO264" s="315" t="n">
        <x:f>COUNT(AB264,AD264,AF264,AH264,AJ264)</x:f>
        <x:v>0</x:v>
      </x:c>
      <x:c r="AP264" s="315" t="n">
        <x:f>SUM(AB264,AD264,AF264,AH264,AJ264)</x:f>
        <x:v>0</x:v>
      </x:c>
      <x:c r="AQ264" s="333" t="n">
        <x:f>AA264*AB264+AC264*AD264+AE264*AF264+AG264*AH264+AI264*AJ264</x:f>
        <x:v>0</x:v>
      </x:c>
      <x:c r="AR264" s="333" t="n">
        <x:f>IF(OR(J264="Strength",J264="Hypertrophy"),MAX(IF(AB264&gt;0,AA264*(1+AB264/30),0),IF(AD264&gt;0,AC264*(1+AD264/30),0),IF(AF264&gt;0,AE264*(1+AF264/30),0),IF(AH264&gt;0,AG264*(1+AH264/30),0),IF(AJ264&gt;0,AI264*(1+AJ264/30),0)),0)</x:f>
        <x:v>0</x:v>
      </x:c>
      <x:c r="AS264" s="315" t="str">
        <x:f>IF(AN264&lt;&gt;"Yes","Not logged",IF(AL264&gt;='Setup'!$B$14,"STOP / MODIFY",IF(Z264=0,"Complete",IF(OR(AO264=0,AK264=""),"Add set data + RIR",IF(AND(MAX(AB264,AD264,AF264,AH264,AJ264)&gt;=P264,AK264&gt;=Q264+1),"Progress",IF(OR(MAX(AB264,AD264,AF264,AH264,AJ264)&lt;O264,AK264&lt;Q264-1),"Regress","Hold"))))))</x:f>
        <x:v>Not logged</x:v>
      </x:c>
      <x:c r="AT264" s="335" t="n">
        <x:f>IF(OR(Z264=0,AN264&lt;&gt;"Yes",AO264=0,AK264=""),0,IF(AL264&gt;='Setup'!$B$14,-2*'Setup'!$B$11,IF(AND(MAX(AB264,AD264,AF264,AH264,AJ264)&gt;=P264,AK264&gt;=Q264+1),'Setup'!$B$10,IF(OR(MAX(AB264,AD264,AF264,AH264,AJ264)&lt;O264,AK264&lt;Q264-1),-'Setup'!$B$11,0))))</x:f>
        <x:v>0</x:v>
      </x:c>
      <x:c r="AU264" s="333" t="n">
        <x:f>IF(Z264=0,0,IF(AN264&lt;&gt;"Yes",Z264,IF(COUNT(AA264,AC264,AE264,AG264,AI264)=0,Z264,ROUND((MAX(AA264,AC264,AE264,AG264,AI264)*(1+AT264))/'Setup'!$B$9,0)*'Setup'!$B$9)))</x:f>
        <x:v>0</x:v>
      </x:c>
      <x:c r="AV264" s="336"/>
    </x:row>
    <x:row r="265">
      <x:c r="A265" s="310" t="n">
        <x:f>'Setup'!$B$3+(C265-1)*7+(D265-1)</x:f>
        <x:v>46275</x:v>
      </x:c>
      <x:c r="B265" s="311" t="str">
        <x:v>5|4|6</x:v>
      </x:c>
      <x:c r="C265" s="311" t="n">
        <x:v>5</x:v>
      </x:c>
      <x:c r="D265" s="311" t="n">
        <x:v>4</x:v>
      </x:c>
      <x:c r="E265" s="311" t="str">
        <x:v>Intensification</x:v>
      </x:c>
      <x:c r="F265" s="311" t="str">
        <x:v>Push Hypertrophy</x:v>
      </x:c>
      <x:c r="G265" s="311" t="str">
        <x:v>Chest, delts, and triceps volume</x:v>
      </x:c>
      <x:c r="H265" s="311" t="n">
        <x:v>6</x:v>
      </x:c>
      <x:c r="I265" s="311" t="str">
        <x:v>Overhead Cable Triceps Extension</x:v>
      </x:c>
      <x:c r="J265" s="311" t="str">
        <x:v>Hypertrophy</x:v>
      </x:c>
      <x:c r="K265" s="311" t="str">
        <x:v>Triceps</x:v>
      </x:c>
      <x:c r="L265" s="311" t="str">
        <x:v>Superset</x:v>
      </x:c>
      <x:c r="M265" s="311" t="str">
        <x:v>B1</x:v>
      </x:c>
      <x:c r="N265" s="311" t="n">
        <x:v>3</x:v>
      </x:c>
      <x:c r="O265" s="311" t="n">
        <x:v>10</x:v>
      </x:c>
      <x:c r="P265" s="311" t="n">
        <x:v>15</x:v>
      </x:c>
      <x:c r="Q265" s="311" t="n">
        <x:v>3</x:v>
      </x:c>
      <x:c r="R265" s="311" t="n">
        <x:v>30</x:v>
      </x:c>
      <x:c r="S265" s="311" t="str">
        <x:v>3-0-1</x:v>
      </x:c>
      <x:c r="T265" s="330" t="n">
        <x:v>1.11</x:v>
      </x:c>
      <x:c r="U265" s="330" t="n">
        <x:v>0</x:v>
      </x:c>
      <x:c r="V265" s="331" t="str">
        <x:v>load × reps</x:v>
      </x:c>
      <x:c r="W265" s="332" t="str">
        <x:f>'Readiness'!K34</x:f>
      </x:c>
      <x:c r="X265" s="314" t="n">
        <x:f>'Readiness'!L34</x:f>
        <x:v>1</x:v>
      </x:c>
      <x:c r="Y265" s="315" t="n">
        <x:f>IF(J265="Mobility",N265,MAX(1,ROUND(N265*X265,0)))</x:f>
        <x:v>3</x:v>
      </x:c>
      <x:c r="Z265" s="333" t="n">
        <x:f>ROUND((IF(AU231&gt;0,AU231,IF(Z231&gt;0,Z231,'Setup'!$D$69))*T265)/'Setup'!$B$9,0)*'Setup'!$B$9</x:f>
        <x:v>0</x:v>
      </x:c>
      <x:c r="AA265" s="334"/>
      <x:c r="AB265" s="334"/>
      <x:c r="AC265" s="334"/>
      <x:c r="AD265" s="334"/>
      <x:c r="AE265" s="334"/>
      <x:c r="AF265" s="334"/>
      <x:c r="AG265" s="334"/>
      <x:c r="AH265" s="334"/>
      <x:c r="AI265" s="334"/>
      <x:c r="AJ265" s="312"/>
      <x:c r="AK265" s="312"/>
      <x:c r="AL265" s="312"/>
      <x:c r="AM265" s="312"/>
      <x:c r="AN265" s="312"/>
      <x:c r="AO265" s="315" t="n">
        <x:f>COUNT(AB265,AD265,AF265,AH265,AJ265)</x:f>
        <x:v>0</x:v>
      </x:c>
      <x:c r="AP265" s="315" t="n">
        <x:f>SUM(AB265,AD265,AF265,AH265,AJ265)</x:f>
        <x:v>0</x:v>
      </x:c>
      <x:c r="AQ265" s="333" t="n">
        <x:f>AA265*AB265+AC265*AD265+AE265*AF265+AG265*AH265+AI265*AJ265</x:f>
        <x:v>0</x:v>
      </x:c>
      <x:c r="AR265" s="333" t="n">
        <x:f>IF(OR(J265="Strength",J265="Hypertrophy"),MAX(IF(AB265&gt;0,AA265*(1+AB265/30),0),IF(AD265&gt;0,AC265*(1+AD265/30),0),IF(AF265&gt;0,AE265*(1+AF265/30),0),IF(AH265&gt;0,AG265*(1+AH265/30),0),IF(AJ265&gt;0,AI265*(1+AJ265/30),0)),0)</x:f>
        <x:v>0</x:v>
      </x:c>
      <x:c r="AS265" s="315" t="str">
        <x:f>IF(AN265&lt;&gt;"Yes","Not logged",IF(AL265&gt;='Setup'!$B$14,"STOP / MODIFY",IF(Z265=0,"Complete",IF(OR(AO265=0,AK265=""),"Add set data + RIR",IF(AND(MAX(AB265,AD265,AF265,AH265,AJ265)&gt;=P265,AK265&gt;=Q265+1),"Progress",IF(OR(MAX(AB265,AD265,AF265,AH265,AJ265)&lt;O265,AK265&lt;Q265-1),"Regress","Hold"))))))</x:f>
        <x:v>Not logged</x:v>
      </x:c>
      <x:c r="AT265" s="335" t="n">
        <x:f>IF(OR(Z265=0,AN265&lt;&gt;"Yes",AO265=0,AK265=""),0,IF(AL265&gt;='Setup'!$B$14,-2*'Setup'!$B$11,IF(AND(MAX(AB265,AD265,AF265,AH265,AJ265)&gt;=P265,AK265&gt;=Q265+1),'Setup'!$B$10,IF(OR(MAX(AB265,AD265,AF265,AH265,AJ265)&lt;O265,AK265&lt;Q265-1),-'Setup'!$B$11,0))))</x:f>
        <x:v>0</x:v>
      </x:c>
      <x:c r="AU265" s="333" t="n">
        <x:f>IF(Z265=0,0,IF(AN265&lt;&gt;"Yes",Z265,IF(COUNT(AA265,AC265,AE265,AG265,AI265)=0,Z265,ROUND((MAX(AA265,AC265,AE265,AG265,AI265)*(1+AT265))/'Setup'!$B$9,0)*'Setup'!$B$9)))</x:f>
        <x:v>0</x:v>
      </x:c>
      <x:c r="AV265" s="336"/>
    </x:row>
    <x:row r="266">
      <x:c r="A266" s="310" t="n">
        <x:f>'Setup'!$B$3+(C266-1)*7+(D266-1)</x:f>
        <x:v>46275</x:v>
      </x:c>
      <x:c r="B266" s="311" t="str">
        <x:v>5|4|7</x:v>
      </x:c>
      <x:c r="C266" s="311" t="n">
        <x:v>5</x:v>
      </x:c>
      <x:c r="D266" s="311" t="n">
        <x:v>4</x:v>
      </x:c>
      <x:c r="E266" s="311" t="str">
        <x:v>Intensification</x:v>
      </x:c>
      <x:c r="F266" s="311" t="str">
        <x:v>Push Hypertrophy</x:v>
      </x:c>
      <x:c r="G266" s="311" t="str">
        <x:v>Chest, delts, and triceps volume</x:v>
      </x:c>
      <x:c r="H266" s="311" t="n">
        <x:v>7</x:v>
      </x:c>
      <x:c r="I266" s="311" t="str">
        <x:v>Triceps Pressdown</x:v>
      </x:c>
      <x:c r="J266" s="311" t="str">
        <x:v>Hypertrophy</x:v>
      </x:c>
      <x:c r="K266" s="311" t="str">
        <x:v>Triceps</x:v>
      </x:c>
      <x:c r="L266" s="311" t="str">
        <x:v>Straight sets</x:v>
      </x:c>
      <x:c r="M266" s="311" t="str">
        <x:v>B2</x:v>
      </x:c>
      <x:c r="N266" s="311" t="n">
        <x:v>3</x:v>
      </x:c>
      <x:c r="O266" s="311" t="n">
        <x:v>12</x:v>
      </x:c>
      <x:c r="P266" s="311" t="n">
        <x:v>15</x:v>
      </x:c>
      <x:c r="Q266" s="311" t="n">
        <x:v>3</x:v>
      </x:c>
      <x:c r="R266" s="311" t="n">
        <x:v>45</x:v>
      </x:c>
      <x:c r="S266" s="311" t="str">
        <x:v>2-1-1</x:v>
      </x:c>
      <x:c r="T266" s="330" t="n">
        <x:v>1.11</x:v>
      </x:c>
      <x:c r="U266" s="330" t="n">
        <x:v>0</x:v>
      </x:c>
      <x:c r="V266" s="331" t="str">
        <x:v>load × reps</x:v>
      </x:c>
      <x:c r="W266" s="332" t="str">
        <x:f>'Readiness'!K34</x:f>
      </x:c>
      <x:c r="X266" s="314" t="n">
        <x:f>'Readiness'!L34</x:f>
        <x:v>1</x:v>
      </x:c>
      <x:c r="Y266" s="315" t="n">
        <x:f>IF(J266="Mobility",N266,MAX(1,ROUND(N266*X266,0)))</x:f>
        <x:v>3</x:v>
      </x:c>
      <x:c r="Z266" s="333" t="n">
        <x:f>ROUND((IF(AU203&gt;0,AU203,IF(Z203&gt;0,Z203,'Setup'!$D$92))*T266)/'Setup'!$B$9,0)*'Setup'!$B$9</x:f>
        <x:v>0</x:v>
      </x:c>
      <x:c r="AA266" s="334"/>
      <x:c r="AB266" s="334"/>
      <x:c r="AC266" s="334"/>
      <x:c r="AD266" s="334"/>
      <x:c r="AE266" s="334"/>
      <x:c r="AF266" s="334"/>
      <x:c r="AG266" s="334"/>
      <x:c r="AH266" s="334"/>
      <x:c r="AI266" s="334"/>
      <x:c r="AJ266" s="312"/>
      <x:c r="AK266" s="312"/>
      <x:c r="AL266" s="312"/>
      <x:c r="AM266" s="312"/>
      <x:c r="AN266" s="312"/>
      <x:c r="AO266" s="315" t="n">
        <x:f>COUNT(AB266,AD266,AF266,AH266,AJ266)</x:f>
        <x:v>0</x:v>
      </x:c>
      <x:c r="AP266" s="315" t="n">
        <x:f>SUM(AB266,AD266,AF266,AH266,AJ266)</x:f>
        <x:v>0</x:v>
      </x:c>
      <x:c r="AQ266" s="333" t="n">
        <x:f>AA266*AB266+AC266*AD266+AE266*AF266+AG266*AH266+AI266*AJ266</x:f>
        <x:v>0</x:v>
      </x:c>
      <x:c r="AR266" s="333" t="n">
        <x:f>IF(OR(J266="Strength",J266="Hypertrophy"),MAX(IF(AB266&gt;0,AA266*(1+AB266/30),0),IF(AD266&gt;0,AC266*(1+AD266/30),0),IF(AF266&gt;0,AE266*(1+AF266/30),0),IF(AH266&gt;0,AG266*(1+AH266/30),0),IF(AJ266&gt;0,AI266*(1+AJ266/30),0)),0)</x:f>
        <x:v>0</x:v>
      </x:c>
      <x:c r="AS266" s="315" t="str">
        <x:f>IF(AN266&lt;&gt;"Yes","Not logged",IF(AL266&gt;='Setup'!$B$14,"STOP / MODIFY",IF(Z266=0,"Complete",IF(OR(AO266=0,AK266=""),"Add set data + RIR",IF(AND(MAX(AB266,AD266,AF266,AH266,AJ266)&gt;=P266,AK266&gt;=Q266+1),"Progress",IF(OR(MAX(AB266,AD266,AF266,AH266,AJ266)&lt;O266,AK266&lt;Q266-1),"Regress","Hold"))))))</x:f>
        <x:v>Not logged</x:v>
      </x:c>
      <x:c r="AT266" s="335" t="n">
        <x:f>IF(OR(Z266=0,AN266&lt;&gt;"Yes",AO266=0,AK266=""),0,IF(AL266&gt;='Setup'!$B$14,-2*'Setup'!$B$11,IF(AND(MAX(AB266,AD266,AF266,AH266,AJ266)&gt;=P266,AK266&gt;=Q266+1),'Setup'!$B$10,IF(OR(MAX(AB266,AD266,AF266,AH266,AJ266)&lt;O266,AK266&lt;Q266-1),-'Setup'!$B$11,0))))</x:f>
        <x:v>0</x:v>
      </x:c>
      <x:c r="AU266" s="333" t="n">
        <x:f>IF(Z266=0,0,IF(AN266&lt;&gt;"Yes",Z266,IF(COUNT(AA266,AC266,AE266,AG266,AI266)=0,Z266,ROUND((MAX(AA266,AC266,AE266,AG266,AI266)*(1+AT266))/'Setup'!$B$9,0)*'Setup'!$B$9)))</x:f>
        <x:v>0</x:v>
      </x:c>
      <x:c r="AV266" s="336"/>
    </x:row>
    <x:row r="267">
      <x:c r="A267" s="310" t="n">
        <x:f>'Setup'!$B$3+(C267-1)*7+(D267-1)</x:f>
        <x:v>46275</x:v>
      </x:c>
      <x:c r="B267" s="311" t="str">
        <x:v>5|4|8</x:v>
      </x:c>
      <x:c r="C267" s="311" t="n">
        <x:v>5</x:v>
      </x:c>
      <x:c r="D267" s="311" t="n">
        <x:v>4</x:v>
      </x:c>
      <x:c r="E267" s="311" t="str">
        <x:v>Intensification</x:v>
      </x:c>
      <x:c r="F267" s="311" t="str">
        <x:v>Push Hypertrophy</x:v>
      </x:c>
      <x:c r="G267" s="311" t="str">
        <x:v>Chest, delts, and triceps volume</x:v>
      </x:c>
      <x:c r="H267" s="311" t="n">
        <x:v>8</x:v>
      </x:c>
      <x:c r="I267" s="311" t="str">
        <x:v>Doorway Pec Stretch</x:v>
      </x:c>
      <x:c r="J267" s="311" t="str">
        <x:v>Mobility</x:v>
      </x:c>
      <x:c r="K267" s="311" t="str">
        <x:v>Chest</x:v>
      </x:c>
      <x:c r="L267" s="311" t="str">
        <x:v>Relaxed breathing</x:v>
      </x:c>
      <x:c r="M267" s="311" t="str"/>
      <x:c r="N267" s="311" t="n">
        <x:v>2</x:v>
      </x:c>
      <x:c r="O267" s="311" t="n">
        <x:v>30</x:v>
      </x:c>
      <x:c r="P267" s="311" t="n">
        <x:v>45</x:v>
      </x:c>
      <x:c r="Q267" s="311" t="str"/>
      <x:c r="R267" s="311" t="n">
        <x:v>20</x:v>
      </x:c>
      <x:c r="S267" s="311" t="str">
        <x:v>Hold</x:v>
      </x:c>
      <x:c r="T267" s="330" t="n">
        <x:v>1.11</x:v>
      </x:c>
      <x:c r="U267" s="330" t="n">
        <x:v>0</x:v>
      </x:c>
      <x:c r="V267" s="331" t="str">
        <x:v>seconds</x:v>
      </x:c>
      <x:c r="W267" s="332" t="str">
        <x:f>'Readiness'!K34</x:f>
      </x:c>
      <x:c r="X267" s="314" t="n">
        <x:f>'Readiness'!L34</x:f>
        <x:v>1</x:v>
      </x:c>
      <x:c r="Y267" s="315" t="n">
        <x:f>IF(J267="Mobility",N267,MAX(1,ROUND(N267*X267,0)))</x:f>
        <x:v>2</x:v>
      </x:c>
      <x:c r="Z267" s="333" t="n">
        <x:f>0</x:f>
        <x:v>0</x:v>
      </x:c>
      <x:c r="AA267" s="334"/>
      <x:c r="AB267" s="334"/>
      <x:c r="AC267" s="334"/>
      <x:c r="AD267" s="334"/>
      <x:c r="AE267" s="334"/>
      <x:c r="AF267" s="334"/>
      <x:c r="AG267" s="334"/>
      <x:c r="AH267" s="334"/>
      <x:c r="AI267" s="334"/>
      <x:c r="AJ267" s="312"/>
      <x:c r="AK267" s="312"/>
      <x:c r="AL267" s="312"/>
      <x:c r="AM267" s="312"/>
      <x:c r="AN267" s="312"/>
      <x:c r="AO267" s="315" t="n">
        <x:f>COUNT(AB267,AD267,AF267,AH267,AJ267)</x:f>
        <x:v>0</x:v>
      </x:c>
      <x:c r="AP267" s="315" t="n">
        <x:f>SUM(AB267,AD267,AF267,AH267,AJ267)</x:f>
        <x:v>0</x:v>
      </x:c>
      <x:c r="AQ267" s="333" t="n">
        <x:f>AA267*AB267+AC267*AD267+AE267*AF267+AG267*AH267+AI267*AJ267</x:f>
        <x:v>0</x:v>
      </x:c>
      <x:c r="AR267" s="333" t="n">
        <x:f>IF(OR(J267="Strength",J267="Hypertrophy"),MAX(IF(AB267&gt;0,AA267*(1+AB267/30),0),IF(AD267&gt;0,AC267*(1+AD267/30),0),IF(AF267&gt;0,AE267*(1+AF267/30),0),IF(AH267&gt;0,AG267*(1+AH267/30),0),IF(AJ267&gt;0,AI267*(1+AJ267/30),0)),0)</x:f>
        <x:v>0</x:v>
      </x:c>
      <x:c r="AS267" s="315" t="str">
        <x:f>IF(AN267&lt;&gt;"Yes","Not logged",IF(AL267&gt;='Setup'!$B$14,"STOP / MODIFY",IF(Z267=0,"Complete",IF(OR(AO267=0,AK267=""),"Add set data + RIR",IF(AND(MAX(AB267,AD267,AF267,AH267,AJ267)&gt;=P267,AK267&gt;=Q267+1),"Progress",IF(OR(MAX(AB267,AD267,AF267,AH267,AJ267)&lt;O267,AK267&lt;Q267-1),"Regress","Hold"))))))</x:f>
        <x:v>Not logged</x:v>
      </x:c>
      <x:c r="AT267" s="335" t="n">
        <x:f>IF(OR(Z267=0,AN267&lt;&gt;"Yes",AO267=0,AK267=""),0,IF(AL267&gt;='Setup'!$B$14,-2*'Setup'!$B$11,IF(AND(MAX(AB267,AD267,AF267,AH267,AJ267)&gt;=P267,AK267&gt;=Q267+1),'Setup'!$B$10,IF(OR(MAX(AB267,AD267,AF267,AH267,AJ267)&lt;O267,AK267&lt;Q267-1),-'Setup'!$B$11,0))))</x:f>
        <x:v>0</x:v>
      </x:c>
      <x:c r="AU267" s="333" t="n">
        <x:f>IF(Z267=0,0,IF(AN267&lt;&gt;"Yes",Z267,IF(COUNT(AA267,AC267,AE267,AG267,AI267)=0,Z267,ROUND((MAX(AA267,AC267,AE267,AG267,AI267)*(1+AT267))/'Setup'!$B$9,0)*'Setup'!$B$9)))</x:f>
        <x:v>0</x:v>
      </x:c>
      <x:c r="AV267" s="336"/>
    </x:row>
    <x:row r="268">
      <x:c r="A268" s="310" t="n">
        <x:f>'Setup'!$B$3+(C268-1)*7+(D268-1)</x:f>
        <x:v>46276</x:v>
      </x:c>
      <x:c r="B268" s="311" t="str">
        <x:v>5|5|1</x:v>
      </x:c>
      <x:c r="C268" s="311" t="n">
        <x:v>5</x:v>
      </x:c>
      <x:c r="D268" s="311" t="n">
        <x:v>5</x:v>
      </x:c>
      <x:c r="E268" s="311" t="str">
        <x:v>Intensification</x:v>
      </x:c>
      <x:c r="F268" s="311" t="str">
        <x:v>Pull Hypertrophy</x:v>
      </x:c>
      <x:c r="G268" s="311" t="str">
        <x:v>Back, rear delts, and biceps volume</x:v>
      </x:c>
      <x:c r="H268" s="311" t="n">
        <x:v>1</x:v>
      </x:c>
      <x:c r="I268" s="311" t="str">
        <x:v>Lat Pulldown</x:v>
      </x:c>
      <x:c r="J268" s="311" t="str">
        <x:v>Hypertrophy</x:v>
      </x:c>
      <x:c r="K268" s="311" t="str">
        <x:v>Back</x:v>
      </x:c>
      <x:c r="L268" s="311" t="str">
        <x:v>Straight sets</x:v>
      </x:c>
      <x:c r="M268" s="311" t="str"/>
      <x:c r="N268" s="311" t="n">
        <x:v>4</x:v>
      </x:c>
      <x:c r="O268" s="311" t="n">
        <x:v>8</x:v>
      </x:c>
      <x:c r="P268" s="311" t="n">
        <x:v>12</x:v>
      </x:c>
      <x:c r="Q268" s="311" t="n">
        <x:v>3</x:v>
      </x:c>
      <x:c r="R268" s="311" t="n">
        <x:v>90</x:v>
      </x:c>
      <x:c r="S268" s="311" t="str">
        <x:v>2-1-1</x:v>
      </x:c>
      <x:c r="T268" s="330" t="n">
        <x:v>1.11</x:v>
      </x:c>
      <x:c r="U268" s="330" t="n">
        <x:v>0</x:v>
      </x:c>
      <x:c r="V268" s="331" t="str">
        <x:v>load × reps</x:v>
      </x:c>
      <x:c r="W268" s="332" t="str">
        <x:f>'Readiness'!K35</x:f>
      </x:c>
      <x:c r="X268" s="314" t="n">
        <x:f>'Readiness'!L35</x:f>
        <x:v>1</x:v>
      </x:c>
      <x:c r="Y268" s="315" t="n">
        <x:f>IF(J268="Mobility",N268,MAX(1,ROUND(N268*X268,0)))</x:f>
        <x:v>4</x:v>
      </x:c>
      <x:c r="Z268" s="333" t="n">
        <x:f>ROUND((IF(AU192&gt;0,AU192,IF(Z192&gt;0,Z192,'Setup'!$D$55))*T268)/'Setup'!$B$9,0)*'Setup'!$B$9</x:f>
        <x:v>0</x:v>
      </x:c>
      <x:c r="AA268" s="334"/>
      <x:c r="AB268" s="334"/>
      <x:c r="AC268" s="334"/>
      <x:c r="AD268" s="334"/>
      <x:c r="AE268" s="334"/>
      <x:c r="AF268" s="334"/>
      <x:c r="AG268" s="334"/>
      <x:c r="AH268" s="334"/>
      <x:c r="AI268" s="334"/>
      <x:c r="AJ268" s="312"/>
      <x:c r="AK268" s="312"/>
      <x:c r="AL268" s="312"/>
      <x:c r="AM268" s="312"/>
      <x:c r="AN268" s="312"/>
      <x:c r="AO268" s="315" t="n">
        <x:f>COUNT(AB268,AD268,AF268,AH268,AJ268)</x:f>
        <x:v>0</x:v>
      </x:c>
      <x:c r="AP268" s="315" t="n">
        <x:f>SUM(AB268,AD268,AF268,AH268,AJ268)</x:f>
        <x:v>0</x:v>
      </x:c>
      <x:c r="AQ268" s="333" t="n">
        <x:f>AA268*AB268+AC268*AD268+AE268*AF268+AG268*AH268+AI268*AJ268</x:f>
        <x:v>0</x:v>
      </x:c>
      <x:c r="AR268" s="333" t="n">
        <x:f>IF(OR(J268="Strength",J268="Hypertrophy"),MAX(IF(AB268&gt;0,AA268*(1+AB268/30),0),IF(AD268&gt;0,AC268*(1+AD268/30),0),IF(AF268&gt;0,AE268*(1+AF268/30),0),IF(AH268&gt;0,AG268*(1+AH268/30),0),IF(AJ268&gt;0,AI268*(1+AJ268/30),0)),0)</x:f>
        <x:v>0</x:v>
      </x:c>
      <x:c r="AS268" s="315" t="str">
        <x:f>IF(AN268&lt;&gt;"Yes","Not logged",IF(AL268&gt;='Setup'!$B$14,"STOP / MODIFY",IF(Z268=0,"Complete",IF(OR(AO268=0,AK268=""),"Add set data + RIR",IF(AND(MAX(AB268,AD268,AF268,AH268,AJ268)&gt;=P268,AK268&gt;=Q268+1),"Progress",IF(OR(MAX(AB268,AD268,AF268,AH268,AJ268)&lt;O268,AK268&lt;Q268-1),"Regress","Hold"))))))</x:f>
        <x:v>Not logged</x:v>
      </x:c>
      <x:c r="AT268" s="335" t="n">
        <x:f>IF(OR(Z268=0,AN268&lt;&gt;"Yes",AO268=0,AK268=""),0,IF(AL268&gt;='Setup'!$B$14,-2*'Setup'!$B$11,IF(AND(MAX(AB268,AD268,AF268,AH268,AJ268)&gt;=P268,AK268&gt;=Q268+1),'Setup'!$B$10,IF(OR(MAX(AB268,AD268,AF268,AH268,AJ268)&lt;O268,AK268&lt;Q268-1),-'Setup'!$B$11,0))))</x:f>
        <x:v>0</x:v>
      </x:c>
      <x:c r="AU268" s="333" t="n">
        <x:f>IF(Z268=0,0,IF(AN268&lt;&gt;"Yes",Z268,IF(COUNT(AA268,AC268,AE268,AG268,AI268)=0,Z268,ROUND((MAX(AA268,AC268,AE268,AG268,AI268)*(1+AT268))/'Setup'!$B$9,0)*'Setup'!$B$9)))</x:f>
        <x:v>0</x:v>
      </x:c>
      <x:c r="AV268" s="336"/>
    </x:row>
    <x:row r="269">
      <x:c r="A269" s="310" t="n">
        <x:f>'Setup'!$B$3+(C269-1)*7+(D269-1)</x:f>
        <x:v>46276</x:v>
      </x:c>
      <x:c r="B269" s="311" t="str">
        <x:v>5|5|2</x:v>
      </x:c>
      <x:c r="C269" s="311" t="n">
        <x:v>5</x:v>
      </x:c>
      <x:c r="D269" s="311" t="n">
        <x:v>5</x:v>
      </x:c>
      <x:c r="E269" s="311" t="str">
        <x:v>Intensification</x:v>
      </x:c>
      <x:c r="F269" s="311" t="str">
        <x:v>Pull Hypertrophy</x:v>
      </x:c>
      <x:c r="G269" s="311" t="str">
        <x:v>Back, rear delts, and biceps volume</x:v>
      </x:c>
      <x:c r="H269" s="311" t="n">
        <x:v>2</x:v>
      </x:c>
      <x:c r="I269" s="311" t="str">
        <x:v>Chest-Supported Dumbbell Row</x:v>
      </x:c>
      <x:c r="J269" s="311" t="str">
        <x:v>Hypertrophy</x:v>
      </x:c>
      <x:c r="K269" s="311" t="str">
        <x:v>Back</x:v>
      </x:c>
      <x:c r="L269" s="311" t="str">
        <x:v>Straight sets</x:v>
      </x:c>
      <x:c r="M269" s="311" t="str"/>
      <x:c r="N269" s="311" t="n">
        <x:v>4</x:v>
      </x:c>
      <x:c r="O269" s="311" t="n">
        <x:v>8</x:v>
      </x:c>
      <x:c r="P269" s="311" t="n">
        <x:v>12</x:v>
      </x:c>
      <x:c r="Q269" s="311" t="n">
        <x:v>3</x:v>
      </x:c>
      <x:c r="R269" s="311" t="n">
        <x:v>90</x:v>
      </x:c>
      <x:c r="S269" s="311" t="str">
        <x:v>2-1-1</x:v>
      </x:c>
      <x:c r="T269" s="330" t="n">
        <x:v>1.11</x:v>
      </x:c>
      <x:c r="U269" s="330" t="n">
        <x:v>0</x:v>
      </x:c>
      <x:c r="V269" s="331" t="str">
        <x:v>load × reps</x:v>
      </x:c>
      <x:c r="W269" s="332" t="str">
        <x:f>'Readiness'!K35</x:f>
      </x:c>
      <x:c r="X269" s="314" t="n">
        <x:f>'Readiness'!L35</x:f>
        <x:v>1</x:v>
      </x:c>
      <x:c r="Y269" s="315" t="n">
        <x:f>IF(J269="Mobility",N269,MAX(1,ROUND(N269*X269,0)))</x:f>
        <x:v>4</x:v>
      </x:c>
      <x:c r="Z269" s="333" t="n">
        <x:f>ROUND((IF(AU249&gt;0,AU249,IF(Z249&gt;0,Z249,'Setup'!$D$34))*T269)/'Setup'!$B$9,0)*'Setup'!$B$9</x:f>
        <x:v>0</x:v>
      </x:c>
      <x:c r="AA269" s="334"/>
      <x:c r="AB269" s="334"/>
      <x:c r="AC269" s="334"/>
      <x:c r="AD269" s="334"/>
      <x:c r="AE269" s="334"/>
      <x:c r="AF269" s="334"/>
      <x:c r="AG269" s="334"/>
      <x:c r="AH269" s="334"/>
      <x:c r="AI269" s="334"/>
      <x:c r="AJ269" s="312"/>
      <x:c r="AK269" s="312"/>
      <x:c r="AL269" s="312"/>
      <x:c r="AM269" s="312"/>
      <x:c r="AN269" s="312"/>
      <x:c r="AO269" s="315" t="n">
        <x:f>COUNT(AB269,AD269,AF269,AH269,AJ269)</x:f>
        <x:v>0</x:v>
      </x:c>
      <x:c r="AP269" s="315" t="n">
        <x:f>SUM(AB269,AD269,AF269,AH269,AJ269)</x:f>
        <x:v>0</x:v>
      </x:c>
      <x:c r="AQ269" s="333" t="n">
        <x:f>AA269*AB269+AC269*AD269+AE269*AF269+AG269*AH269+AI269*AJ269</x:f>
        <x:v>0</x:v>
      </x:c>
      <x:c r="AR269" s="333" t="n">
        <x:f>IF(OR(J269="Strength",J269="Hypertrophy"),MAX(IF(AB269&gt;0,AA269*(1+AB269/30),0),IF(AD269&gt;0,AC269*(1+AD269/30),0),IF(AF269&gt;0,AE269*(1+AF269/30),0),IF(AH269&gt;0,AG269*(1+AH269/30),0),IF(AJ269&gt;0,AI269*(1+AJ269/30),0)),0)</x:f>
        <x:v>0</x:v>
      </x:c>
      <x:c r="AS269" s="315" t="str">
        <x:f>IF(AN269&lt;&gt;"Yes","Not logged",IF(AL269&gt;='Setup'!$B$14,"STOP / MODIFY",IF(Z269=0,"Complete",IF(OR(AO269=0,AK269=""),"Add set data + RIR",IF(AND(MAX(AB269,AD269,AF269,AH269,AJ269)&gt;=P269,AK269&gt;=Q269+1),"Progress",IF(OR(MAX(AB269,AD269,AF269,AH269,AJ269)&lt;O269,AK269&lt;Q269-1),"Regress","Hold"))))))</x:f>
        <x:v>Not logged</x:v>
      </x:c>
      <x:c r="AT269" s="335" t="n">
        <x:f>IF(OR(Z269=0,AN269&lt;&gt;"Yes",AO269=0,AK269=""),0,IF(AL269&gt;='Setup'!$B$14,-2*'Setup'!$B$11,IF(AND(MAX(AB269,AD269,AF269,AH269,AJ269)&gt;=P269,AK269&gt;=Q269+1),'Setup'!$B$10,IF(OR(MAX(AB269,AD269,AF269,AH269,AJ269)&lt;O269,AK269&lt;Q269-1),-'Setup'!$B$11,0))))</x:f>
        <x:v>0</x:v>
      </x:c>
      <x:c r="AU269" s="333" t="n">
        <x:f>IF(Z269=0,0,IF(AN269&lt;&gt;"Yes",Z269,IF(COUNT(AA269,AC269,AE269,AG269,AI269)=0,Z269,ROUND((MAX(AA269,AC269,AE269,AG269,AI269)*(1+AT269))/'Setup'!$B$9,0)*'Setup'!$B$9)))</x:f>
        <x:v>0</x:v>
      </x:c>
      <x:c r="AV269" s="336"/>
    </x:row>
    <x:row r="270">
      <x:c r="A270" s="310" t="n">
        <x:f>'Setup'!$B$3+(C270-1)*7+(D270-1)</x:f>
        <x:v>46276</x:v>
      </x:c>
      <x:c r="B270" s="311" t="str">
        <x:v>5|5|3</x:v>
      </x:c>
      <x:c r="C270" s="311" t="n">
        <x:v>5</x:v>
      </x:c>
      <x:c r="D270" s="311" t="n">
        <x:v>5</x:v>
      </x:c>
      <x:c r="E270" s="311" t="str">
        <x:v>Intensification</x:v>
      </x:c>
      <x:c r="F270" s="311" t="str">
        <x:v>Pull Hypertrophy</x:v>
      </x:c>
      <x:c r="G270" s="311" t="str">
        <x:v>Back, rear delts, and biceps volume</x:v>
      </x:c>
      <x:c r="H270" s="311" t="n">
        <x:v>3</x:v>
      </x:c>
      <x:c r="I270" s="311" t="str">
        <x:v>One-Arm Cable Row</x:v>
      </x:c>
      <x:c r="J270" s="311" t="str">
        <x:v>Hypertrophy</x:v>
      </x:c>
      <x:c r="K270" s="311" t="str">
        <x:v>Back</x:v>
      </x:c>
      <x:c r="L270" s="311" t="str">
        <x:v>Straight sets</x:v>
      </x:c>
      <x:c r="M270" s="311" t="str"/>
      <x:c r="N270" s="311" t="n">
        <x:v>3</x:v>
      </x:c>
      <x:c r="O270" s="311" t="n">
        <x:v>10</x:v>
      </x:c>
      <x:c r="P270" s="311" t="n">
        <x:v>15</x:v>
      </x:c>
      <x:c r="Q270" s="311" t="n">
        <x:v>3</x:v>
      </x:c>
      <x:c r="R270" s="311" t="n">
        <x:v>75</x:v>
      </x:c>
      <x:c r="S270" s="311" t="str">
        <x:v>2-1-1</x:v>
      </x:c>
      <x:c r="T270" s="330" t="n">
        <x:v>1.11</x:v>
      </x:c>
      <x:c r="U270" s="330" t="n">
        <x:v>0</x:v>
      </x:c>
      <x:c r="V270" s="331" t="str">
        <x:v>load × reps</x:v>
      </x:c>
      <x:c r="W270" s="332" t="str">
        <x:f>'Readiness'!K35</x:f>
      </x:c>
      <x:c r="X270" s="314" t="n">
        <x:f>'Readiness'!L35</x:f>
        <x:v>1</x:v>
      </x:c>
      <x:c r="Y270" s="315" t="n">
        <x:f>IF(J270="Mobility",N270,MAX(1,ROUND(N270*X270,0)))</x:f>
        <x:v>3</x:v>
      </x:c>
      <x:c r="Z270" s="333" t="n">
        <x:f>ROUND((IF(AU218&gt;0,AU218,IF(Z218&gt;0,Z218,'Setup'!$D$67))*T270)/'Setup'!$B$9,0)*'Setup'!$B$9</x:f>
        <x:v>0</x:v>
      </x:c>
      <x:c r="AA270" s="334"/>
      <x:c r="AB270" s="334"/>
      <x:c r="AC270" s="334"/>
      <x:c r="AD270" s="334"/>
      <x:c r="AE270" s="334"/>
      <x:c r="AF270" s="334"/>
      <x:c r="AG270" s="334"/>
      <x:c r="AH270" s="334"/>
      <x:c r="AI270" s="334"/>
      <x:c r="AJ270" s="312"/>
      <x:c r="AK270" s="312"/>
      <x:c r="AL270" s="312"/>
      <x:c r="AM270" s="312"/>
      <x:c r="AN270" s="312"/>
      <x:c r="AO270" s="315" t="n">
        <x:f>COUNT(AB270,AD270,AF270,AH270,AJ270)</x:f>
        <x:v>0</x:v>
      </x:c>
      <x:c r="AP270" s="315" t="n">
        <x:f>SUM(AB270,AD270,AF270,AH270,AJ270)</x:f>
        <x:v>0</x:v>
      </x:c>
      <x:c r="AQ270" s="333" t="n">
        <x:f>AA270*AB270+AC270*AD270+AE270*AF270+AG270*AH270+AI270*AJ270</x:f>
        <x:v>0</x:v>
      </x:c>
      <x:c r="AR270" s="333" t="n">
        <x:f>IF(OR(J270="Strength",J270="Hypertrophy"),MAX(IF(AB270&gt;0,AA270*(1+AB270/30),0),IF(AD270&gt;0,AC270*(1+AD270/30),0),IF(AF270&gt;0,AE270*(1+AF270/30),0),IF(AH270&gt;0,AG270*(1+AH270/30),0),IF(AJ270&gt;0,AI270*(1+AJ270/30),0)),0)</x:f>
        <x:v>0</x:v>
      </x:c>
      <x:c r="AS270" s="315" t="str">
        <x:f>IF(AN270&lt;&gt;"Yes","Not logged",IF(AL270&gt;='Setup'!$B$14,"STOP / MODIFY",IF(Z270=0,"Complete",IF(OR(AO270=0,AK270=""),"Add set data + RIR",IF(AND(MAX(AB270,AD270,AF270,AH270,AJ270)&gt;=P270,AK270&gt;=Q270+1),"Progress",IF(OR(MAX(AB270,AD270,AF270,AH270,AJ270)&lt;O270,AK270&lt;Q270-1),"Regress","Hold"))))))</x:f>
        <x:v>Not logged</x:v>
      </x:c>
      <x:c r="AT270" s="335" t="n">
        <x:f>IF(OR(Z270=0,AN270&lt;&gt;"Yes",AO270=0,AK270=""),0,IF(AL270&gt;='Setup'!$B$14,-2*'Setup'!$B$11,IF(AND(MAX(AB270,AD270,AF270,AH270,AJ270)&gt;=P270,AK270&gt;=Q270+1),'Setup'!$B$10,IF(OR(MAX(AB270,AD270,AF270,AH270,AJ270)&lt;O270,AK270&lt;Q270-1),-'Setup'!$B$11,0))))</x:f>
        <x:v>0</x:v>
      </x:c>
      <x:c r="AU270" s="333" t="n">
        <x:f>IF(Z270=0,0,IF(AN270&lt;&gt;"Yes",Z270,IF(COUNT(AA270,AC270,AE270,AG270,AI270)=0,Z270,ROUND((MAX(AA270,AC270,AE270,AG270,AI270)*(1+AT270))/'Setup'!$B$9,0)*'Setup'!$B$9)))</x:f>
        <x:v>0</x:v>
      </x:c>
      <x:c r="AV270" s="336"/>
    </x:row>
    <x:row r="271">
      <x:c r="A271" s="310" t="n">
        <x:f>'Setup'!$B$3+(C271-1)*7+(D271-1)</x:f>
        <x:v>46276</x:v>
      </x:c>
      <x:c r="B271" s="311" t="str">
        <x:v>5|5|4</x:v>
      </x:c>
      <x:c r="C271" s="311" t="n">
        <x:v>5</x:v>
      </x:c>
      <x:c r="D271" s="311" t="n">
        <x:v>5</x:v>
      </x:c>
      <x:c r="E271" s="311" t="str">
        <x:v>Intensification</x:v>
      </x:c>
      <x:c r="F271" s="311" t="str">
        <x:v>Pull Hypertrophy</x:v>
      </x:c>
      <x:c r="G271" s="311" t="str">
        <x:v>Back, rear delts, and biceps volume</x:v>
      </x:c>
      <x:c r="H271" s="311" t="n">
        <x:v>4</x:v>
      </x:c>
      <x:c r="I271" s="311" t="str">
        <x:v>Straight-Arm Pulldown</x:v>
      </x:c>
      <x:c r="J271" s="311" t="str">
        <x:v>Hypertrophy</x:v>
      </x:c>
      <x:c r="K271" s="311" t="str">
        <x:v>Back</x:v>
      </x:c>
      <x:c r="L271" s="311" t="str">
        <x:v>Straight sets</x:v>
      </x:c>
      <x:c r="M271" s="311" t="str"/>
      <x:c r="N271" s="311" t="n">
        <x:v>3</x:v>
      </x:c>
      <x:c r="O271" s="311" t="n">
        <x:v>12</x:v>
      </x:c>
      <x:c r="P271" s="311" t="n">
        <x:v>15</x:v>
      </x:c>
      <x:c r="Q271" s="311" t="n">
        <x:v>3</x:v>
      </x:c>
      <x:c r="R271" s="311" t="n">
        <x:v>60</x:v>
      </x:c>
      <x:c r="S271" s="311" t="str">
        <x:v>3-1-1</x:v>
      </x:c>
      <x:c r="T271" s="330" t="n">
        <x:v>1.11</x:v>
      </x:c>
      <x:c r="U271" s="330" t="n">
        <x:v>0</x:v>
      </x:c>
      <x:c r="V271" s="331" t="str">
        <x:v>load × reps</x:v>
      </x:c>
      <x:c r="W271" s="332" t="str">
        <x:f>'Readiness'!K35</x:f>
      </x:c>
      <x:c r="X271" s="314" t="n">
        <x:f>'Readiness'!L35</x:f>
        <x:v>1</x:v>
      </x:c>
      <x:c r="Y271" s="315" t="n">
        <x:f>IF(J271="Mobility",N271,MAX(1,ROUND(N271*X271,0)))</x:f>
        <x:v>3</x:v>
      </x:c>
      <x:c r="Z271" s="333" t="n">
        <x:f>ROUND((IF(AU220&gt;0,AU220,IF(Z220&gt;0,Z220,'Setup'!$D$91))*T271)/'Setup'!$B$9,0)*'Setup'!$B$9</x:f>
        <x:v>0</x:v>
      </x:c>
      <x:c r="AA271" s="334"/>
      <x:c r="AB271" s="334"/>
      <x:c r="AC271" s="334"/>
      <x:c r="AD271" s="334"/>
      <x:c r="AE271" s="334"/>
      <x:c r="AF271" s="334"/>
      <x:c r="AG271" s="334"/>
      <x:c r="AH271" s="334"/>
      <x:c r="AI271" s="334"/>
      <x:c r="AJ271" s="312"/>
      <x:c r="AK271" s="312"/>
      <x:c r="AL271" s="312"/>
      <x:c r="AM271" s="312"/>
      <x:c r="AN271" s="312"/>
      <x:c r="AO271" s="315" t="n">
        <x:f>COUNT(AB271,AD271,AF271,AH271,AJ271)</x:f>
        <x:v>0</x:v>
      </x:c>
      <x:c r="AP271" s="315" t="n">
        <x:f>SUM(AB271,AD271,AF271,AH271,AJ271)</x:f>
        <x:v>0</x:v>
      </x:c>
      <x:c r="AQ271" s="333" t="n">
        <x:f>AA271*AB271+AC271*AD271+AE271*AF271+AG271*AH271+AI271*AJ271</x:f>
        <x:v>0</x:v>
      </x:c>
      <x:c r="AR271" s="333" t="n">
        <x:f>IF(OR(J271="Strength",J271="Hypertrophy"),MAX(IF(AB271&gt;0,AA271*(1+AB271/30),0),IF(AD271&gt;0,AC271*(1+AD271/30),0),IF(AF271&gt;0,AE271*(1+AF271/30),0),IF(AH271&gt;0,AG271*(1+AH271/30),0),IF(AJ271&gt;0,AI271*(1+AJ271/30),0)),0)</x:f>
        <x:v>0</x:v>
      </x:c>
      <x:c r="AS271" s="315" t="str">
        <x:f>IF(AN271&lt;&gt;"Yes","Not logged",IF(AL271&gt;='Setup'!$B$14,"STOP / MODIFY",IF(Z271=0,"Complete",IF(OR(AO271=0,AK271=""),"Add set data + RIR",IF(AND(MAX(AB271,AD271,AF271,AH271,AJ271)&gt;=P271,AK271&gt;=Q271+1),"Progress",IF(OR(MAX(AB271,AD271,AF271,AH271,AJ271)&lt;O271,AK271&lt;Q271-1),"Regress","Hold"))))))</x:f>
        <x:v>Not logged</x:v>
      </x:c>
      <x:c r="AT271" s="335" t="n">
        <x:f>IF(OR(Z271=0,AN271&lt;&gt;"Yes",AO271=0,AK271=""),0,IF(AL271&gt;='Setup'!$B$14,-2*'Setup'!$B$11,IF(AND(MAX(AB271,AD271,AF271,AH271,AJ271)&gt;=P271,AK271&gt;=Q271+1),'Setup'!$B$10,IF(OR(MAX(AB271,AD271,AF271,AH271,AJ271)&lt;O271,AK271&lt;Q271-1),-'Setup'!$B$11,0))))</x:f>
        <x:v>0</x:v>
      </x:c>
      <x:c r="AU271" s="333" t="n">
        <x:f>IF(Z271=0,0,IF(AN271&lt;&gt;"Yes",Z271,IF(COUNT(AA271,AC271,AE271,AG271,AI271)=0,Z271,ROUND((MAX(AA271,AC271,AE271,AG271,AI271)*(1+AT271))/'Setup'!$B$9,0)*'Setup'!$B$9)))</x:f>
        <x:v>0</x:v>
      </x:c>
      <x:c r="AV271" s="336"/>
    </x:row>
    <x:row r="272">
      <x:c r="A272" s="310" t="n">
        <x:f>'Setup'!$B$3+(C272-1)*7+(D272-1)</x:f>
        <x:v>46276</x:v>
      </x:c>
      <x:c r="B272" s="311" t="str">
        <x:v>5|5|5</x:v>
      </x:c>
      <x:c r="C272" s="311" t="n">
        <x:v>5</x:v>
      </x:c>
      <x:c r="D272" s="311" t="n">
        <x:v>5</x:v>
      </x:c>
      <x:c r="E272" s="311" t="str">
        <x:v>Intensification</x:v>
      </x:c>
      <x:c r="F272" s="311" t="str">
        <x:v>Pull Hypertrophy</x:v>
      </x:c>
      <x:c r="G272" s="311" t="str">
        <x:v>Back, rear delts, and biceps volume</x:v>
      </x:c>
      <x:c r="H272" s="311" t="n">
        <x:v>5</x:v>
      </x:c>
      <x:c r="I272" s="311" t="str">
        <x:v>Rear Delt Cable Fly</x:v>
      </x:c>
      <x:c r="J272" s="311" t="str">
        <x:v>Hypertrophy</x:v>
      </x:c>
      <x:c r="K272" s="311" t="str">
        <x:v>Rear Delts</x:v>
      </x:c>
      <x:c r="L272" s="311" t="str">
        <x:v>Straight sets</x:v>
      </x:c>
      <x:c r="M272" s="311" t="str"/>
      <x:c r="N272" s="311" t="n">
        <x:v>4</x:v>
      </x:c>
      <x:c r="O272" s="311" t="n">
        <x:v>15</x:v>
      </x:c>
      <x:c r="P272" s="311" t="n">
        <x:v>20</x:v>
      </x:c>
      <x:c r="Q272" s="311" t="n">
        <x:v>3</x:v>
      </x:c>
      <x:c r="R272" s="311" t="n">
        <x:v>45</x:v>
      </x:c>
      <x:c r="S272" s="311" t="str">
        <x:v>2-1-2</x:v>
      </x:c>
      <x:c r="T272" s="330" t="n">
        <x:v>1.11</x:v>
      </x:c>
      <x:c r="U272" s="330" t="n">
        <x:v>0</x:v>
      </x:c>
      <x:c r="V272" s="331" t="str">
        <x:v>load × reps</x:v>
      </x:c>
      <x:c r="W272" s="332" t="str">
        <x:f>'Readiness'!K35</x:f>
      </x:c>
      <x:c r="X272" s="314" t="n">
        <x:f>'Readiness'!L35</x:f>
        <x:v>1</x:v>
      </x:c>
      <x:c r="Y272" s="315" t="n">
        <x:f>IF(J272="Mobility",N272,MAX(1,ROUND(N272*X272,0)))</x:f>
        <x:v>4</x:v>
      </x:c>
      <x:c r="Z272" s="333" t="n">
        <x:f>ROUND((IF(AU193&gt;0,AU193,IF(Z193&gt;0,Z193,'Setup'!$D$78))*T272)/'Setup'!$B$9,0)*'Setup'!$B$9</x:f>
        <x:v>0</x:v>
      </x:c>
      <x:c r="AA272" s="334"/>
      <x:c r="AB272" s="334"/>
      <x:c r="AC272" s="334"/>
      <x:c r="AD272" s="334"/>
      <x:c r="AE272" s="334"/>
      <x:c r="AF272" s="334"/>
      <x:c r="AG272" s="334"/>
      <x:c r="AH272" s="334"/>
      <x:c r="AI272" s="334"/>
      <x:c r="AJ272" s="312"/>
      <x:c r="AK272" s="312"/>
      <x:c r="AL272" s="312"/>
      <x:c r="AM272" s="312"/>
      <x:c r="AN272" s="312"/>
      <x:c r="AO272" s="315" t="n">
        <x:f>COUNT(AB272,AD272,AF272,AH272,AJ272)</x:f>
        <x:v>0</x:v>
      </x:c>
      <x:c r="AP272" s="315" t="n">
        <x:f>SUM(AB272,AD272,AF272,AH272,AJ272)</x:f>
        <x:v>0</x:v>
      </x:c>
      <x:c r="AQ272" s="333" t="n">
        <x:f>AA272*AB272+AC272*AD272+AE272*AF272+AG272*AH272+AI272*AJ272</x:f>
        <x:v>0</x:v>
      </x:c>
      <x:c r="AR272" s="333" t="n">
        <x:f>IF(OR(J272="Strength",J272="Hypertrophy"),MAX(IF(AB272&gt;0,AA272*(1+AB272/30),0),IF(AD272&gt;0,AC272*(1+AD272/30),0),IF(AF272&gt;0,AE272*(1+AF272/30),0),IF(AH272&gt;0,AG272*(1+AH272/30),0),IF(AJ272&gt;0,AI272*(1+AJ272/30),0)),0)</x:f>
        <x:v>0</x:v>
      </x:c>
      <x:c r="AS272" s="315" t="str">
        <x:f>IF(AN272&lt;&gt;"Yes","Not logged",IF(AL272&gt;='Setup'!$B$14,"STOP / MODIFY",IF(Z272=0,"Complete",IF(OR(AO272=0,AK272=""),"Add set data + RIR",IF(AND(MAX(AB272,AD272,AF272,AH272,AJ272)&gt;=P272,AK272&gt;=Q272+1),"Progress",IF(OR(MAX(AB272,AD272,AF272,AH272,AJ272)&lt;O272,AK272&lt;Q272-1),"Regress","Hold"))))))</x:f>
        <x:v>Not logged</x:v>
      </x:c>
      <x:c r="AT272" s="335" t="n">
        <x:f>IF(OR(Z272=0,AN272&lt;&gt;"Yes",AO272=0,AK272=""),0,IF(AL272&gt;='Setup'!$B$14,-2*'Setup'!$B$11,IF(AND(MAX(AB272,AD272,AF272,AH272,AJ272)&gt;=P272,AK272&gt;=Q272+1),'Setup'!$B$10,IF(OR(MAX(AB272,AD272,AF272,AH272,AJ272)&lt;O272,AK272&lt;Q272-1),-'Setup'!$B$11,0))))</x:f>
        <x:v>0</x:v>
      </x:c>
      <x:c r="AU272" s="333" t="n">
        <x:f>IF(Z272=0,0,IF(AN272&lt;&gt;"Yes",Z272,IF(COUNT(AA272,AC272,AE272,AG272,AI272)=0,Z272,ROUND((MAX(AA272,AC272,AE272,AG272,AI272)*(1+AT272))/'Setup'!$B$9,0)*'Setup'!$B$9)))</x:f>
        <x:v>0</x:v>
      </x:c>
      <x:c r="AV272" s="336"/>
    </x:row>
    <x:row r="273">
      <x:c r="A273" s="310" t="n">
        <x:f>'Setup'!$B$3+(C273-1)*7+(D273-1)</x:f>
        <x:v>46276</x:v>
      </x:c>
      <x:c r="B273" s="311" t="str">
        <x:v>5|5|6</x:v>
      </x:c>
      <x:c r="C273" s="311" t="n">
        <x:v>5</x:v>
      </x:c>
      <x:c r="D273" s="311" t="n">
        <x:v>5</x:v>
      </x:c>
      <x:c r="E273" s="311" t="str">
        <x:v>Intensification</x:v>
      </x:c>
      <x:c r="F273" s="311" t="str">
        <x:v>Pull Hypertrophy</x:v>
      </x:c>
      <x:c r="G273" s="311" t="str">
        <x:v>Back, rear delts, and biceps volume</x:v>
      </x:c>
      <x:c r="H273" s="311" t="n">
        <x:v>6</x:v>
      </x:c>
      <x:c r="I273" s="311" t="str">
        <x:v>EZ-Bar Curl</x:v>
      </x:c>
      <x:c r="J273" s="311" t="str">
        <x:v>Hypertrophy</x:v>
      </x:c>
      <x:c r="K273" s="311" t="str">
        <x:v>Biceps</x:v>
      </x:c>
      <x:c r="L273" s="311" t="str">
        <x:v>Straight sets</x:v>
      </x:c>
      <x:c r="M273" s="311" t="str"/>
      <x:c r="N273" s="311" t="n">
        <x:v>3</x:v>
      </x:c>
      <x:c r="O273" s="311" t="n">
        <x:v>8</x:v>
      </x:c>
      <x:c r="P273" s="311" t="n">
        <x:v>12</x:v>
      </x:c>
      <x:c r="Q273" s="311" t="n">
        <x:v>3</x:v>
      </x:c>
      <x:c r="R273" s="311" t="n">
        <x:v>60</x:v>
      </x:c>
      <x:c r="S273" s="311" t="str">
        <x:v>3-0-1</x:v>
      </x:c>
      <x:c r="T273" s="330" t="n">
        <x:v>1.11</x:v>
      </x:c>
      <x:c r="U273" s="330" t="n">
        <x:v>0</x:v>
      </x:c>
      <x:c r="V273" s="331" t="str">
        <x:v>load × reps</x:v>
      </x:c>
      <x:c r="W273" s="332" t="str">
        <x:f>'Readiness'!K35</x:f>
      </x:c>
      <x:c r="X273" s="314" t="n">
        <x:f>'Readiness'!L35</x:f>
        <x:v>1</x:v>
      </x:c>
      <x:c r="Y273" s="315" t="n">
        <x:f>IF(J273="Mobility",N273,MAX(1,ROUND(N273*X273,0)))</x:f>
        <x:v>3</x:v>
      </x:c>
      <x:c r="Z273" s="333" t="n">
        <x:f>ROUND((IF(AU194&gt;0,AU194,IF(Z194&gt;0,Z194,'Setup'!$D$40))*T273)/'Setup'!$B$9,0)*'Setup'!$B$9</x:f>
        <x:v>0</x:v>
      </x:c>
      <x:c r="AA273" s="334"/>
      <x:c r="AB273" s="334"/>
      <x:c r="AC273" s="334"/>
      <x:c r="AD273" s="334"/>
      <x:c r="AE273" s="334"/>
      <x:c r="AF273" s="334"/>
      <x:c r="AG273" s="334"/>
      <x:c r="AH273" s="334"/>
      <x:c r="AI273" s="334"/>
      <x:c r="AJ273" s="312"/>
      <x:c r="AK273" s="312"/>
      <x:c r="AL273" s="312"/>
      <x:c r="AM273" s="312"/>
      <x:c r="AN273" s="312"/>
      <x:c r="AO273" s="315" t="n">
        <x:f>COUNT(AB273,AD273,AF273,AH273,AJ273)</x:f>
        <x:v>0</x:v>
      </x:c>
      <x:c r="AP273" s="315" t="n">
        <x:f>SUM(AB273,AD273,AF273,AH273,AJ273)</x:f>
        <x:v>0</x:v>
      </x:c>
      <x:c r="AQ273" s="333" t="n">
        <x:f>AA273*AB273+AC273*AD273+AE273*AF273+AG273*AH273+AI273*AJ273</x:f>
        <x:v>0</x:v>
      </x:c>
      <x:c r="AR273" s="333" t="n">
        <x:f>IF(OR(J273="Strength",J273="Hypertrophy"),MAX(IF(AB273&gt;0,AA273*(1+AB273/30),0),IF(AD273&gt;0,AC273*(1+AD273/30),0),IF(AF273&gt;0,AE273*(1+AF273/30),0),IF(AH273&gt;0,AG273*(1+AH273/30),0),IF(AJ273&gt;0,AI273*(1+AJ273/30),0)),0)</x:f>
        <x:v>0</x:v>
      </x:c>
      <x:c r="AS273" s="315" t="str">
        <x:f>IF(AN273&lt;&gt;"Yes","Not logged",IF(AL273&gt;='Setup'!$B$14,"STOP / MODIFY",IF(Z273=0,"Complete",IF(OR(AO273=0,AK273=""),"Add set data + RIR",IF(AND(MAX(AB273,AD273,AF273,AH273,AJ273)&gt;=P273,AK273&gt;=Q273+1),"Progress",IF(OR(MAX(AB273,AD273,AF273,AH273,AJ273)&lt;O273,AK273&lt;Q273-1),"Regress","Hold"))))))</x:f>
        <x:v>Not logged</x:v>
      </x:c>
      <x:c r="AT273" s="335" t="n">
        <x:f>IF(OR(Z273=0,AN273&lt;&gt;"Yes",AO273=0,AK273=""),0,IF(AL273&gt;='Setup'!$B$14,-2*'Setup'!$B$11,IF(AND(MAX(AB273,AD273,AF273,AH273,AJ273)&gt;=P273,AK273&gt;=Q273+1),'Setup'!$B$10,IF(OR(MAX(AB273,AD273,AF273,AH273,AJ273)&lt;O273,AK273&lt;Q273-1),-'Setup'!$B$11,0))))</x:f>
        <x:v>0</x:v>
      </x:c>
      <x:c r="AU273" s="333" t="n">
        <x:f>IF(Z273=0,0,IF(AN273&lt;&gt;"Yes",Z273,IF(COUNT(AA273,AC273,AE273,AG273,AI273)=0,Z273,ROUND((MAX(AA273,AC273,AE273,AG273,AI273)*(1+AT273))/'Setup'!$B$9,0)*'Setup'!$B$9)))</x:f>
        <x:v>0</x:v>
      </x:c>
      <x:c r="AV273" s="336"/>
    </x:row>
    <x:row r="274">
      <x:c r="A274" s="310" t="n">
        <x:f>'Setup'!$B$3+(C274-1)*7+(D274-1)</x:f>
        <x:v>46276</x:v>
      </x:c>
      <x:c r="B274" s="311" t="str">
        <x:v>5|5|7</x:v>
      </x:c>
      <x:c r="C274" s="311" t="n">
        <x:v>5</x:v>
      </x:c>
      <x:c r="D274" s="311" t="n">
        <x:v>5</x:v>
      </x:c>
      <x:c r="E274" s="311" t="str">
        <x:v>Intensification</x:v>
      </x:c>
      <x:c r="F274" s="311" t="str">
        <x:v>Pull Hypertrophy</x:v>
      </x:c>
      <x:c r="G274" s="311" t="str">
        <x:v>Back, rear delts, and biceps volume</x:v>
      </x:c>
      <x:c r="H274" s="311" t="n">
        <x:v>7</x:v>
      </x:c>
      <x:c r="I274" s="311" t="str">
        <x:v>Incline Dumbbell Curl</x:v>
      </x:c>
      <x:c r="J274" s="311" t="str">
        <x:v>Hypertrophy</x:v>
      </x:c>
      <x:c r="K274" s="311" t="str">
        <x:v>Biceps</x:v>
      </x:c>
      <x:c r="L274" s="311" t="str">
        <x:v>Straight sets</x:v>
      </x:c>
      <x:c r="M274" s="311" t="str"/>
      <x:c r="N274" s="311" t="n">
        <x:v>3</x:v>
      </x:c>
      <x:c r="O274" s="311" t="n">
        <x:v>10</x:v>
      </x:c>
      <x:c r="P274" s="311" t="n">
        <x:v>15</x:v>
      </x:c>
      <x:c r="Q274" s="311" t="n">
        <x:v>3</x:v>
      </x:c>
      <x:c r="R274" s="311" t="n">
        <x:v>60</x:v>
      </x:c>
      <x:c r="S274" s="311" t="str">
        <x:v>3-1-1</x:v>
      </x:c>
      <x:c r="T274" s="330" t="n">
        <x:v>1.11</x:v>
      </x:c>
      <x:c r="U274" s="330" t="n">
        <x:v>0</x:v>
      </x:c>
      <x:c r="V274" s="331" t="str">
        <x:v>load × reps</x:v>
      </x:c>
      <x:c r="W274" s="332" t="str">
        <x:f>'Readiness'!K35</x:f>
      </x:c>
      <x:c r="X274" s="314" t="n">
        <x:f>'Readiness'!L35</x:f>
        <x:v>1</x:v>
      </x:c>
      <x:c r="Y274" s="315" t="n">
        <x:f>IF(J274="Mobility",N274,MAX(1,ROUND(N274*X274,0)))</x:f>
        <x:v>3</x:v>
      </x:c>
      <x:c r="Z274" s="333" t="n">
        <x:f>IF('Setup'!$D$51&gt;0,'Setup'!$D$51,0)</x:f>
        <x:v>0</x:v>
      </x:c>
      <x:c r="AA274" s="334"/>
      <x:c r="AB274" s="334"/>
      <x:c r="AC274" s="334"/>
      <x:c r="AD274" s="334"/>
      <x:c r="AE274" s="334"/>
      <x:c r="AF274" s="334"/>
      <x:c r="AG274" s="334"/>
      <x:c r="AH274" s="334"/>
      <x:c r="AI274" s="334"/>
      <x:c r="AJ274" s="312"/>
      <x:c r="AK274" s="312"/>
      <x:c r="AL274" s="312"/>
      <x:c r="AM274" s="312"/>
      <x:c r="AN274" s="312"/>
      <x:c r="AO274" s="315" t="n">
        <x:f>COUNT(AB274,AD274,AF274,AH274,AJ274)</x:f>
        <x:v>0</x:v>
      </x:c>
      <x:c r="AP274" s="315" t="n">
        <x:f>SUM(AB274,AD274,AF274,AH274,AJ274)</x:f>
        <x:v>0</x:v>
      </x:c>
      <x:c r="AQ274" s="333" t="n">
        <x:f>AA274*AB274+AC274*AD274+AE274*AF274+AG274*AH274+AI274*AJ274</x:f>
        <x:v>0</x:v>
      </x:c>
      <x:c r="AR274" s="333" t="n">
        <x:f>IF(OR(J274="Strength",J274="Hypertrophy"),MAX(IF(AB274&gt;0,AA274*(1+AB274/30),0),IF(AD274&gt;0,AC274*(1+AD274/30),0),IF(AF274&gt;0,AE274*(1+AF274/30),0),IF(AH274&gt;0,AG274*(1+AH274/30),0),IF(AJ274&gt;0,AI274*(1+AJ274/30),0)),0)</x:f>
        <x:v>0</x:v>
      </x:c>
      <x:c r="AS274" s="315" t="str">
        <x:f>IF(AN274&lt;&gt;"Yes","Not logged",IF(AL274&gt;='Setup'!$B$14,"STOP / MODIFY",IF(Z274=0,"Complete",IF(OR(AO274=0,AK274=""),"Add set data + RIR",IF(AND(MAX(AB274,AD274,AF274,AH274,AJ274)&gt;=P274,AK274&gt;=Q274+1),"Progress",IF(OR(MAX(AB274,AD274,AF274,AH274,AJ274)&lt;O274,AK274&lt;Q274-1),"Regress","Hold"))))))</x:f>
        <x:v>Not logged</x:v>
      </x:c>
      <x:c r="AT274" s="335" t="n">
        <x:f>IF(OR(Z274=0,AN274&lt;&gt;"Yes",AO274=0,AK274=""),0,IF(AL274&gt;='Setup'!$B$14,-2*'Setup'!$B$11,IF(AND(MAX(AB274,AD274,AF274,AH274,AJ274)&gt;=P274,AK274&gt;=Q274+1),'Setup'!$B$10,IF(OR(MAX(AB274,AD274,AF274,AH274,AJ274)&lt;O274,AK274&lt;Q274-1),-'Setup'!$B$11,0))))</x:f>
        <x:v>0</x:v>
      </x:c>
      <x:c r="AU274" s="333" t="n">
        <x:f>IF(Z274=0,0,IF(AN274&lt;&gt;"Yes",Z274,IF(COUNT(AA274,AC274,AE274,AG274,AI274)=0,Z274,ROUND((MAX(AA274,AC274,AE274,AG274,AI274)*(1+AT274))/'Setup'!$B$9,0)*'Setup'!$B$9)))</x:f>
        <x:v>0</x:v>
      </x:c>
      <x:c r="AV274" s="336"/>
    </x:row>
    <x:row r="275">
      <x:c r="A275" s="310" t="n">
        <x:f>'Setup'!$B$3+(C275-1)*7+(D275-1)</x:f>
        <x:v>46276</x:v>
      </x:c>
      <x:c r="B275" s="311" t="str">
        <x:v>5|5|8</x:v>
      </x:c>
      <x:c r="C275" s="311" t="n">
        <x:v>5</x:v>
      </x:c>
      <x:c r="D275" s="311" t="n">
        <x:v>5</x:v>
      </x:c>
      <x:c r="E275" s="311" t="str">
        <x:v>Intensification</x:v>
      </x:c>
      <x:c r="F275" s="311" t="str">
        <x:v>Pull Hypertrophy</x:v>
      </x:c>
      <x:c r="G275" s="311" t="str">
        <x:v>Back, rear delts, and biceps volume</x:v>
      </x:c>
      <x:c r="H275" s="311" t="n">
        <x:v>8</x:v>
      </x:c>
      <x:c r="I275" s="311" t="str">
        <x:v>SkiErg Power Intervals</x:v>
      </x:c>
      <x:c r="J275" s="311" t="str">
        <x:v>Athletic</x:v>
      </x:c>
      <x:c r="K275" s="311" t="str">
        <x:v>Full Body</x:v>
      </x:c>
      <x:c r="L275" s="311" t="str">
        <x:v>15 s hard / 45 s easy</x:v>
      </x:c>
      <x:c r="M275" s="311" t="str"/>
      <x:c r="N275" s="311" t="n">
        <x:v>6</x:v>
      </x:c>
      <x:c r="O275" s="311" t="n">
        <x:v>15</x:v>
      </x:c>
      <x:c r="P275" s="311" t="n">
        <x:v>15</x:v>
      </x:c>
      <x:c r="Q275" s="311" t="n">
        <x:v>3</x:v>
      </x:c>
      <x:c r="R275" s="311" t="n">
        <x:v>45</x:v>
      </x:c>
      <x:c r="S275" s="311" t="str">
        <x:v>Powerful</x:v>
      </x:c>
      <x:c r="T275" s="330" t="n">
        <x:v>1.11</x:v>
      </x:c>
      <x:c r="U275" s="330" t="n">
        <x:v>0</x:v>
      </x:c>
      <x:c r="V275" s="331" t="str">
        <x:v>watts / meters</x:v>
      </x:c>
      <x:c r="W275" s="332" t="str">
        <x:f>'Readiness'!K35</x:f>
      </x:c>
      <x:c r="X275" s="314" t="n">
        <x:f>'Readiness'!L35</x:f>
        <x:v>1</x:v>
      </x:c>
      <x:c r="Y275" s="315" t="n">
        <x:f>IF(J275="Mobility",N275,MAX(1,ROUND(N275*X275,0)))</x:f>
        <x:v>6</x:v>
      </x:c>
      <x:c r="Z275" s="333" t="n">
        <x:f>0</x:f>
        <x:v>0</x:v>
      </x:c>
      <x:c r="AA275" s="334"/>
      <x:c r="AB275" s="334"/>
      <x:c r="AC275" s="334"/>
      <x:c r="AD275" s="334"/>
      <x:c r="AE275" s="334"/>
      <x:c r="AF275" s="334"/>
      <x:c r="AG275" s="334"/>
      <x:c r="AH275" s="334"/>
      <x:c r="AI275" s="334"/>
      <x:c r="AJ275" s="312"/>
      <x:c r="AK275" s="312"/>
      <x:c r="AL275" s="312"/>
      <x:c r="AM275" s="312"/>
      <x:c r="AN275" s="312"/>
      <x:c r="AO275" s="315" t="n">
        <x:f>COUNT(AB275,AD275,AF275,AH275,AJ275)</x:f>
        <x:v>0</x:v>
      </x:c>
      <x:c r="AP275" s="315" t="n">
        <x:f>SUM(AB275,AD275,AF275,AH275,AJ275)</x:f>
        <x:v>0</x:v>
      </x:c>
      <x:c r="AQ275" s="333" t="n">
        <x:f>AA275*AB275+AC275*AD275+AE275*AF275+AG275*AH275+AI275*AJ275</x:f>
        <x:v>0</x:v>
      </x:c>
      <x:c r="AR275" s="333" t="n">
        <x:f>IF(OR(J275="Strength",J275="Hypertrophy"),MAX(IF(AB275&gt;0,AA275*(1+AB275/30),0),IF(AD275&gt;0,AC275*(1+AD275/30),0),IF(AF275&gt;0,AE275*(1+AF275/30),0),IF(AH275&gt;0,AG275*(1+AH275/30),0),IF(AJ275&gt;0,AI275*(1+AJ275/30),0)),0)</x:f>
        <x:v>0</x:v>
      </x:c>
      <x:c r="AS275" s="315" t="str">
        <x:f>IF(AN275&lt;&gt;"Yes","Not logged",IF(AL275&gt;='Setup'!$B$14,"STOP / MODIFY",IF(Z275=0,"Complete",IF(OR(AO275=0,AK275=""),"Add set data + RIR",IF(AND(MAX(AB275,AD275,AF275,AH275,AJ275)&gt;=P275,AK275&gt;=Q275+1),"Progress",IF(OR(MAX(AB275,AD275,AF275,AH275,AJ275)&lt;O275,AK275&lt;Q275-1),"Regress","Hold"))))))</x:f>
        <x:v>Not logged</x:v>
      </x:c>
      <x:c r="AT275" s="335" t="n">
        <x:f>IF(OR(Z275=0,AN275&lt;&gt;"Yes",AO275=0,AK275=""),0,IF(AL275&gt;='Setup'!$B$14,-2*'Setup'!$B$11,IF(AND(MAX(AB275,AD275,AF275,AH275,AJ275)&gt;=P275,AK275&gt;=Q275+1),'Setup'!$B$10,IF(OR(MAX(AB275,AD275,AF275,AH275,AJ275)&lt;O275,AK275&lt;Q275-1),-'Setup'!$B$11,0))))</x:f>
        <x:v>0</x:v>
      </x:c>
      <x:c r="AU275" s="333" t="n">
        <x:f>IF(Z275=0,0,IF(AN275&lt;&gt;"Yes",Z275,IF(COUNT(AA275,AC275,AE275,AG275,AI275)=0,Z275,ROUND((MAX(AA275,AC275,AE275,AG275,AI275)*(1+AT275))/'Setup'!$B$9,0)*'Setup'!$B$9)))</x:f>
        <x:v>0</x:v>
      </x:c>
      <x:c r="AV275" s="336"/>
    </x:row>
    <x:row r="276">
      <x:c r="A276" s="310" t="n">
        <x:f>'Setup'!$B$3+(C276-1)*7+(D276-1)</x:f>
        <x:v>46276</x:v>
      </x:c>
      <x:c r="B276" s="311" t="str">
        <x:v>5|5|9</x:v>
      </x:c>
      <x:c r="C276" s="311" t="n">
        <x:v>5</x:v>
      </x:c>
      <x:c r="D276" s="311" t="n">
        <x:v>5</x:v>
      </x:c>
      <x:c r="E276" s="311" t="str">
        <x:v>Intensification</x:v>
      </x:c>
      <x:c r="F276" s="311" t="str">
        <x:v>Pull Hypertrophy</x:v>
      </x:c>
      <x:c r="G276" s="311" t="str">
        <x:v>Back, rear delts, and biceps volume</x:v>
      </x:c>
      <x:c r="H276" s="311" t="n">
        <x:v>9</x:v>
      </x:c>
      <x:c r="I276" s="311" t="str">
        <x:v>Passive Hang</x:v>
      </x:c>
      <x:c r="J276" s="311" t="str">
        <x:v>Mobility</x:v>
      </x:c>
      <x:c r="K276" s="311" t="str">
        <x:v>Shoulders</x:v>
      </x:c>
      <x:c r="L276" s="311" t="str">
        <x:v>Relaxed breathing</x:v>
      </x:c>
      <x:c r="M276" s="311" t="str"/>
      <x:c r="N276" s="311" t="n">
        <x:v>2</x:v>
      </x:c>
      <x:c r="O276" s="311" t="n">
        <x:v>20</x:v>
      </x:c>
      <x:c r="P276" s="311" t="n">
        <x:v>40</x:v>
      </x:c>
      <x:c r="Q276" s="311" t="str"/>
      <x:c r="R276" s="311" t="n">
        <x:v>30</x:v>
      </x:c>
      <x:c r="S276" s="311" t="str">
        <x:v>Hold</x:v>
      </x:c>
      <x:c r="T276" s="330" t="n">
        <x:v>1.11</x:v>
      </x:c>
      <x:c r="U276" s="330" t="n">
        <x:v>0</x:v>
      </x:c>
      <x:c r="V276" s="331" t="str">
        <x:v>seconds</x:v>
      </x:c>
      <x:c r="W276" s="332" t="str">
        <x:f>'Readiness'!K35</x:f>
      </x:c>
      <x:c r="X276" s="314" t="n">
        <x:f>'Readiness'!L35</x:f>
        <x:v>1</x:v>
      </x:c>
      <x:c r="Y276" s="315" t="n">
        <x:f>IF(J276="Mobility",N276,MAX(1,ROUND(N276*X276,0)))</x:f>
        <x:v>2</x:v>
      </x:c>
      <x:c r="Z276" s="333" t="n">
        <x:f>0</x:f>
        <x:v>0</x:v>
      </x:c>
      <x:c r="AA276" s="334"/>
      <x:c r="AB276" s="334"/>
      <x:c r="AC276" s="334"/>
      <x:c r="AD276" s="334"/>
      <x:c r="AE276" s="334"/>
      <x:c r="AF276" s="334"/>
      <x:c r="AG276" s="334"/>
      <x:c r="AH276" s="334"/>
      <x:c r="AI276" s="334"/>
      <x:c r="AJ276" s="312"/>
      <x:c r="AK276" s="312"/>
      <x:c r="AL276" s="312"/>
      <x:c r="AM276" s="312"/>
      <x:c r="AN276" s="312"/>
      <x:c r="AO276" s="315" t="n">
        <x:f>COUNT(AB276,AD276,AF276,AH276,AJ276)</x:f>
        <x:v>0</x:v>
      </x:c>
      <x:c r="AP276" s="315" t="n">
        <x:f>SUM(AB276,AD276,AF276,AH276,AJ276)</x:f>
        <x:v>0</x:v>
      </x:c>
      <x:c r="AQ276" s="333" t="n">
        <x:f>AA276*AB276+AC276*AD276+AE276*AF276+AG276*AH276+AI276*AJ276</x:f>
        <x:v>0</x:v>
      </x:c>
      <x:c r="AR276" s="333" t="n">
        <x:f>IF(OR(J276="Strength",J276="Hypertrophy"),MAX(IF(AB276&gt;0,AA276*(1+AB276/30),0),IF(AD276&gt;0,AC276*(1+AD276/30),0),IF(AF276&gt;0,AE276*(1+AF276/30),0),IF(AH276&gt;0,AG276*(1+AH276/30),0),IF(AJ276&gt;0,AI276*(1+AJ276/30),0)),0)</x:f>
        <x:v>0</x:v>
      </x:c>
      <x:c r="AS276" s="315" t="str">
        <x:f>IF(AN276&lt;&gt;"Yes","Not logged",IF(AL276&gt;='Setup'!$B$14,"STOP / MODIFY",IF(Z276=0,"Complete",IF(OR(AO276=0,AK276=""),"Add set data + RIR",IF(AND(MAX(AB276,AD276,AF276,AH276,AJ276)&gt;=P276,AK276&gt;=Q276+1),"Progress",IF(OR(MAX(AB276,AD276,AF276,AH276,AJ276)&lt;O276,AK276&lt;Q276-1),"Regress","Hold"))))))</x:f>
        <x:v>Not logged</x:v>
      </x:c>
      <x:c r="AT276" s="335" t="n">
        <x:f>IF(OR(Z276=0,AN276&lt;&gt;"Yes",AO276=0,AK276=""),0,IF(AL276&gt;='Setup'!$B$14,-2*'Setup'!$B$11,IF(AND(MAX(AB276,AD276,AF276,AH276,AJ276)&gt;=P276,AK276&gt;=Q276+1),'Setup'!$B$10,IF(OR(MAX(AB276,AD276,AF276,AH276,AJ276)&lt;O276,AK276&lt;Q276-1),-'Setup'!$B$11,0))))</x:f>
        <x:v>0</x:v>
      </x:c>
      <x:c r="AU276" s="333" t="n">
        <x:f>IF(Z276=0,0,IF(AN276&lt;&gt;"Yes",Z276,IF(COUNT(AA276,AC276,AE276,AG276,AI276)=0,Z276,ROUND((MAX(AA276,AC276,AE276,AG276,AI276)*(1+AT276))/'Setup'!$B$9,0)*'Setup'!$B$9)))</x:f>
        <x:v>0</x:v>
      </x:c>
      <x:c r="AV276" s="336"/>
    </x:row>
    <x:row r="277">
      <x:c r="A277" s="310" t="n">
        <x:f>'Setup'!$B$3+(C277-1)*7+(D277-1)</x:f>
        <x:v>46277</x:v>
      </x:c>
      <x:c r="B277" s="311" t="str">
        <x:v>5|6|1</x:v>
      </x:c>
      <x:c r="C277" s="311" t="n">
        <x:v>5</x:v>
      </x:c>
      <x:c r="D277" s="311" t="n">
        <x:v>6</x:v>
      </x:c>
      <x:c r="E277" s="311" t="str">
        <x:v>Intensification</x:v>
      </x:c>
      <x:c r="F277" s="311" t="str">
        <x:v>Athletic Full Body</x:v>
      </x:c>
      <x:c r="G277" s="311" t="str">
        <x:v>Speed, elastic power, work capacity</x:v>
      </x:c>
      <x:c r="H277" s="311" t="n">
        <x:v>1</x:v>
      </x:c>
      <x:c r="I277" s="311" t="str">
        <x:v>Acceleration Sprint</x:v>
      </x:c>
      <x:c r="J277" s="311" t="str">
        <x:v>Athletic</x:v>
      </x:c>
      <x:c r="K277" s="311" t="str">
        <x:v>Full Body</x:v>
      </x:c>
      <x:c r="L277" s="311" t="str">
        <x:v>Full recovery, stop on speed drop</x:v>
      </x:c>
      <x:c r="M277" s="311" t="str"/>
      <x:c r="N277" s="311" t="n">
        <x:v>6</x:v>
      </x:c>
      <x:c r="O277" s="311" t="n">
        <x:v>20</x:v>
      </x:c>
      <x:c r="P277" s="311" t="n">
        <x:v>20</x:v>
      </x:c>
      <x:c r="Q277" s="311" t="n">
        <x:v>3</x:v>
      </x:c>
      <x:c r="R277" s="311" t="n">
        <x:v>90</x:v>
      </x:c>
      <x:c r="S277" s="311" t="str">
        <x:v>Max quality</x:v>
      </x:c>
      <x:c r="T277" s="330" t="n">
        <x:v>1.11</x:v>
      </x:c>
      <x:c r="U277" s="330" t="n">
        <x:v>0</x:v>
      </x:c>
      <x:c r="V277" s="331" t="str">
        <x:v>20 m time</x:v>
      </x:c>
      <x:c r="W277" s="332" t="str">
        <x:f>'Readiness'!K36</x:f>
      </x:c>
      <x:c r="X277" s="314" t="n">
        <x:f>'Readiness'!L36</x:f>
        <x:v>1</x:v>
      </x:c>
      <x:c r="Y277" s="315" t="n">
        <x:f>IF(J277="Mobility",N277,MAX(1,ROUND(N277*X277,0)))</x:f>
        <x:v>6</x:v>
      </x:c>
      <x:c r="Z277" s="333" t="n">
        <x:f>0</x:f>
        <x:v>0</x:v>
      </x:c>
      <x:c r="AA277" s="334"/>
      <x:c r="AB277" s="334"/>
      <x:c r="AC277" s="334"/>
      <x:c r="AD277" s="334"/>
      <x:c r="AE277" s="334"/>
      <x:c r="AF277" s="334"/>
      <x:c r="AG277" s="334"/>
      <x:c r="AH277" s="334"/>
      <x:c r="AI277" s="334"/>
      <x:c r="AJ277" s="312"/>
      <x:c r="AK277" s="312"/>
      <x:c r="AL277" s="312"/>
      <x:c r="AM277" s="312"/>
      <x:c r="AN277" s="312"/>
      <x:c r="AO277" s="315" t="n">
        <x:f>COUNT(AB277,AD277,AF277,AH277,AJ277)</x:f>
        <x:v>0</x:v>
      </x:c>
      <x:c r="AP277" s="315" t="n">
        <x:f>SUM(AB277,AD277,AF277,AH277,AJ277)</x:f>
        <x:v>0</x:v>
      </x:c>
      <x:c r="AQ277" s="333" t="n">
        <x:f>AA277*AB277+AC277*AD277+AE277*AF277+AG277*AH277+AI277*AJ277</x:f>
        <x:v>0</x:v>
      </x:c>
      <x:c r="AR277" s="333" t="n">
        <x:f>IF(OR(J277="Strength",J277="Hypertrophy"),MAX(IF(AB277&gt;0,AA277*(1+AB277/30),0),IF(AD277&gt;0,AC277*(1+AD277/30),0),IF(AF277&gt;0,AE277*(1+AF277/30),0),IF(AH277&gt;0,AG277*(1+AH277/30),0),IF(AJ277&gt;0,AI277*(1+AJ277/30),0)),0)</x:f>
        <x:v>0</x:v>
      </x:c>
      <x:c r="AS277" s="315" t="str">
        <x:f>IF(AN277&lt;&gt;"Yes","Not logged",IF(AL277&gt;='Setup'!$B$14,"STOP / MODIFY",IF(Z277=0,"Complete",IF(OR(AO277=0,AK277=""),"Add set data + RIR",IF(AND(MAX(AB277,AD277,AF277,AH277,AJ277)&gt;=P277,AK277&gt;=Q277+1),"Progress",IF(OR(MAX(AB277,AD277,AF277,AH277,AJ277)&lt;O277,AK277&lt;Q277-1),"Regress","Hold"))))))</x:f>
        <x:v>Not logged</x:v>
      </x:c>
      <x:c r="AT277" s="335" t="n">
        <x:f>IF(OR(Z277=0,AN277&lt;&gt;"Yes",AO277=0,AK277=""),0,IF(AL277&gt;='Setup'!$B$14,-2*'Setup'!$B$11,IF(AND(MAX(AB277,AD277,AF277,AH277,AJ277)&gt;=P277,AK277&gt;=Q277+1),'Setup'!$B$10,IF(OR(MAX(AB277,AD277,AF277,AH277,AJ277)&lt;O277,AK277&lt;Q277-1),-'Setup'!$B$11,0))))</x:f>
        <x:v>0</x:v>
      </x:c>
      <x:c r="AU277" s="333" t="n">
        <x:f>IF(Z277=0,0,IF(AN277&lt;&gt;"Yes",Z277,IF(COUNT(AA277,AC277,AE277,AG277,AI277)=0,Z277,ROUND((MAX(AA277,AC277,AE277,AG277,AI277)*(1+AT277))/'Setup'!$B$9,0)*'Setup'!$B$9)))</x:f>
        <x:v>0</x:v>
      </x:c>
      <x:c r="AV277" s="336"/>
    </x:row>
    <x:row r="278">
      <x:c r="A278" s="310" t="n">
        <x:f>'Setup'!$B$3+(C278-1)*7+(D278-1)</x:f>
        <x:v>46277</x:v>
      </x:c>
      <x:c r="B278" s="311" t="str">
        <x:v>5|6|2</x:v>
      </x:c>
      <x:c r="C278" s="311" t="n">
        <x:v>5</x:v>
      </x:c>
      <x:c r="D278" s="311" t="n">
        <x:v>6</x:v>
      </x:c>
      <x:c r="E278" s="311" t="str">
        <x:v>Intensification</x:v>
      </x:c>
      <x:c r="F278" s="311" t="str">
        <x:v>Athletic Full Body</x:v>
      </x:c>
      <x:c r="G278" s="311" t="str">
        <x:v>Speed, elastic power, work capacity</x:v>
      </x:c>
      <x:c r="H278" s="311" t="n">
        <x:v>2</x:v>
      </x:c>
      <x:c r="I278" s="311" t="str">
        <x:v>Lateral Bound</x:v>
      </x:c>
      <x:c r="J278" s="311" t="str">
        <x:v>Power</x:v>
      </x:c>
      <x:c r="K278" s="311" t="str">
        <x:v>Glutes</x:v>
      </x:c>
      <x:c r="L278" s="311" t="str">
        <x:v>Stick landing</x:v>
      </x:c>
      <x:c r="M278" s="311" t="str"/>
      <x:c r="N278" s="311" t="n">
        <x:v>4</x:v>
      </x:c>
      <x:c r="O278" s="311" t="n">
        <x:v>4</x:v>
      </x:c>
      <x:c r="P278" s="311" t="n">
        <x:v>4</x:v>
      </x:c>
      <x:c r="Q278" s="311" t="n">
        <x:v>3</x:v>
      </x:c>
      <x:c r="R278" s="311" t="n">
        <x:v>60</x:v>
      </x:c>
      <x:c r="S278" s="311" t="str">
        <x:v>Explosive</x:v>
      </x:c>
      <x:c r="T278" s="330" t="n">
        <x:v>1.11</x:v>
      </x:c>
      <x:c r="U278" s="330" t="n">
        <x:v>0</x:v>
      </x:c>
      <x:c r="V278" s="331" t="str">
        <x:v>distance</x:v>
      </x:c>
      <x:c r="W278" s="332" t="str">
        <x:f>'Readiness'!K36</x:f>
      </x:c>
      <x:c r="X278" s="314" t="n">
        <x:f>'Readiness'!L36</x:f>
        <x:v>1</x:v>
      </x:c>
      <x:c r="Y278" s="315" t="n">
        <x:f>IF(J278="Mobility",N278,MAX(1,ROUND(N278*X278,0)))</x:f>
        <x:v>4</x:v>
      </x:c>
      <x:c r="Z278" s="333" t="n">
        <x:f>0</x:f>
        <x:v>0</x:v>
      </x:c>
      <x:c r="AA278" s="334"/>
      <x:c r="AB278" s="334"/>
      <x:c r="AC278" s="334"/>
      <x:c r="AD278" s="334"/>
      <x:c r="AE278" s="334"/>
      <x:c r="AF278" s="334"/>
      <x:c r="AG278" s="334"/>
      <x:c r="AH278" s="334"/>
      <x:c r="AI278" s="334"/>
      <x:c r="AJ278" s="312"/>
      <x:c r="AK278" s="312"/>
      <x:c r="AL278" s="312"/>
      <x:c r="AM278" s="312"/>
      <x:c r="AN278" s="312"/>
      <x:c r="AO278" s="315" t="n">
        <x:f>COUNT(AB278,AD278,AF278,AH278,AJ278)</x:f>
        <x:v>0</x:v>
      </x:c>
      <x:c r="AP278" s="315" t="n">
        <x:f>SUM(AB278,AD278,AF278,AH278,AJ278)</x:f>
        <x:v>0</x:v>
      </x:c>
      <x:c r="AQ278" s="333" t="n">
        <x:f>AA278*AB278+AC278*AD278+AE278*AF278+AG278*AH278+AI278*AJ278</x:f>
        <x:v>0</x:v>
      </x:c>
      <x:c r="AR278" s="333" t="n">
        <x:f>IF(OR(J278="Strength",J278="Hypertrophy"),MAX(IF(AB278&gt;0,AA278*(1+AB278/30),0),IF(AD278&gt;0,AC278*(1+AD278/30),0),IF(AF278&gt;0,AE278*(1+AF278/30),0),IF(AH278&gt;0,AG278*(1+AH278/30),0),IF(AJ278&gt;0,AI278*(1+AJ278/30),0)),0)</x:f>
        <x:v>0</x:v>
      </x:c>
      <x:c r="AS278" s="315" t="str">
        <x:f>IF(AN278&lt;&gt;"Yes","Not logged",IF(AL278&gt;='Setup'!$B$14,"STOP / MODIFY",IF(Z278=0,"Complete",IF(OR(AO278=0,AK278=""),"Add set data + RIR",IF(AND(MAX(AB278,AD278,AF278,AH278,AJ278)&gt;=P278,AK278&gt;=Q278+1),"Progress",IF(OR(MAX(AB278,AD278,AF278,AH278,AJ278)&lt;O278,AK278&lt;Q278-1),"Regress","Hold"))))))</x:f>
        <x:v>Not logged</x:v>
      </x:c>
      <x:c r="AT278" s="335" t="n">
        <x:f>IF(OR(Z278=0,AN278&lt;&gt;"Yes",AO278=0,AK278=""),0,IF(AL278&gt;='Setup'!$B$14,-2*'Setup'!$B$11,IF(AND(MAX(AB278,AD278,AF278,AH278,AJ278)&gt;=P278,AK278&gt;=Q278+1),'Setup'!$B$10,IF(OR(MAX(AB278,AD278,AF278,AH278,AJ278)&lt;O278,AK278&lt;Q278-1),-'Setup'!$B$11,0))))</x:f>
        <x:v>0</x:v>
      </x:c>
      <x:c r="AU278" s="333" t="n">
        <x:f>IF(Z278=0,0,IF(AN278&lt;&gt;"Yes",Z278,IF(COUNT(AA278,AC278,AE278,AG278,AI278)=0,Z278,ROUND((MAX(AA278,AC278,AE278,AG278,AI278)*(1+AT278))/'Setup'!$B$9,0)*'Setup'!$B$9)))</x:f>
        <x:v>0</x:v>
      </x:c>
      <x:c r="AV278" s="336"/>
    </x:row>
    <x:row r="279">
      <x:c r="A279" s="310" t="n">
        <x:f>'Setup'!$B$3+(C279-1)*7+(D279-1)</x:f>
        <x:v>46277</x:v>
      </x:c>
      <x:c r="B279" s="311" t="str">
        <x:v>5|6|3</x:v>
      </x:c>
      <x:c r="C279" s="311" t="n">
        <x:v>5</x:v>
      </x:c>
      <x:c r="D279" s="311" t="n">
        <x:v>6</x:v>
      </x:c>
      <x:c r="E279" s="311" t="str">
        <x:v>Intensification</x:v>
      </x:c>
      <x:c r="F279" s="311" t="str">
        <x:v>Athletic Full Body</x:v>
      </x:c>
      <x:c r="G279" s="311" t="str">
        <x:v>Speed, elastic power, work capacity</x:v>
      </x:c>
      <x:c r="H279" s="311" t="n">
        <x:v>3</x:v>
      </x:c>
      <x:c r="I279" s="311" t="str">
        <x:v>Plyometric Push-Up</x:v>
      </x:c>
      <x:c r="J279" s="311" t="str">
        <x:v>Power</x:v>
      </x:c>
      <x:c r="K279" s="311" t="str">
        <x:v>Chest</x:v>
      </x:c>
      <x:c r="L279" s="311" t="str">
        <x:v>Full reset, crisp contacts</x:v>
      </x:c>
      <x:c r="M279" s="311" t="str"/>
      <x:c r="N279" s="311" t="n">
        <x:v>4</x:v>
      </x:c>
      <x:c r="O279" s="311" t="n">
        <x:v>4</x:v>
      </x:c>
      <x:c r="P279" s="311" t="n">
        <x:v>4</x:v>
      </x:c>
      <x:c r="Q279" s="311" t="n">
        <x:v>3</x:v>
      </x:c>
      <x:c r="R279" s="311" t="n">
        <x:v>60</x:v>
      </x:c>
      <x:c r="S279" s="311" t="str">
        <x:v>Explosive</x:v>
      </x:c>
      <x:c r="T279" s="330" t="n">
        <x:v>1.11</x:v>
      </x:c>
      <x:c r="U279" s="330" t="n">
        <x:v>0</x:v>
      </x:c>
      <x:c r="V279" s="331" t="str">
        <x:v>reps</x:v>
      </x:c>
      <x:c r="W279" s="332" t="str">
        <x:f>'Readiness'!K36</x:f>
      </x:c>
      <x:c r="X279" s="314" t="n">
        <x:f>'Readiness'!L36</x:f>
        <x:v>1</x:v>
      </x:c>
      <x:c r="Y279" s="315" t="n">
        <x:f>IF(J279="Mobility",N279,MAX(1,ROUND(N279*X279,0)))</x:f>
        <x:v>4</x:v>
      </x:c>
      <x:c r="Z279" s="333" t="n">
        <x:f>0</x:f>
        <x:v>0</x:v>
      </x:c>
      <x:c r="AA279" s="334"/>
      <x:c r="AB279" s="334"/>
      <x:c r="AC279" s="334"/>
      <x:c r="AD279" s="334"/>
      <x:c r="AE279" s="334"/>
      <x:c r="AF279" s="334"/>
      <x:c r="AG279" s="334"/>
      <x:c r="AH279" s="334"/>
      <x:c r="AI279" s="334"/>
      <x:c r="AJ279" s="312"/>
      <x:c r="AK279" s="312"/>
      <x:c r="AL279" s="312"/>
      <x:c r="AM279" s="312"/>
      <x:c r="AN279" s="312"/>
      <x:c r="AO279" s="315" t="n">
        <x:f>COUNT(AB279,AD279,AF279,AH279,AJ279)</x:f>
        <x:v>0</x:v>
      </x:c>
      <x:c r="AP279" s="315" t="n">
        <x:f>SUM(AB279,AD279,AF279,AH279,AJ279)</x:f>
        <x:v>0</x:v>
      </x:c>
      <x:c r="AQ279" s="333" t="n">
        <x:f>AA279*AB279+AC279*AD279+AE279*AF279+AG279*AH279+AI279*AJ279</x:f>
        <x:v>0</x:v>
      </x:c>
      <x:c r="AR279" s="333" t="n">
        <x:f>IF(OR(J279="Strength",J279="Hypertrophy"),MAX(IF(AB279&gt;0,AA279*(1+AB279/30),0),IF(AD279&gt;0,AC279*(1+AD279/30),0),IF(AF279&gt;0,AE279*(1+AF279/30),0),IF(AH279&gt;0,AG279*(1+AH279/30),0),IF(AJ279&gt;0,AI279*(1+AJ279/30),0)),0)</x:f>
        <x:v>0</x:v>
      </x:c>
      <x:c r="AS279" s="315" t="str">
        <x:f>IF(AN279&lt;&gt;"Yes","Not logged",IF(AL279&gt;='Setup'!$B$14,"STOP / MODIFY",IF(Z279=0,"Complete",IF(OR(AO279=0,AK279=""),"Add set data + RIR",IF(AND(MAX(AB279,AD279,AF279,AH279,AJ279)&gt;=P279,AK279&gt;=Q279+1),"Progress",IF(OR(MAX(AB279,AD279,AF279,AH279,AJ279)&lt;O279,AK279&lt;Q279-1),"Regress","Hold"))))))</x:f>
        <x:v>Not logged</x:v>
      </x:c>
      <x:c r="AT279" s="335" t="n">
        <x:f>IF(OR(Z279=0,AN279&lt;&gt;"Yes",AO279=0,AK279=""),0,IF(AL279&gt;='Setup'!$B$14,-2*'Setup'!$B$11,IF(AND(MAX(AB279,AD279,AF279,AH279,AJ279)&gt;=P279,AK279&gt;=Q279+1),'Setup'!$B$10,IF(OR(MAX(AB279,AD279,AF279,AH279,AJ279)&lt;O279,AK279&lt;Q279-1),-'Setup'!$B$11,0))))</x:f>
        <x:v>0</x:v>
      </x:c>
      <x:c r="AU279" s="333" t="n">
        <x:f>IF(Z279=0,0,IF(AN279&lt;&gt;"Yes",Z279,IF(COUNT(AA279,AC279,AE279,AG279,AI279)=0,Z279,ROUND((MAX(AA279,AC279,AE279,AG279,AI279)*(1+AT279))/'Setup'!$B$9,0)*'Setup'!$B$9)))</x:f>
        <x:v>0</x:v>
      </x:c>
      <x:c r="AV279" s="336"/>
    </x:row>
    <x:row r="280">
      <x:c r="A280" s="310" t="n">
        <x:f>'Setup'!$B$3+(C280-1)*7+(D280-1)</x:f>
        <x:v>46277</x:v>
      </x:c>
      <x:c r="B280" s="311" t="str">
        <x:v>5|6|4</x:v>
      </x:c>
      <x:c r="C280" s="311" t="n">
        <x:v>5</x:v>
      </x:c>
      <x:c r="D280" s="311" t="n">
        <x:v>6</x:v>
      </x:c>
      <x:c r="E280" s="311" t="str">
        <x:v>Intensification</x:v>
      </x:c>
      <x:c r="F280" s="311" t="str">
        <x:v>Athletic Full Body</x:v>
      </x:c>
      <x:c r="G280" s="311" t="str">
        <x:v>Speed, elastic power, work capacity</x:v>
      </x:c>
      <x:c r="H280" s="311" t="n">
        <x:v>4</x:v>
      </x:c>
      <x:c r="I280" s="311" t="str">
        <x:v>Kettlebell Swing</x:v>
      </x:c>
      <x:c r="J280" s="311" t="str">
        <x:v>Power</x:v>
      </x:c>
      <x:c r="K280" s="311" t="str">
        <x:v>Hamstrings</x:v>
      </x:c>
      <x:c r="L280" s="311" t="str">
        <x:v>Ballistic hinge</x:v>
      </x:c>
      <x:c r="M280" s="311" t="str"/>
      <x:c r="N280" s="311" t="n">
        <x:v>5</x:v>
      </x:c>
      <x:c r="O280" s="311" t="n">
        <x:v>5</x:v>
      </x:c>
      <x:c r="P280" s="311" t="n">
        <x:v>5</x:v>
      </x:c>
      <x:c r="Q280" s="311" t="n">
        <x:v>3</x:v>
      </x:c>
      <x:c r="R280" s="311" t="n">
        <x:v>60</x:v>
      </x:c>
      <x:c r="S280" s="311" t="str">
        <x:v>Explosive</x:v>
      </x:c>
      <x:c r="T280" s="330" t="n">
        <x:v>1.11</x:v>
      </x:c>
      <x:c r="U280" s="330" t="n">
        <x:v>0</x:v>
      </x:c>
      <x:c r="V280" s="331" t="str">
        <x:v>load × reps</x:v>
      </x:c>
      <x:c r="W280" s="332" t="str">
        <x:f>'Readiness'!K36</x:f>
      </x:c>
      <x:c r="X280" s="314" t="n">
        <x:f>'Readiness'!L36</x:f>
        <x:v>1</x:v>
      </x:c>
      <x:c r="Y280" s="315" t="n">
        <x:f>IF(J280="Mobility",N280,MAX(1,ROUND(N280*X280,0)))</x:f>
        <x:v>5</x:v>
      </x:c>
      <x:c r="Z280" s="333" t="n">
        <x:f>IF('Setup'!$D$54&gt;0,'Setup'!$D$54,0)</x:f>
        <x:v>0</x:v>
      </x:c>
      <x:c r="AA280" s="334"/>
      <x:c r="AB280" s="334"/>
      <x:c r="AC280" s="334"/>
      <x:c r="AD280" s="334"/>
      <x:c r="AE280" s="334"/>
      <x:c r="AF280" s="334"/>
      <x:c r="AG280" s="334"/>
      <x:c r="AH280" s="334"/>
      <x:c r="AI280" s="334"/>
      <x:c r="AJ280" s="312"/>
      <x:c r="AK280" s="312"/>
      <x:c r="AL280" s="312"/>
      <x:c r="AM280" s="312"/>
      <x:c r="AN280" s="312"/>
      <x:c r="AO280" s="315" t="n">
        <x:f>COUNT(AB280,AD280,AF280,AH280,AJ280)</x:f>
        <x:v>0</x:v>
      </x:c>
      <x:c r="AP280" s="315" t="n">
        <x:f>SUM(AB280,AD280,AF280,AH280,AJ280)</x:f>
        <x:v>0</x:v>
      </x:c>
      <x:c r="AQ280" s="333" t="n">
        <x:f>AA280*AB280+AC280*AD280+AE280*AF280+AG280*AH280+AI280*AJ280</x:f>
        <x:v>0</x:v>
      </x:c>
      <x:c r="AR280" s="333" t="n">
        <x:f>IF(OR(J280="Strength",J280="Hypertrophy"),MAX(IF(AB280&gt;0,AA280*(1+AB280/30),0),IF(AD280&gt;0,AC280*(1+AD280/30),0),IF(AF280&gt;0,AE280*(1+AF280/30),0),IF(AH280&gt;0,AG280*(1+AH280/30),0),IF(AJ280&gt;0,AI280*(1+AJ280/30),0)),0)</x:f>
        <x:v>0</x:v>
      </x:c>
      <x:c r="AS280" s="315" t="str">
        <x:f>IF(AN280&lt;&gt;"Yes","Not logged",IF(AL280&gt;='Setup'!$B$14,"STOP / MODIFY",IF(Z280=0,"Complete",IF(OR(AO280=0,AK280=""),"Add set data + RIR",IF(AND(MAX(AB280,AD280,AF280,AH280,AJ280)&gt;=P280,AK280&gt;=Q280+1),"Progress",IF(OR(MAX(AB280,AD280,AF280,AH280,AJ280)&lt;O280,AK280&lt;Q280-1),"Regress","Hold"))))))</x:f>
        <x:v>Not logged</x:v>
      </x:c>
      <x:c r="AT280" s="335" t="n">
        <x:f>IF(OR(Z280=0,AN280&lt;&gt;"Yes",AO280=0,AK280=""),0,IF(AL280&gt;='Setup'!$B$14,-2*'Setup'!$B$11,IF(AND(MAX(AB280,AD280,AF280,AH280,AJ280)&gt;=P280,AK280&gt;=Q280+1),'Setup'!$B$10,IF(OR(MAX(AB280,AD280,AF280,AH280,AJ280)&lt;O280,AK280&lt;Q280-1),-'Setup'!$B$11,0))))</x:f>
        <x:v>0</x:v>
      </x:c>
      <x:c r="AU280" s="333" t="n">
        <x:f>IF(Z280=0,0,IF(AN280&lt;&gt;"Yes",Z280,IF(COUNT(AA280,AC280,AE280,AG280,AI280)=0,Z280,ROUND((MAX(AA280,AC280,AE280,AG280,AI280)*(1+AT280))/'Setup'!$B$9,0)*'Setup'!$B$9)))</x:f>
        <x:v>0</x:v>
      </x:c>
      <x:c r="AV280" s="336"/>
    </x:row>
    <x:row r="281">
      <x:c r="A281" s="310" t="n">
        <x:f>'Setup'!$B$3+(C281-1)*7+(D281-1)</x:f>
        <x:v>46277</x:v>
      </x:c>
      <x:c r="B281" s="311" t="str">
        <x:v>5|6|5</x:v>
      </x:c>
      <x:c r="C281" s="311" t="n">
        <x:v>5</x:v>
      </x:c>
      <x:c r="D281" s="311" t="n">
        <x:v>6</x:v>
      </x:c>
      <x:c r="E281" s="311" t="str">
        <x:v>Intensification</x:v>
      </x:c>
      <x:c r="F281" s="311" t="str">
        <x:v>Athletic Full Body</x:v>
      </x:c>
      <x:c r="G281" s="311" t="str">
        <x:v>Speed, elastic power, work capacity</x:v>
      </x:c>
      <x:c r="H281" s="311" t="n">
        <x:v>5</x:v>
      </x:c>
      <x:c r="I281" s="311" t="str">
        <x:v>Sled Push</x:v>
      </x:c>
      <x:c r="J281" s="311" t="str">
        <x:v>Athletic</x:v>
      </x:c>
      <x:c r="K281" s="311" t="str">
        <x:v>Quads</x:v>
      </x:c>
      <x:c r="L281" s="311" t="str">
        <x:v>Fast, powerful steps</x:v>
      </x:c>
      <x:c r="M281" s="311" t="str"/>
      <x:c r="N281" s="311" t="n">
        <x:v>6</x:v>
      </x:c>
      <x:c r="O281" s="311" t="n">
        <x:v>20</x:v>
      </x:c>
      <x:c r="P281" s="311" t="n">
        <x:v>20</x:v>
      </x:c>
      <x:c r="Q281" s="311" t="n">
        <x:v>3</x:v>
      </x:c>
      <x:c r="R281" s="311" t="n">
        <x:v>75</x:v>
      </x:c>
      <x:c r="S281" s="311" t="str">
        <x:v>Fast</x:v>
      </x:c>
      <x:c r="T281" s="330" t="n">
        <x:v>1.11</x:v>
      </x:c>
      <x:c r="U281" s="330" t="n">
        <x:v>0</x:v>
      </x:c>
      <x:c r="V281" s="331" t="str">
        <x:v>load + meters</x:v>
      </x:c>
      <x:c r="W281" s="332" t="str">
        <x:f>'Readiness'!K36</x:f>
      </x:c>
      <x:c r="X281" s="314" t="n">
        <x:f>'Readiness'!L36</x:f>
        <x:v>1</x:v>
      </x:c>
      <x:c r="Y281" s="315" t="n">
        <x:f>IF(J281="Mobility",N281,MAX(1,ROUND(N281*X281,0)))</x:f>
        <x:v>6</x:v>
      </x:c>
      <x:c r="Z281" s="333" t="n">
        <x:f>0</x:f>
        <x:v>0</x:v>
      </x:c>
      <x:c r="AA281" s="334"/>
      <x:c r="AB281" s="334"/>
      <x:c r="AC281" s="334"/>
      <x:c r="AD281" s="334"/>
      <x:c r="AE281" s="334"/>
      <x:c r="AF281" s="334"/>
      <x:c r="AG281" s="334"/>
      <x:c r="AH281" s="334"/>
      <x:c r="AI281" s="334"/>
      <x:c r="AJ281" s="312"/>
      <x:c r="AK281" s="312"/>
      <x:c r="AL281" s="312"/>
      <x:c r="AM281" s="312"/>
      <x:c r="AN281" s="312"/>
      <x:c r="AO281" s="315" t="n">
        <x:f>COUNT(AB281,AD281,AF281,AH281,AJ281)</x:f>
        <x:v>0</x:v>
      </x:c>
      <x:c r="AP281" s="315" t="n">
        <x:f>SUM(AB281,AD281,AF281,AH281,AJ281)</x:f>
        <x:v>0</x:v>
      </x:c>
      <x:c r="AQ281" s="333" t="n">
        <x:f>AA281*AB281+AC281*AD281+AE281*AF281+AG281*AH281+AI281*AJ281</x:f>
        <x:v>0</x:v>
      </x:c>
      <x:c r="AR281" s="333" t="n">
        <x:f>IF(OR(J281="Strength",J281="Hypertrophy"),MAX(IF(AB281&gt;0,AA281*(1+AB281/30),0),IF(AD281&gt;0,AC281*(1+AD281/30),0),IF(AF281&gt;0,AE281*(1+AF281/30),0),IF(AH281&gt;0,AG281*(1+AH281/30),0),IF(AJ281&gt;0,AI281*(1+AJ281/30),0)),0)</x:f>
        <x:v>0</x:v>
      </x:c>
      <x:c r="AS281" s="315" t="str">
        <x:f>IF(AN281&lt;&gt;"Yes","Not logged",IF(AL281&gt;='Setup'!$B$14,"STOP / MODIFY",IF(Z281=0,"Complete",IF(OR(AO281=0,AK281=""),"Add set data + RIR",IF(AND(MAX(AB281,AD281,AF281,AH281,AJ281)&gt;=P281,AK281&gt;=Q281+1),"Progress",IF(OR(MAX(AB281,AD281,AF281,AH281,AJ281)&lt;O281,AK281&lt;Q281-1),"Regress","Hold"))))))</x:f>
        <x:v>Not logged</x:v>
      </x:c>
      <x:c r="AT281" s="335" t="n">
        <x:f>IF(OR(Z281=0,AN281&lt;&gt;"Yes",AO281=0,AK281=""),0,IF(AL281&gt;='Setup'!$B$14,-2*'Setup'!$B$11,IF(AND(MAX(AB281,AD281,AF281,AH281,AJ281)&gt;=P281,AK281&gt;=Q281+1),'Setup'!$B$10,IF(OR(MAX(AB281,AD281,AF281,AH281,AJ281)&lt;O281,AK281&lt;Q281-1),-'Setup'!$B$11,0))))</x:f>
        <x:v>0</x:v>
      </x:c>
      <x:c r="AU281" s="333" t="n">
        <x:f>IF(Z281=0,0,IF(AN281&lt;&gt;"Yes",Z281,IF(COUNT(AA281,AC281,AE281,AG281,AI281)=0,Z281,ROUND((MAX(AA281,AC281,AE281,AG281,AI281)*(1+AT281))/'Setup'!$B$9,0)*'Setup'!$B$9)))</x:f>
        <x:v>0</x:v>
      </x:c>
      <x:c r="AV281" s="336"/>
    </x:row>
    <x:row r="282">
      <x:c r="A282" s="310" t="n">
        <x:f>'Setup'!$B$3+(C282-1)*7+(D282-1)</x:f>
        <x:v>46277</x:v>
      </x:c>
      <x:c r="B282" s="311" t="str">
        <x:v>5|6|6</x:v>
      </x:c>
      <x:c r="C282" s="311" t="n">
        <x:v>5</x:v>
      </x:c>
      <x:c r="D282" s="311" t="n">
        <x:v>6</x:v>
      </x:c>
      <x:c r="E282" s="311" t="str">
        <x:v>Intensification</x:v>
      </x:c>
      <x:c r="F282" s="311" t="str">
        <x:v>Athletic Full Body</x:v>
      </x:c>
      <x:c r="G282" s="311" t="str">
        <x:v>Speed, elastic power, work capacity</x:v>
      </x:c>
      <x:c r="H282" s="311" t="n">
        <x:v>6</x:v>
      </x:c>
      <x:c r="I282" s="311" t="str">
        <x:v>Single-Leg Romanian Deadlift</x:v>
      </x:c>
      <x:c r="J282" s="311" t="str">
        <x:v>Hypertrophy</x:v>
      </x:c>
      <x:c r="K282" s="311" t="str">
        <x:v>Hamstrings</x:v>
      </x:c>
      <x:c r="L282" s="311" t="str">
        <x:v>Straight sets</x:v>
      </x:c>
      <x:c r="M282" s="311" t="str"/>
      <x:c r="N282" s="311" t="n">
        <x:v>3</x:v>
      </x:c>
      <x:c r="O282" s="311" t="n">
        <x:v>8</x:v>
      </x:c>
      <x:c r="P282" s="311" t="n">
        <x:v>10</x:v>
      </x:c>
      <x:c r="Q282" s="311" t="n">
        <x:v>3</x:v>
      </x:c>
      <x:c r="R282" s="311" t="n">
        <x:v>75</x:v>
      </x:c>
      <x:c r="S282" s="311" t="str">
        <x:v>3-1-1</x:v>
      </x:c>
      <x:c r="T282" s="330" t="n">
        <x:v>1.11</x:v>
      </x:c>
      <x:c r="U282" s="330" t="n">
        <x:v>0</x:v>
      </x:c>
      <x:c r="V282" s="331" t="str">
        <x:v>load × reps</x:v>
      </x:c>
      <x:c r="W282" s="332" t="str">
        <x:f>'Readiness'!K36</x:f>
      </x:c>
      <x:c r="X282" s="314" t="n">
        <x:f>'Readiness'!L36</x:f>
        <x:v>1</x:v>
      </x:c>
      <x:c r="Y282" s="315" t="n">
        <x:f>IF(J282="Mobility",N282,MAX(1,ROUND(N282*X282,0)))</x:f>
        <x:v>3</x:v>
      </x:c>
      <x:c r="Z282" s="333" t="n">
        <x:f>IF('Setup'!$D$86&gt;0,'Setup'!$D$86,0)</x:f>
        <x:v>0</x:v>
      </x:c>
      <x:c r="AA282" s="334"/>
      <x:c r="AB282" s="334"/>
      <x:c r="AC282" s="334"/>
      <x:c r="AD282" s="334"/>
      <x:c r="AE282" s="334"/>
      <x:c r="AF282" s="334"/>
      <x:c r="AG282" s="334"/>
      <x:c r="AH282" s="334"/>
      <x:c r="AI282" s="334"/>
      <x:c r="AJ282" s="312"/>
      <x:c r="AK282" s="312"/>
      <x:c r="AL282" s="312"/>
      <x:c r="AM282" s="312"/>
      <x:c r="AN282" s="312"/>
      <x:c r="AO282" s="315" t="n">
        <x:f>COUNT(AB282,AD282,AF282,AH282,AJ282)</x:f>
        <x:v>0</x:v>
      </x:c>
      <x:c r="AP282" s="315" t="n">
        <x:f>SUM(AB282,AD282,AF282,AH282,AJ282)</x:f>
        <x:v>0</x:v>
      </x:c>
      <x:c r="AQ282" s="333" t="n">
        <x:f>AA282*AB282+AC282*AD282+AE282*AF282+AG282*AH282+AI282*AJ282</x:f>
        <x:v>0</x:v>
      </x:c>
      <x:c r="AR282" s="333" t="n">
        <x:f>IF(OR(J282="Strength",J282="Hypertrophy"),MAX(IF(AB282&gt;0,AA282*(1+AB282/30),0),IF(AD282&gt;0,AC282*(1+AD282/30),0),IF(AF282&gt;0,AE282*(1+AF282/30),0),IF(AH282&gt;0,AG282*(1+AH282/30),0),IF(AJ282&gt;0,AI282*(1+AJ282/30),0)),0)</x:f>
        <x:v>0</x:v>
      </x:c>
      <x:c r="AS282" s="315" t="str">
        <x:f>IF(AN282&lt;&gt;"Yes","Not logged",IF(AL282&gt;='Setup'!$B$14,"STOP / MODIFY",IF(Z282=0,"Complete",IF(OR(AO282=0,AK282=""),"Add set data + RIR",IF(AND(MAX(AB282,AD282,AF282,AH282,AJ282)&gt;=P282,AK282&gt;=Q282+1),"Progress",IF(OR(MAX(AB282,AD282,AF282,AH282,AJ282)&lt;O282,AK282&lt;Q282-1),"Regress","Hold"))))))</x:f>
        <x:v>Not logged</x:v>
      </x:c>
      <x:c r="AT282" s="335" t="n">
        <x:f>IF(OR(Z282=0,AN282&lt;&gt;"Yes",AO282=0,AK282=""),0,IF(AL282&gt;='Setup'!$B$14,-2*'Setup'!$B$11,IF(AND(MAX(AB282,AD282,AF282,AH282,AJ282)&gt;=P282,AK282&gt;=Q282+1),'Setup'!$B$10,IF(OR(MAX(AB282,AD282,AF282,AH282,AJ282)&lt;O282,AK282&lt;Q282-1),-'Setup'!$B$11,0))))</x:f>
        <x:v>0</x:v>
      </x:c>
      <x:c r="AU282" s="333" t="n">
        <x:f>IF(Z282=0,0,IF(AN282&lt;&gt;"Yes",Z282,IF(COUNT(AA282,AC282,AE282,AG282,AI282)=0,Z282,ROUND((MAX(AA282,AC282,AE282,AG282,AI282)*(1+AT282))/'Setup'!$B$9,0)*'Setup'!$B$9)))</x:f>
        <x:v>0</x:v>
      </x:c>
      <x:c r="AV282" s="336"/>
    </x:row>
    <x:row r="283">
      <x:c r="A283" s="310" t="n">
        <x:f>'Setup'!$B$3+(C283-1)*7+(D283-1)</x:f>
        <x:v>46277</x:v>
      </x:c>
      <x:c r="B283" s="311" t="str">
        <x:v>5|6|7</x:v>
      </x:c>
      <x:c r="C283" s="311" t="n">
        <x:v>5</x:v>
      </x:c>
      <x:c r="D283" s="311" t="n">
        <x:v>6</x:v>
      </x:c>
      <x:c r="E283" s="311" t="str">
        <x:v>Intensification</x:v>
      </x:c>
      <x:c r="F283" s="311" t="str">
        <x:v>Athletic Full Body</x:v>
      </x:c>
      <x:c r="G283" s="311" t="str">
        <x:v>Speed, elastic power, work capacity</x:v>
      </x:c>
      <x:c r="H283" s="311" t="n">
        <x:v>7</x:v>
      </x:c>
      <x:c r="I283" s="311" t="str">
        <x:v>Pull-Up</x:v>
      </x:c>
      <x:c r="J283" s="311" t="str">
        <x:v>Hypertrophy</x:v>
      </x:c>
      <x:c r="K283" s="311" t="str">
        <x:v>Back</x:v>
      </x:c>
      <x:c r="L283" s="311" t="str">
        <x:v>Straight sets</x:v>
      </x:c>
      <x:c r="M283" s="311" t="str"/>
      <x:c r="N283" s="311" t="n">
        <x:v>3</x:v>
      </x:c>
      <x:c r="O283" s="311" t="n">
        <x:v>6</x:v>
      </x:c>
      <x:c r="P283" s="311" t="n">
        <x:v>10</x:v>
      </x:c>
      <x:c r="Q283" s="311" t="n">
        <x:v>3</x:v>
      </x:c>
      <x:c r="R283" s="311" t="n">
        <x:v>75</x:v>
      </x:c>
      <x:c r="S283" s="311" t="str">
        <x:v>2-1-1</x:v>
      </x:c>
      <x:c r="T283" s="330" t="n">
        <x:v>1.11</x:v>
      </x:c>
      <x:c r="U283" s="330" t="n">
        <x:v>0</x:v>
      </x:c>
      <x:c r="V283" s="331" t="str">
        <x:v>reps</x:v>
      </x:c>
      <x:c r="W283" s="332" t="str">
        <x:f>'Readiness'!K36</x:f>
      </x:c>
      <x:c r="X283" s="314" t="n">
        <x:f>'Readiness'!L36</x:f>
        <x:v>1</x:v>
      </x:c>
      <x:c r="Y283" s="315" t="n">
        <x:f>IF(J283="Mobility",N283,MAX(1,ROUND(N283*X283,0)))</x:f>
        <x:v>3</x:v>
      </x:c>
      <x:c r="Z283" s="333" t="n">
        <x:f>0</x:f>
        <x:v>0</x:v>
      </x:c>
      <x:c r="AA283" s="334"/>
      <x:c r="AB283" s="334"/>
      <x:c r="AC283" s="334"/>
      <x:c r="AD283" s="334"/>
      <x:c r="AE283" s="334"/>
      <x:c r="AF283" s="334"/>
      <x:c r="AG283" s="334"/>
      <x:c r="AH283" s="334"/>
      <x:c r="AI283" s="334"/>
      <x:c r="AJ283" s="312"/>
      <x:c r="AK283" s="312"/>
      <x:c r="AL283" s="312"/>
      <x:c r="AM283" s="312"/>
      <x:c r="AN283" s="312"/>
      <x:c r="AO283" s="315" t="n">
        <x:f>COUNT(AB283,AD283,AF283,AH283,AJ283)</x:f>
        <x:v>0</x:v>
      </x:c>
      <x:c r="AP283" s="315" t="n">
        <x:f>SUM(AB283,AD283,AF283,AH283,AJ283)</x:f>
        <x:v>0</x:v>
      </x:c>
      <x:c r="AQ283" s="333" t="n">
        <x:f>AA283*AB283+AC283*AD283+AE283*AF283+AG283*AH283+AI283*AJ283</x:f>
        <x:v>0</x:v>
      </x:c>
      <x:c r="AR283" s="333" t="n">
        <x:f>IF(OR(J283="Strength",J283="Hypertrophy"),MAX(IF(AB283&gt;0,AA283*(1+AB283/30),0),IF(AD283&gt;0,AC283*(1+AD283/30),0),IF(AF283&gt;0,AE283*(1+AF283/30),0),IF(AH283&gt;0,AG283*(1+AH283/30),0),IF(AJ283&gt;0,AI283*(1+AJ283/30),0)),0)</x:f>
        <x:v>0</x:v>
      </x:c>
      <x:c r="AS283" s="315" t="str">
        <x:f>IF(AN283&lt;&gt;"Yes","Not logged",IF(AL283&gt;='Setup'!$B$14,"STOP / MODIFY",IF(Z283=0,"Complete",IF(OR(AO283=0,AK283=""),"Add set data + RIR",IF(AND(MAX(AB283,AD283,AF283,AH283,AJ283)&gt;=P283,AK283&gt;=Q283+1),"Progress",IF(OR(MAX(AB283,AD283,AF283,AH283,AJ283)&lt;O283,AK283&lt;Q283-1),"Regress","Hold"))))))</x:f>
        <x:v>Not logged</x:v>
      </x:c>
      <x:c r="AT283" s="335" t="n">
        <x:f>IF(OR(Z283=0,AN283&lt;&gt;"Yes",AO283=0,AK283=""),0,IF(AL283&gt;='Setup'!$B$14,-2*'Setup'!$B$11,IF(AND(MAX(AB283,AD283,AF283,AH283,AJ283)&gt;=P283,AK283&gt;=Q283+1),'Setup'!$B$10,IF(OR(MAX(AB283,AD283,AF283,AH283,AJ283)&lt;O283,AK283&lt;Q283-1),-'Setup'!$B$11,0))))</x:f>
        <x:v>0</x:v>
      </x:c>
      <x:c r="AU283" s="333" t="n">
        <x:f>IF(Z283=0,0,IF(AN283&lt;&gt;"Yes",Z283,IF(COUNT(AA283,AC283,AE283,AG283,AI283)=0,Z283,ROUND((MAX(AA283,AC283,AE283,AG283,AI283)*(1+AT283))/'Setup'!$B$9,0)*'Setup'!$B$9)))</x:f>
        <x:v>0</x:v>
      </x:c>
      <x:c r="AV283" s="336"/>
    </x:row>
    <x:row r="284">
      <x:c r="A284" s="310" t="n">
        <x:f>'Setup'!$B$3+(C284-1)*7+(D284-1)</x:f>
        <x:v>46277</x:v>
      </x:c>
      <x:c r="B284" s="311" t="str">
        <x:v>5|6|8</x:v>
      </x:c>
      <x:c r="C284" s="311" t="n">
        <x:v>5</x:v>
      </x:c>
      <x:c r="D284" s="311" t="n">
        <x:v>6</x:v>
      </x:c>
      <x:c r="E284" s="311" t="str">
        <x:v>Intensification</x:v>
      </x:c>
      <x:c r="F284" s="311" t="str">
        <x:v>Athletic Full Body</x:v>
      </x:c>
      <x:c r="G284" s="311" t="str">
        <x:v>Speed, elastic power, work capacity</x:v>
      </x:c>
      <x:c r="H284" s="311" t="n">
        <x:v>8</x:v>
      </x:c>
      <x:c r="I284" s="311" t="str">
        <x:v>Pallof Press</x:v>
      </x:c>
      <x:c r="J284" s="311" t="str">
        <x:v>Hypertrophy</x:v>
      </x:c>
      <x:c r="K284" s="311" t="str">
        <x:v>Core</x:v>
      </x:c>
      <x:c r="L284" s="311" t="str">
        <x:v>Anti-rotation control</x:v>
      </x:c>
      <x:c r="M284" s="311" t="str"/>
      <x:c r="N284" s="311" t="n">
        <x:v>3</x:v>
      </x:c>
      <x:c r="O284" s="311" t="n">
        <x:v>10</x:v>
      </x:c>
      <x:c r="P284" s="311" t="n">
        <x:v>12</x:v>
      </x:c>
      <x:c r="Q284" s="311" t="n">
        <x:v>3</x:v>
      </x:c>
      <x:c r="R284" s="311" t="n">
        <x:v>45</x:v>
      </x:c>
      <x:c r="S284" s="311" t="str">
        <x:v>2-1-2</x:v>
      </x:c>
      <x:c r="T284" s="330" t="n">
        <x:v>1.11</x:v>
      </x:c>
      <x:c r="U284" s="330" t="n">
        <x:v>0</x:v>
      </x:c>
      <x:c r="V284" s="331" t="str">
        <x:v>load × reps</x:v>
      </x:c>
      <x:c r="W284" s="332" t="str">
        <x:f>'Readiness'!K36</x:f>
      </x:c>
      <x:c r="X284" s="314" t="n">
        <x:f>'Readiness'!L36</x:f>
        <x:v>1</x:v>
      </x:c>
      <x:c r="Y284" s="315" t="n">
        <x:f>IF(J284="Mobility",N284,MAX(1,ROUND(N284*X284,0)))</x:f>
        <x:v>3</x:v>
      </x:c>
      <x:c r="Z284" s="333" t="n">
        <x:f>IF('Setup'!$D$71&gt;0,'Setup'!$D$71,0)</x:f>
        <x:v>0</x:v>
      </x:c>
      <x:c r="AA284" s="334"/>
      <x:c r="AB284" s="334"/>
      <x:c r="AC284" s="334"/>
      <x:c r="AD284" s="334"/>
      <x:c r="AE284" s="334"/>
      <x:c r="AF284" s="334"/>
      <x:c r="AG284" s="334"/>
      <x:c r="AH284" s="334"/>
      <x:c r="AI284" s="334"/>
      <x:c r="AJ284" s="312"/>
      <x:c r="AK284" s="312"/>
      <x:c r="AL284" s="312"/>
      <x:c r="AM284" s="312"/>
      <x:c r="AN284" s="312"/>
      <x:c r="AO284" s="315" t="n">
        <x:f>COUNT(AB284,AD284,AF284,AH284,AJ284)</x:f>
        <x:v>0</x:v>
      </x:c>
      <x:c r="AP284" s="315" t="n">
        <x:f>SUM(AB284,AD284,AF284,AH284,AJ284)</x:f>
        <x:v>0</x:v>
      </x:c>
      <x:c r="AQ284" s="333" t="n">
        <x:f>AA284*AB284+AC284*AD284+AE284*AF284+AG284*AH284+AI284*AJ284</x:f>
        <x:v>0</x:v>
      </x:c>
      <x:c r="AR284" s="333" t="n">
        <x:f>IF(OR(J284="Strength",J284="Hypertrophy"),MAX(IF(AB284&gt;0,AA284*(1+AB284/30),0),IF(AD284&gt;0,AC284*(1+AD284/30),0),IF(AF284&gt;0,AE284*(1+AF284/30),0),IF(AH284&gt;0,AG284*(1+AH284/30),0),IF(AJ284&gt;0,AI284*(1+AJ284/30),0)),0)</x:f>
        <x:v>0</x:v>
      </x:c>
      <x:c r="AS284" s="315" t="str">
        <x:f>IF(AN284&lt;&gt;"Yes","Not logged",IF(AL284&gt;='Setup'!$B$14,"STOP / MODIFY",IF(Z284=0,"Complete",IF(OR(AO284=0,AK284=""),"Add set data + RIR",IF(AND(MAX(AB284,AD284,AF284,AH284,AJ284)&gt;=P284,AK284&gt;=Q284+1),"Progress",IF(OR(MAX(AB284,AD284,AF284,AH284,AJ284)&lt;O284,AK284&lt;Q284-1),"Regress","Hold"))))))</x:f>
        <x:v>Not logged</x:v>
      </x:c>
      <x:c r="AT284" s="335" t="n">
        <x:f>IF(OR(Z284=0,AN284&lt;&gt;"Yes",AO284=0,AK284=""),0,IF(AL284&gt;='Setup'!$B$14,-2*'Setup'!$B$11,IF(AND(MAX(AB284,AD284,AF284,AH284,AJ284)&gt;=P284,AK284&gt;=Q284+1),'Setup'!$B$10,IF(OR(MAX(AB284,AD284,AF284,AH284,AJ284)&lt;O284,AK284&lt;Q284-1),-'Setup'!$B$11,0))))</x:f>
        <x:v>0</x:v>
      </x:c>
      <x:c r="AU284" s="333" t="n">
        <x:f>IF(Z284=0,0,IF(AN284&lt;&gt;"Yes",Z284,IF(COUNT(AA284,AC284,AE284,AG284,AI284)=0,Z284,ROUND((MAX(AA284,AC284,AE284,AG284,AI284)*(1+AT284))/'Setup'!$B$9,0)*'Setup'!$B$9)))</x:f>
        <x:v>0</x:v>
      </x:c>
      <x:c r="AV284" s="336"/>
    </x:row>
    <x:row r="285">
      <x:c r="A285" s="310" t="n">
        <x:f>'Setup'!$B$3+(C285-1)*7+(D285-1)</x:f>
        <x:v>46277</x:v>
      </x:c>
      <x:c r="B285" s="311" t="str">
        <x:v>5|6|9</x:v>
      </x:c>
      <x:c r="C285" s="311" t="n">
        <x:v>5</x:v>
      </x:c>
      <x:c r="D285" s="311" t="n">
        <x:v>6</x:v>
      </x:c>
      <x:c r="E285" s="311" t="str">
        <x:v>Intensification</x:v>
      </x:c>
      <x:c r="F285" s="311" t="str">
        <x:v>Athletic Full Body</x:v>
      </x:c>
      <x:c r="G285" s="311" t="str">
        <x:v>Speed, elastic power, work capacity</x:v>
      </x:c>
      <x:c r="H285" s="311" t="n">
        <x:v>9</x:v>
      </x:c>
      <x:c r="I285" s="311" t="str">
        <x:v>RowErg Sprint Intervals</x:v>
      </x:c>
      <x:c r="J285" s="311" t="str">
        <x:v>Athletic</x:v>
      </x:c>
      <x:c r="K285" s="311" t="str">
        <x:v>Full Body</x:v>
      </x:c>
      <x:c r="L285" s="311" t="str">
        <x:v>20 s hard / 70 s easy</x:v>
      </x:c>
      <x:c r="M285" s="311" t="str"/>
      <x:c r="N285" s="311" t="n">
        <x:v>6</x:v>
      </x:c>
      <x:c r="O285" s="311" t="n">
        <x:v>20</x:v>
      </x:c>
      <x:c r="P285" s="311" t="n">
        <x:v>20</x:v>
      </x:c>
      <x:c r="Q285" s="311" t="n">
        <x:v>3</x:v>
      </x:c>
      <x:c r="R285" s="311" t="n">
        <x:v>70</x:v>
      </x:c>
      <x:c r="S285" s="311" t="str">
        <x:v>Powerful</x:v>
      </x:c>
      <x:c r="T285" s="330" t="n">
        <x:v>1.11</x:v>
      </x:c>
      <x:c r="U285" s="330" t="n">
        <x:v>0</x:v>
      </x:c>
      <x:c r="V285" s="331" t="str">
        <x:v>watts / meters</x:v>
      </x:c>
      <x:c r="W285" s="332" t="str">
        <x:f>'Readiness'!K36</x:f>
      </x:c>
      <x:c r="X285" s="314" t="n">
        <x:f>'Readiness'!L36</x:f>
        <x:v>1</x:v>
      </x:c>
      <x:c r="Y285" s="315" t="n">
        <x:f>IF(J285="Mobility",N285,MAX(1,ROUND(N285*X285,0)))</x:f>
        <x:v>6</x:v>
      </x:c>
      <x:c r="Z285" s="333" t="n">
        <x:f>0</x:f>
        <x:v>0</x:v>
      </x:c>
      <x:c r="AA285" s="334"/>
      <x:c r="AB285" s="334"/>
      <x:c r="AC285" s="334"/>
      <x:c r="AD285" s="334"/>
      <x:c r="AE285" s="334"/>
      <x:c r="AF285" s="334"/>
      <x:c r="AG285" s="334"/>
      <x:c r="AH285" s="334"/>
      <x:c r="AI285" s="334"/>
      <x:c r="AJ285" s="312"/>
      <x:c r="AK285" s="312"/>
      <x:c r="AL285" s="312"/>
      <x:c r="AM285" s="312"/>
      <x:c r="AN285" s="312"/>
      <x:c r="AO285" s="315" t="n">
        <x:f>COUNT(AB285,AD285,AF285,AH285,AJ285)</x:f>
        <x:v>0</x:v>
      </x:c>
      <x:c r="AP285" s="315" t="n">
        <x:f>SUM(AB285,AD285,AF285,AH285,AJ285)</x:f>
        <x:v>0</x:v>
      </x:c>
      <x:c r="AQ285" s="333" t="n">
        <x:f>AA285*AB285+AC285*AD285+AE285*AF285+AG285*AH285+AI285*AJ285</x:f>
        <x:v>0</x:v>
      </x:c>
      <x:c r="AR285" s="333" t="n">
        <x:f>IF(OR(J285="Strength",J285="Hypertrophy"),MAX(IF(AB285&gt;0,AA285*(1+AB285/30),0),IF(AD285&gt;0,AC285*(1+AD285/30),0),IF(AF285&gt;0,AE285*(1+AF285/30),0),IF(AH285&gt;0,AG285*(1+AH285/30),0),IF(AJ285&gt;0,AI285*(1+AJ285/30),0)),0)</x:f>
        <x:v>0</x:v>
      </x:c>
      <x:c r="AS285" s="315" t="str">
        <x:f>IF(AN285&lt;&gt;"Yes","Not logged",IF(AL285&gt;='Setup'!$B$14,"STOP / MODIFY",IF(Z285=0,"Complete",IF(OR(AO285=0,AK285=""),"Add set data + RIR",IF(AND(MAX(AB285,AD285,AF285,AH285,AJ285)&gt;=P285,AK285&gt;=Q285+1),"Progress",IF(OR(MAX(AB285,AD285,AF285,AH285,AJ285)&lt;O285,AK285&lt;Q285-1),"Regress","Hold"))))))</x:f>
        <x:v>Not logged</x:v>
      </x:c>
      <x:c r="AT285" s="335" t="n">
        <x:f>IF(OR(Z285=0,AN285&lt;&gt;"Yes",AO285=0,AK285=""),0,IF(AL285&gt;='Setup'!$B$14,-2*'Setup'!$B$11,IF(AND(MAX(AB285,AD285,AF285,AH285,AJ285)&gt;=P285,AK285&gt;=Q285+1),'Setup'!$B$10,IF(OR(MAX(AB285,AD285,AF285,AH285,AJ285)&lt;O285,AK285&lt;Q285-1),-'Setup'!$B$11,0))))</x:f>
        <x:v>0</x:v>
      </x:c>
      <x:c r="AU285" s="333" t="n">
        <x:f>IF(Z285=0,0,IF(AN285&lt;&gt;"Yes",Z285,IF(COUNT(AA285,AC285,AE285,AG285,AI285)=0,Z285,ROUND((MAX(AA285,AC285,AE285,AG285,AI285)*(1+AT285))/'Setup'!$B$9,0)*'Setup'!$B$9)))</x:f>
        <x:v>0</x:v>
      </x:c>
      <x:c r="AV285" s="336"/>
    </x:row>
    <x:row r="286">
      <x:c r="A286" s="310" t="n">
        <x:f>'Setup'!$B$3+(C286-1)*7+(D286-1)</x:f>
        <x:v>46277</x:v>
      </x:c>
      <x:c r="B286" s="311" t="str">
        <x:v>5|6|10</x:v>
      </x:c>
      <x:c r="C286" s="311" t="n">
        <x:v>5</x:v>
      </x:c>
      <x:c r="D286" s="311" t="n">
        <x:v>6</x:v>
      </x:c>
      <x:c r="E286" s="311" t="str">
        <x:v>Intensification</x:v>
      </x:c>
      <x:c r="F286" s="311" t="str">
        <x:v>Athletic Full Body</x:v>
      </x:c>
      <x:c r="G286" s="311" t="str">
        <x:v>Speed, elastic power, work capacity</x:v>
      </x:c>
      <x:c r="H286" s="311" t="n">
        <x:v>10</x:v>
      </x:c>
      <x:c r="I286" s="311" t="str">
        <x:v>Full-Body Mobility Flow</x:v>
      </x:c>
      <x:c r="J286" s="311" t="str">
        <x:v>Mobility</x:v>
      </x:c>
      <x:c r="K286" s="311" t="str">
        <x:v>Full Body</x:v>
      </x:c>
      <x:c r="L286" s="311" t="str">
        <x:v>Continuous nasal breathing</x:v>
      </x:c>
      <x:c r="M286" s="311" t="str"/>
      <x:c r="N286" s="311" t="n">
        <x:v>1</x:v>
      </x:c>
      <x:c r="O286" s="311" t="n">
        <x:v>8</x:v>
      </x:c>
      <x:c r="P286" s="311" t="n">
        <x:v>12</x:v>
      </x:c>
      <x:c r="Q286" s="311" t="str"/>
      <x:c r="R286" s="311" t="n">
        <x:v>0</x:v>
      </x:c>
      <x:c r="S286" s="311" t="str">
        <x:v>Easy</x:v>
      </x:c>
      <x:c r="T286" s="330" t="n">
        <x:v>1.11</x:v>
      </x:c>
      <x:c r="U286" s="330" t="n">
        <x:v>0</x:v>
      </x:c>
      <x:c r="V286" s="331" t="str">
        <x:v>minutes</x:v>
      </x:c>
      <x:c r="W286" s="332" t="str">
        <x:f>'Readiness'!K36</x:f>
      </x:c>
      <x:c r="X286" s="314" t="n">
        <x:f>'Readiness'!L36</x:f>
        <x:v>1</x:v>
      </x:c>
      <x:c r="Y286" s="315" t="n">
        <x:f>IF(J286="Mobility",N286,MAX(1,ROUND(N286*X286,0)))</x:f>
        <x:v>1</x:v>
      </x:c>
      <x:c r="Z286" s="333" t="n">
        <x:f>0</x:f>
        <x:v>0</x:v>
      </x:c>
      <x:c r="AA286" s="334"/>
      <x:c r="AB286" s="334"/>
      <x:c r="AC286" s="334"/>
      <x:c r="AD286" s="334"/>
      <x:c r="AE286" s="334"/>
      <x:c r="AF286" s="334"/>
      <x:c r="AG286" s="334"/>
      <x:c r="AH286" s="334"/>
      <x:c r="AI286" s="334"/>
      <x:c r="AJ286" s="312"/>
      <x:c r="AK286" s="312"/>
      <x:c r="AL286" s="312"/>
      <x:c r="AM286" s="312"/>
      <x:c r="AN286" s="312"/>
      <x:c r="AO286" s="315" t="n">
        <x:f>COUNT(AB286,AD286,AF286,AH286,AJ286)</x:f>
        <x:v>0</x:v>
      </x:c>
      <x:c r="AP286" s="315" t="n">
        <x:f>SUM(AB286,AD286,AF286,AH286,AJ286)</x:f>
        <x:v>0</x:v>
      </x:c>
      <x:c r="AQ286" s="333" t="n">
        <x:f>AA286*AB286+AC286*AD286+AE286*AF286+AG286*AH286+AI286*AJ286</x:f>
        <x:v>0</x:v>
      </x:c>
      <x:c r="AR286" s="333" t="n">
        <x:f>IF(OR(J286="Strength",J286="Hypertrophy"),MAX(IF(AB286&gt;0,AA286*(1+AB286/30),0),IF(AD286&gt;0,AC286*(1+AD286/30),0),IF(AF286&gt;0,AE286*(1+AF286/30),0),IF(AH286&gt;0,AG286*(1+AH286/30),0),IF(AJ286&gt;0,AI286*(1+AJ286/30),0)),0)</x:f>
        <x:v>0</x:v>
      </x:c>
      <x:c r="AS286" s="315" t="str">
        <x:f>IF(AN286&lt;&gt;"Yes","Not logged",IF(AL286&gt;='Setup'!$B$14,"STOP / MODIFY",IF(Z286=0,"Complete",IF(OR(AO286=0,AK286=""),"Add set data + RIR",IF(AND(MAX(AB286,AD286,AF286,AH286,AJ286)&gt;=P286,AK286&gt;=Q286+1),"Progress",IF(OR(MAX(AB286,AD286,AF286,AH286,AJ286)&lt;O286,AK286&lt;Q286-1),"Regress","Hold"))))))</x:f>
        <x:v>Not logged</x:v>
      </x:c>
      <x:c r="AT286" s="335" t="n">
        <x:f>IF(OR(Z286=0,AN286&lt;&gt;"Yes",AO286=0,AK286=""),0,IF(AL286&gt;='Setup'!$B$14,-2*'Setup'!$B$11,IF(AND(MAX(AB286,AD286,AF286,AH286,AJ286)&gt;=P286,AK286&gt;=Q286+1),'Setup'!$B$10,IF(OR(MAX(AB286,AD286,AF286,AH286,AJ286)&lt;O286,AK286&lt;Q286-1),-'Setup'!$B$11,0))))</x:f>
        <x:v>0</x:v>
      </x:c>
      <x:c r="AU286" s="333" t="n">
        <x:f>IF(Z286=0,0,IF(AN286&lt;&gt;"Yes",Z286,IF(COUNT(AA286,AC286,AE286,AG286,AI286)=0,Z286,ROUND((MAX(AA286,AC286,AE286,AG286,AI286)*(1+AT286))/'Setup'!$B$9,0)*'Setup'!$B$9)))</x:f>
        <x:v>0</x:v>
      </x:c>
      <x:c r="AV286" s="336"/>
    </x:row>
    <x:row r="287">
      <x:c r="A287" s="310" t="n">
        <x:f>'Setup'!$B$3+(C287-1)*7+(D287-1)</x:f>
        <x:v>46279</x:v>
      </x:c>
      <x:c r="B287" s="311" t="str">
        <x:v>6|1|1</x:v>
      </x:c>
      <x:c r="C287" s="311" t="n">
        <x:v>6</x:v>
      </x:c>
      <x:c r="D287" s="311" t="n">
        <x:v>1</x:v>
      </x:c>
      <x:c r="E287" s="311" t="str">
        <x:v>Intensification</x:v>
      </x:c>
      <x:c r="F287" s="311" t="str">
        <x:v>Lower Strength</x:v>
      </x:c>
      <x:c r="G287" s="311" t="str">
        <x:v>Squat and hinge strength</x:v>
      </x:c>
      <x:c r="H287" s="311" t="n">
        <x:v>1</x:v>
      </x:c>
      <x:c r="I287" s="311" t="str">
        <x:v>Box Jump</x:v>
      </x:c>
      <x:c r="J287" s="311" t="str">
        <x:v>Power</x:v>
      </x:c>
      <x:c r="K287" s="311" t="str">
        <x:v>Quads</x:v>
      </x:c>
      <x:c r="L287" s="311" t="str">
        <x:v>Full reset, stop if height drops</x:v>
      </x:c>
      <x:c r="M287" s="311" t="str"/>
      <x:c r="N287" s="311" t="n">
        <x:v>4</x:v>
      </x:c>
      <x:c r="O287" s="311" t="n">
        <x:v>3</x:v>
      </x:c>
      <x:c r="P287" s="311" t="n">
        <x:v>3</x:v>
      </x:c>
      <x:c r="Q287" s="311" t="n">
        <x:v>2</x:v>
      </x:c>
      <x:c r="R287" s="311" t="n">
        <x:v>75</x:v>
      </x:c>
      <x:c r="S287" s="311" t="str">
        <x:v>Explosive</x:v>
      </x:c>
      <x:c r="T287" s="330" t="n">
        <x:v>1</x:v>
      </x:c>
      <x:c r="U287" s="330" t="n">
        <x:v>0</x:v>
      </x:c>
      <x:c r="V287" s="331" t="str">
        <x:v>height</x:v>
      </x:c>
      <x:c r="W287" s="332" t="str">
        <x:f>'Readiness'!K37</x:f>
      </x:c>
      <x:c r="X287" s="314" t="n">
        <x:f>'Readiness'!L37</x:f>
        <x:v>1</x:v>
      </x:c>
      <x:c r="Y287" s="315" t="n">
        <x:f>IF(J287="Mobility",N287,MAX(1,ROUND(N287*X287,0)))</x:f>
        <x:v>4</x:v>
      </x:c>
      <x:c r="Z287" s="333" t="n">
        <x:f>0</x:f>
        <x:v>0</x:v>
      </x:c>
      <x:c r="AA287" s="334"/>
      <x:c r="AB287" s="334"/>
      <x:c r="AC287" s="334"/>
      <x:c r="AD287" s="334"/>
      <x:c r="AE287" s="334"/>
      <x:c r="AF287" s="334"/>
      <x:c r="AG287" s="334"/>
      <x:c r="AH287" s="334"/>
      <x:c r="AI287" s="334"/>
      <x:c r="AJ287" s="312"/>
      <x:c r="AK287" s="312"/>
      <x:c r="AL287" s="312"/>
      <x:c r="AM287" s="312"/>
      <x:c r="AN287" s="312"/>
      <x:c r="AO287" s="315" t="n">
        <x:f>COUNT(AB287,AD287,AF287,AH287,AJ287)</x:f>
        <x:v>0</x:v>
      </x:c>
      <x:c r="AP287" s="315" t="n">
        <x:f>SUM(AB287,AD287,AF287,AH287,AJ287)</x:f>
        <x:v>0</x:v>
      </x:c>
      <x:c r="AQ287" s="333" t="n">
        <x:f>AA287*AB287+AC287*AD287+AE287*AF287+AG287*AH287+AI287*AJ287</x:f>
        <x:v>0</x:v>
      </x:c>
      <x:c r="AR287" s="333" t="n">
        <x:f>IF(OR(J287="Strength",J287="Hypertrophy"),MAX(IF(AB287&gt;0,AA287*(1+AB287/30),0),IF(AD287&gt;0,AC287*(1+AD287/30),0),IF(AF287&gt;0,AE287*(1+AF287/30),0),IF(AH287&gt;0,AG287*(1+AH287/30),0),IF(AJ287&gt;0,AI287*(1+AJ287/30),0)),0)</x:f>
        <x:v>0</x:v>
      </x:c>
      <x:c r="AS287" s="315" t="str">
        <x:f>IF(AN287&lt;&gt;"Yes","Not logged",IF(AL287&gt;='Setup'!$B$14,"STOP / MODIFY",IF(Z287=0,"Complete",IF(OR(AO287=0,AK287=""),"Add set data + RIR",IF(AND(MAX(AB287,AD287,AF287,AH287,AJ287)&gt;=P287,AK287&gt;=Q287+1),"Progress",IF(OR(MAX(AB287,AD287,AF287,AH287,AJ287)&lt;O287,AK287&lt;Q287-1),"Regress","Hold"))))))</x:f>
        <x:v>Not logged</x:v>
      </x:c>
      <x:c r="AT287" s="335" t="n">
        <x:f>IF(OR(Z287=0,AN287&lt;&gt;"Yes",AO287=0,AK287=""),0,IF(AL287&gt;='Setup'!$B$14,-2*'Setup'!$B$11,IF(AND(MAX(AB287,AD287,AF287,AH287,AJ287)&gt;=P287,AK287&gt;=Q287+1),'Setup'!$B$10,IF(OR(MAX(AB287,AD287,AF287,AH287,AJ287)&lt;O287,AK287&lt;Q287-1),-'Setup'!$B$11,0))))</x:f>
        <x:v>0</x:v>
      </x:c>
      <x:c r="AU287" s="333" t="n">
        <x:f>IF(Z287=0,0,IF(AN287&lt;&gt;"Yes",Z287,IF(COUNT(AA287,AC287,AE287,AG287,AI287)=0,Z287,ROUND((MAX(AA287,AC287,AE287,AG287,AI287)*(1+AT287))/'Setup'!$B$9,0)*'Setup'!$B$9)))</x:f>
        <x:v>0</x:v>
      </x:c>
      <x:c r="AV287" s="336"/>
    </x:row>
    <x:row r="288">
      <x:c r="A288" s="310" t="n">
        <x:f>'Setup'!$B$3+(C288-1)*7+(D288-1)</x:f>
        <x:v>46279</x:v>
      </x:c>
      <x:c r="B288" s="311" t="str">
        <x:v>6|1|2</x:v>
      </x:c>
      <x:c r="C288" s="311" t="n">
        <x:v>6</x:v>
      </x:c>
      <x:c r="D288" s="311" t="n">
        <x:v>1</x:v>
      </x:c>
      <x:c r="E288" s="311" t="str">
        <x:v>Intensification</x:v>
      </x:c>
      <x:c r="F288" s="311" t="str">
        <x:v>Lower Strength</x:v>
      </x:c>
      <x:c r="G288" s="311" t="str">
        <x:v>Squat and hinge strength</x:v>
      </x:c>
      <x:c r="H288" s="311" t="n">
        <x:v>2</x:v>
      </x:c>
      <x:c r="I288" s="311" t="str">
        <x:v>Back Squat</x:v>
      </x:c>
      <x:c r="J288" s="311" t="str">
        <x:v>Strength</x:v>
      </x:c>
      <x:c r="K288" s="311" t="str">
        <x:v>Quads</x:v>
      </x:c>
      <x:c r="L288" s="311" t="str">
        <x:v>Top set + back-offs</x:v>
      </x:c>
      <x:c r="M288" s="311" t="str"/>
      <x:c r="N288" s="311" t="n">
        <x:v>5</x:v>
      </x:c>
      <x:c r="O288" s="311" t="n">
        <x:v>3</x:v>
      </x:c>
      <x:c r="P288" s="311" t="n">
        <x:v>5</x:v>
      </x:c>
      <x:c r="Q288" s="311" t="n">
        <x:v>2</x:v>
      </x:c>
      <x:c r="R288" s="311" t="n">
        <x:v>180</x:v>
      </x:c>
      <x:c r="S288" s="311" t="str">
        <x:v>3-1-X</x:v>
      </x:c>
      <x:c r="T288" s="330" t="n">
        <x:v>1</x:v>
      </x:c>
      <x:c r="U288" s="330" t="n">
        <x:v>0.8</x:v>
      </x:c>
      <x:c r="V288" s="331" t="str">
        <x:v>load × reps</x:v>
      </x:c>
      <x:c r="W288" s="332" t="str">
        <x:f>'Readiness'!K37</x:f>
      </x:c>
      <x:c r="X288" s="314" t="n">
        <x:f>'Readiness'!L37</x:f>
        <x:v>1</x:v>
      </x:c>
      <x:c r="Y288" s="315" t="n">
        <x:f>IF(J288="Mobility",N288,MAX(1,ROUND(N288*X288,0)))</x:f>
        <x:v>5</x:v>
      </x:c>
      <x:c r="Z288" s="333" t="n">
        <x:f>ROUND((IF(AU235&gt;0,AU235,IF(Z235&gt;0,Z235,'Setup'!$D$23))*T288)/'Setup'!$B$9,0)*'Setup'!$B$9</x:f>
        <x:v>0</x:v>
      </x:c>
      <x:c r="AA288" s="334"/>
      <x:c r="AB288" s="334"/>
      <x:c r="AC288" s="334"/>
      <x:c r="AD288" s="334"/>
      <x:c r="AE288" s="334"/>
      <x:c r="AF288" s="334"/>
      <x:c r="AG288" s="334"/>
      <x:c r="AH288" s="334"/>
      <x:c r="AI288" s="334"/>
      <x:c r="AJ288" s="312"/>
      <x:c r="AK288" s="312"/>
      <x:c r="AL288" s="312"/>
      <x:c r="AM288" s="312"/>
      <x:c r="AN288" s="312"/>
      <x:c r="AO288" s="315" t="n">
        <x:f>COUNT(AB288,AD288,AF288,AH288,AJ288)</x:f>
        <x:v>0</x:v>
      </x:c>
      <x:c r="AP288" s="315" t="n">
        <x:f>SUM(AB288,AD288,AF288,AH288,AJ288)</x:f>
        <x:v>0</x:v>
      </x:c>
      <x:c r="AQ288" s="333" t="n">
        <x:f>AA288*AB288+AC288*AD288+AE288*AF288+AG288*AH288+AI288*AJ288</x:f>
        <x:v>0</x:v>
      </x:c>
      <x:c r="AR288" s="333" t="n">
        <x:f>IF(OR(J288="Strength",J288="Hypertrophy"),MAX(IF(AB288&gt;0,AA288*(1+AB288/30),0),IF(AD288&gt;0,AC288*(1+AD288/30),0),IF(AF288&gt;0,AE288*(1+AF288/30),0),IF(AH288&gt;0,AG288*(1+AH288/30),0),IF(AJ288&gt;0,AI288*(1+AJ288/30),0)),0)</x:f>
        <x:v>0</x:v>
      </x:c>
      <x:c r="AS288" s="315" t="str">
        <x:f>IF(AN288&lt;&gt;"Yes","Not logged",IF(AL288&gt;='Setup'!$B$14,"STOP / MODIFY",IF(Z288=0,"Complete",IF(OR(AO288=0,AK288=""),"Add set data + RIR",IF(AND(MAX(AB288,AD288,AF288,AH288,AJ288)&gt;=P288,AK288&gt;=Q288+1),"Progress",IF(OR(MAX(AB288,AD288,AF288,AH288,AJ288)&lt;O288,AK288&lt;Q288-1),"Regress","Hold"))))))</x:f>
        <x:v>Not logged</x:v>
      </x:c>
      <x:c r="AT288" s="335" t="n">
        <x:f>IF(OR(Z288=0,AN288&lt;&gt;"Yes",AO288=0,AK288=""),0,IF(AL288&gt;='Setup'!$B$14,-2*'Setup'!$B$11,IF(AND(MAX(AB288,AD288,AF288,AH288,AJ288)&gt;=P288,AK288&gt;=Q288+1),'Setup'!$B$10,IF(OR(MAX(AB288,AD288,AF288,AH288,AJ288)&lt;O288,AK288&lt;Q288-1),-'Setup'!$B$11,0))))</x:f>
        <x:v>0</x:v>
      </x:c>
      <x:c r="AU288" s="333" t="n">
        <x:f>IF(Z288=0,0,IF(AN288&lt;&gt;"Yes",Z288,IF(COUNT(AA288,AC288,AE288,AG288,AI288)=0,Z288,ROUND((MAX(AA288,AC288,AE288,AG288,AI288)*(1+AT288))/'Setup'!$B$9,0)*'Setup'!$B$9)))</x:f>
        <x:v>0</x:v>
      </x:c>
      <x:c r="AV288" s="336"/>
    </x:row>
    <x:row r="289">
      <x:c r="A289" s="310" t="n">
        <x:f>'Setup'!$B$3+(C289-1)*7+(D289-1)</x:f>
        <x:v>46279</x:v>
      </x:c>
      <x:c r="B289" s="311" t="str">
        <x:v>6|1|3</x:v>
      </x:c>
      <x:c r="C289" s="311" t="n">
        <x:v>6</x:v>
      </x:c>
      <x:c r="D289" s="311" t="n">
        <x:v>1</x:v>
      </x:c>
      <x:c r="E289" s="311" t="str">
        <x:v>Intensification</x:v>
      </x:c>
      <x:c r="F289" s="311" t="str">
        <x:v>Lower Strength</x:v>
      </x:c>
      <x:c r="G289" s="311" t="str">
        <x:v>Squat and hinge strength</x:v>
      </x:c>
      <x:c r="H289" s="311" t="n">
        <x:v>3</x:v>
      </x:c>
      <x:c r="I289" s="311" t="str">
        <x:v>Conventional Deadlift</x:v>
      </x:c>
      <x:c r="J289" s="311" t="str">
        <x:v>Strength</x:v>
      </x:c>
      <x:c r="K289" s="311" t="str">
        <x:v>Hamstrings</x:v>
      </x:c>
      <x:c r="L289" s="311" t="str">
        <x:v>Straight sets</x:v>
      </x:c>
      <x:c r="M289" s="311" t="str"/>
      <x:c r="N289" s="311" t="n">
        <x:v>3</x:v>
      </x:c>
      <x:c r="O289" s="311" t="n">
        <x:v>3</x:v>
      </x:c>
      <x:c r="P289" s="311" t="n">
        <x:v>5</x:v>
      </x:c>
      <x:c r="Q289" s="311" t="n">
        <x:v>2</x:v>
      </x:c>
      <x:c r="R289" s="311" t="n">
        <x:v>210</x:v>
      </x:c>
      <x:c r="S289" s="311" t="str">
        <x:v>2-1-X</x:v>
      </x:c>
      <x:c r="T289" s="330" t="n">
        <x:v>1</x:v>
      </x:c>
      <x:c r="U289" s="330" t="n">
        <x:v>0.78</x:v>
      </x:c>
      <x:c r="V289" s="331" t="str">
        <x:v>load × reps</x:v>
      </x:c>
      <x:c r="W289" s="332" t="str">
        <x:f>'Readiness'!K37</x:f>
      </x:c>
      <x:c r="X289" s="314" t="n">
        <x:f>'Readiness'!L37</x:f>
        <x:v>1</x:v>
      </x:c>
      <x:c r="Y289" s="315" t="n">
        <x:f>IF(J289="Mobility",N289,MAX(1,ROUND(N289*X289,0)))</x:f>
        <x:v>3</x:v>
      </x:c>
      <x:c r="Z289" s="333" t="n">
        <x:f>ROUND((IF(AU236&gt;0,AU236,IF(Z236&gt;0,Z236,'Setup'!$D$35))*T289)/'Setup'!$B$9,0)*'Setup'!$B$9</x:f>
        <x:v>0</x:v>
      </x:c>
      <x:c r="AA289" s="334"/>
      <x:c r="AB289" s="334"/>
      <x:c r="AC289" s="334"/>
      <x:c r="AD289" s="334"/>
      <x:c r="AE289" s="334"/>
      <x:c r="AF289" s="334"/>
      <x:c r="AG289" s="334"/>
      <x:c r="AH289" s="334"/>
      <x:c r="AI289" s="334"/>
      <x:c r="AJ289" s="312"/>
      <x:c r="AK289" s="312"/>
      <x:c r="AL289" s="312"/>
      <x:c r="AM289" s="312"/>
      <x:c r="AN289" s="312"/>
      <x:c r="AO289" s="315" t="n">
        <x:f>COUNT(AB289,AD289,AF289,AH289,AJ289)</x:f>
        <x:v>0</x:v>
      </x:c>
      <x:c r="AP289" s="315" t="n">
        <x:f>SUM(AB289,AD289,AF289,AH289,AJ289)</x:f>
        <x:v>0</x:v>
      </x:c>
      <x:c r="AQ289" s="333" t="n">
        <x:f>AA289*AB289+AC289*AD289+AE289*AF289+AG289*AH289+AI289*AJ289</x:f>
        <x:v>0</x:v>
      </x:c>
      <x:c r="AR289" s="333" t="n">
        <x:f>IF(OR(J289="Strength",J289="Hypertrophy"),MAX(IF(AB289&gt;0,AA289*(1+AB289/30),0),IF(AD289&gt;0,AC289*(1+AD289/30),0),IF(AF289&gt;0,AE289*(1+AF289/30),0),IF(AH289&gt;0,AG289*(1+AH289/30),0),IF(AJ289&gt;0,AI289*(1+AJ289/30),0)),0)</x:f>
        <x:v>0</x:v>
      </x:c>
      <x:c r="AS289" s="315" t="str">
        <x:f>IF(AN289&lt;&gt;"Yes","Not logged",IF(AL289&gt;='Setup'!$B$14,"STOP / MODIFY",IF(Z289=0,"Complete",IF(OR(AO289=0,AK289=""),"Add set data + RIR",IF(AND(MAX(AB289,AD289,AF289,AH289,AJ289)&gt;=P289,AK289&gt;=Q289+1),"Progress",IF(OR(MAX(AB289,AD289,AF289,AH289,AJ289)&lt;O289,AK289&lt;Q289-1),"Regress","Hold"))))))</x:f>
        <x:v>Not logged</x:v>
      </x:c>
      <x:c r="AT289" s="335" t="n">
        <x:f>IF(OR(Z289=0,AN289&lt;&gt;"Yes",AO289=0,AK289=""),0,IF(AL289&gt;='Setup'!$B$14,-2*'Setup'!$B$11,IF(AND(MAX(AB289,AD289,AF289,AH289,AJ289)&gt;=P289,AK289&gt;=Q289+1),'Setup'!$B$10,IF(OR(MAX(AB289,AD289,AF289,AH289,AJ289)&lt;O289,AK289&lt;Q289-1),-'Setup'!$B$11,0))))</x:f>
        <x:v>0</x:v>
      </x:c>
      <x:c r="AU289" s="333" t="n">
        <x:f>IF(Z289=0,0,IF(AN289&lt;&gt;"Yes",Z289,IF(COUNT(AA289,AC289,AE289,AG289,AI289)=0,Z289,ROUND((MAX(AA289,AC289,AE289,AG289,AI289)*(1+AT289))/'Setup'!$B$9,0)*'Setup'!$B$9)))</x:f>
        <x:v>0</x:v>
      </x:c>
      <x:c r="AV289" s="336"/>
    </x:row>
    <x:row r="290">
      <x:c r="A290" s="310" t="n">
        <x:f>'Setup'!$B$3+(C290-1)*7+(D290-1)</x:f>
        <x:v>46279</x:v>
      </x:c>
      <x:c r="B290" s="311" t="str">
        <x:v>6|1|4</x:v>
      </x:c>
      <x:c r="C290" s="311" t="n">
        <x:v>6</x:v>
      </x:c>
      <x:c r="D290" s="311" t="n">
        <x:v>1</x:v>
      </x:c>
      <x:c r="E290" s="311" t="str">
        <x:v>Intensification</x:v>
      </x:c>
      <x:c r="F290" s="311" t="str">
        <x:v>Lower Strength</x:v>
      </x:c>
      <x:c r="G290" s="311" t="str">
        <x:v>Squat and hinge strength</x:v>
      </x:c>
      <x:c r="H290" s="311" t="n">
        <x:v>4</x:v>
      </x:c>
      <x:c r="I290" s="311" t="str">
        <x:v>Front-Foot Elevated Split Squat</x:v>
      </x:c>
      <x:c r="J290" s="311" t="str">
        <x:v>Hypertrophy</x:v>
      </x:c>
      <x:c r="K290" s="311" t="str">
        <x:v>Quads</x:v>
      </x:c>
      <x:c r="L290" s="311" t="str">
        <x:v>Straight sets</x:v>
      </x:c>
      <x:c r="M290" s="311" t="str"/>
      <x:c r="N290" s="311" t="n">
        <x:v>4</x:v>
      </x:c>
      <x:c r="O290" s="311" t="n">
        <x:v>6</x:v>
      </x:c>
      <x:c r="P290" s="311" t="n">
        <x:v>8</x:v>
      </x:c>
      <x:c r="Q290" s="311" t="n">
        <x:v>2</x:v>
      </x:c>
      <x:c r="R290" s="311" t="n">
        <x:v>90</x:v>
      </x:c>
      <x:c r="S290" s="311" t="str">
        <x:v>3-0-1</x:v>
      </x:c>
      <x:c r="T290" s="330" t="n">
        <x:v>1</x:v>
      </x:c>
      <x:c r="U290" s="330" t="n">
        <x:v>0</x:v>
      </x:c>
      <x:c r="V290" s="331" t="str">
        <x:v>load × reps</x:v>
      </x:c>
      <x:c r="W290" s="332" t="str">
        <x:f>'Readiness'!K37</x:f>
      </x:c>
      <x:c r="X290" s="314" t="n">
        <x:f>'Readiness'!L37</x:f>
        <x:v>1</x:v>
      </x:c>
      <x:c r="Y290" s="315" t="n">
        <x:f>IF(J290="Mobility",N290,MAX(1,ROUND(N290*X290,0)))</x:f>
        <x:v>4</x:v>
      </x:c>
      <x:c r="Z290" s="333" t="n">
        <x:f>ROUND((IF(AU237&gt;0,AU237,IF(Z237&gt;0,Z237,'Setup'!$D$44))*T290)/'Setup'!$B$9,0)*'Setup'!$B$9</x:f>
        <x:v>0</x:v>
      </x:c>
      <x:c r="AA290" s="334"/>
      <x:c r="AB290" s="334"/>
      <x:c r="AC290" s="334"/>
      <x:c r="AD290" s="334"/>
      <x:c r="AE290" s="334"/>
      <x:c r="AF290" s="334"/>
      <x:c r="AG290" s="334"/>
      <x:c r="AH290" s="334"/>
      <x:c r="AI290" s="334"/>
      <x:c r="AJ290" s="312"/>
      <x:c r="AK290" s="312"/>
      <x:c r="AL290" s="312"/>
      <x:c r="AM290" s="312"/>
      <x:c r="AN290" s="312"/>
      <x:c r="AO290" s="315" t="n">
        <x:f>COUNT(AB290,AD290,AF290,AH290,AJ290)</x:f>
        <x:v>0</x:v>
      </x:c>
      <x:c r="AP290" s="315" t="n">
        <x:f>SUM(AB290,AD290,AF290,AH290,AJ290)</x:f>
        <x:v>0</x:v>
      </x:c>
      <x:c r="AQ290" s="333" t="n">
        <x:f>AA290*AB290+AC290*AD290+AE290*AF290+AG290*AH290+AI290*AJ290</x:f>
        <x:v>0</x:v>
      </x:c>
      <x:c r="AR290" s="333" t="n">
        <x:f>IF(OR(J290="Strength",J290="Hypertrophy"),MAX(IF(AB290&gt;0,AA290*(1+AB290/30),0),IF(AD290&gt;0,AC290*(1+AD290/30),0),IF(AF290&gt;0,AE290*(1+AF290/30),0),IF(AH290&gt;0,AG290*(1+AH290/30),0),IF(AJ290&gt;0,AI290*(1+AJ290/30),0)),0)</x:f>
        <x:v>0</x:v>
      </x:c>
      <x:c r="AS290" s="315" t="str">
        <x:f>IF(AN290&lt;&gt;"Yes","Not logged",IF(AL290&gt;='Setup'!$B$14,"STOP / MODIFY",IF(Z290=0,"Complete",IF(OR(AO290=0,AK290=""),"Add set data + RIR",IF(AND(MAX(AB290,AD290,AF290,AH290,AJ290)&gt;=P290,AK290&gt;=Q290+1),"Progress",IF(OR(MAX(AB290,AD290,AF290,AH290,AJ290)&lt;O290,AK290&lt;Q290-1),"Regress","Hold"))))))</x:f>
        <x:v>Not logged</x:v>
      </x:c>
      <x:c r="AT290" s="335" t="n">
        <x:f>IF(OR(Z290=0,AN290&lt;&gt;"Yes",AO290=0,AK290=""),0,IF(AL290&gt;='Setup'!$B$14,-2*'Setup'!$B$11,IF(AND(MAX(AB290,AD290,AF290,AH290,AJ290)&gt;=P290,AK290&gt;=Q290+1),'Setup'!$B$10,IF(OR(MAX(AB290,AD290,AF290,AH290,AJ290)&lt;O290,AK290&lt;Q290-1),-'Setup'!$B$11,0))))</x:f>
        <x:v>0</x:v>
      </x:c>
      <x:c r="AU290" s="333" t="n">
        <x:f>IF(Z290=0,0,IF(AN290&lt;&gt;"Yes",Z290,IF(COUNT(AA290,AC290,AE290,AG290,AI290)=0,Z290,ROUND((MAX(AA290,AC290,AE290,AG290,AI290)*(1+AT290))/'Setup'!$B$9,0)*'Setup'!$B$9)))</x:f>
        <x:v>0</x:v>
      </x:c>
      <x:c r="AV290" s="336"/>
    </x:row>
    <x:row r="291">
      <x:c r="A291" s="310" t="n">
        <x:f>'Setup'!$B$3+(C291-1)*7+(D291-1)</x:f>
        <x:v>46279</x:v>
      </x:c>
      <x:c r="B291" s="311" t="str">
        <x:v>6|1|5</x:v>
      </x:c>
      <x:c r="C291" s="311" t="n">
        <x:v>6</x:v>
      </x:c>
      <x:c r="D291" s="311" t="n">
        <x:v>1</x:v>
      </x:c>
      <x:c r="E291" s="311" t="str">
        <x:v>Intensification</x:v>
      </x:c>
      <x:c r="F291" s="311" t="str">
        <x:v>Lower Strength</x:v>
      </x:c>
      <x:c r="G291" s="311" t="str">
        <x:v>Squat and hinge strength</x:v>
      </x:c>
      <x:c r="H291" s="311" t="n">
        <x:v>5</x:v>
      </x:c>
      <x:c r="I291" s="311" t="str">
        <x:v>Nordic Hamstring Curl</x:v>
      </x:c>
      <x:c r="J291" s="311" t="str">
        <x:v>Strength</x:v>
      </x:c>
      <x:c r="K291" s="311" t="str">
        <x:v>Hamstrings</x:v>
      </x:c>
      <x:c r="L291" s="311" t="str">
        <x:v>Controlled eccentric</x:v>
      </x:c>
      <x:c r="M291" s="311" t="str"/>
      <x:c r="N291" s="311" t="n">
        <x:v>3</x:v>
      </x:c>
      <x:c r="O291" s="311" t="n">
        <x:v>5</x:v>
      </x:c>
      <x:c r="P291" s="311" t="n">
        <x:v>8</x:v>
      </x:c>
      <x:c r="Q291" s="311" t="n">
        <x:v>2</x:v>
      </x:c>
      <x:c r="R291" s="311" t="n">
        <x:v>90</x:v>
      </x:c>
      <x:c r="S291" s="311" t="str">
        <x:v>5-0-X</x:v>
      </x:c>
      <x:c r="T291" s="330" t="n">
        <x:v>1</x:v>
      </x:c>
      <x:c r="U291" s="330" t="n">
        <x:v>0</x:v>
      </x:c>
      <x:c r="V291" s="331" t="str">
        <x:v>reps</x:v>
      </x:c>
      <x:c r="W291" s="332" t="str">
        <x:f>'Readiness'!K37</x:f>
      </x:c>
      <x:c r="X291" s="314" t="n">
        <x:f>'Readiness'!L37</x:f>
        <x:v>1</x:v>
      </x:c>
      <x:c r="Y291" s="315" t="n">
        <x:f>IF(J291="Mobility",N291,MAX(1,ROUND(N291*X291,0)))</x:f>
        <x:v>3</x:v>
      </x:c>
      <x:c r="Z291" s="333" t="n">
        <x:f>0</x:f>
        <x:v>0</x:v>
      </x:c>
      <x:c r="AA291" s="334"/>
      <x:c r="AB291" s="334"/>
      <x:c r="AC291" s="334"/>
      <x:c r="AD291" s="334"/>
      <x:c r="AE291" s="334"/>
      <x:c r="AF291" s="334"/>
      <x:c r="AG291" s="334"/>
      <x:c r="AH291" s="334"/>
      <x:c r="AI291" s="334"/>
      <x:c r="AJ291" s="312"/>
      <x:c r="AK291" s="312"/>
      <x:c r="AL291" s="312"/>
      <x:c r="AM291" s="312"/>
      <x:c r="AN291" s="312"/>
      <x:c r="AO291" s="315" t="n">
        <x:f>COUNT(AB291,AD291,AF291,AH291,AJ291)</x:f>
        <x:v>0</x:v>
      </x:c>
      <x:c r="AP291" s="315" t="n">
        <x:f>SUM(AB291,AD291,AF291,AH291,AJ291)</x:f>
        <x:v>0</x:v>
      </x:c>
      <x:c r="AQ291" s="333" t="n">
        <x:f>AA291*AB291+AC291*AD291+AE291*AF291+AG291*AH291+AI291*AJ291</x:f>
        <x:v>0</x:v>
      </x:c>
      <x:c r="AR291" s="333" t="n">
        <x:f>IF(OR(J291="Strength",J291="Hypertrophy"),MAX(IF(AB291&gt;0,AA291*(1+AB291/30),0),IF(AD291&gt;0,AC291*(1+AD291/30),0),IF(AF291&gt;0,AE291*(1+AF291/30),0),IF(AH291&gt;0,AG291*(1+AH291/30),0),IF(AJ291&gt;0,AI291*(1+AJ291/30),0)),0)</x:f>
        <x:v>0</x:v>
      </x:c>
      <x:c r="AS291" s="315" t="str">
        <x:f>IF(AN291&lt;&gt;"Yes","Not logged",IF(AL291&gt;='Setup'!$B$14,"STOP / MODIFY",IF(Z291=0,"Complete",IF(OR(AO291=0,AK291=""),"Add set data + RIR",IF(AND(MAX(AB291,AD291,AF291,AH291,AJ291)&gt;=P291,AK291&gt;=Q291+1),"Progress",IF(OR(MAX(AB291,AD291,AF291,AH291,AJ291)&lt;O291,AK291&lt;Q291-1),"Regress","Hold"))))))</x:f>
        <x:v>Not logged</x:v>
      </x:c>
      <x:c r="AT291" s="335" t="n">
        <x:f>IF(OR(Z291=0,AN291&lt;&gt;"Yes",AO291=0,AK291=""),0,IF(AL291&gt;='Setup'!$B$14,-2*'Setup'!$B$11,IF(AND(MAX(AB291,AD291,AF291,AH291,AJ291)&gt;=P291,AK291&gt;=Q291+1),'Setup'!$B$10,IF(OR(MAX(AB291,AD291,AF291,AH291,AJ291)&lt;O291,AK291&lt;Q291-1),-'Setup'!$B$11,0))))</x:f>
        <x:v>0</x:v>
      </x:c>
      <x:c r="AU291" s="333" t="n">
        <x:f>IF(Z291=0,0,IF(AN291&lt;&gt;"Yes",Z291,IF(COUNT(AA291,AC291,AE291,AG291,AI291)=0,Z291,ROUND((MAX(AA291,AC291,AE291,AG291,AI291)*(1+AT291))/'Setup'!$B$9,0)*'Setup'!$B$9)))</x:f>
        <x:v>0</x:v>
      </x:c>
      <x:c r="AV291" s="336"/>
    </x:row>
    <x:row r="292">
      <x:c r="A292" s="310" t="n">
        <x:f>'Setup'!$B$3+(C292-1)*7+(D292-1)</x:f>
        <x:v>46279</x:v>
      </x:c>
      <x:c r="B292" s="311" t="str">
        <x:v>6|1|6</x:v>
      </x:c>
      <x:c r="C292" s="311" t="n">
        <x:v>6</x:v>
      </x:c>
      <x:c r="D292" s="311" t="n">
        <x:v>1</x:v>
      </x:c>
      <x:c r="E292" s="311" t="str">
        <x:v>Intensification</x:v>
      </x:c>
      <x:c r="F292" s="311" t="str">
        <x:v>Lower Strength</x:v>
      </x:c>
      <x:c r="G292" s="311" t="str">
        <x:v>Squat and hinge strength</x:v>
      </x:c>
      <x:c r="H292" s="311" t="n">
        <x:v>6</x:v>
      </x:c>
      <x:c r="I292" s="311" t="str">
        <x:v>Standing Calf Raise</x:v>
      </x:c>
      <x:c r="J292" s="311" t="str">
        <x:v>Hypertrophy</x:v>
      </x:c>
      <x:c r="K292" s="311" t="str">
        <x:v>Calves</x:v>
      </x:c>
      <x:c r="L292" s="311" t="str">
        <x:v>Straight sets</x:v>
      </x:c>
      <x:c r="M292" s="311" t="str"/>
      <x:c r="N292" s="311" t="n">
        <x:v>4</x:v>
      </x:c>
      <x:c r="O292" s="311" t="n">
        <x:v>8</x:v>
      </x:c>
      <x:c r="P292" s="311" t="n">
        <x:v>12</x:v>
      </x:c>
      <x:c r="Q292" s="311" t="n">
        <x:v>2</x:v>
      </x:c>
      <x:c r="R292" s="311" t="n">
        <x:v>60</x:v>
      </x:c>
      <x:c r="S292" s="311" t="str">
        <x:v>2-2-1</x:v>
      </x:c>
      <x:c r="T292" s="330" t="n">
        <x:v>1</x:v>
      </x:c>
      <x:c r="U292" s="330" t="n">
        <x:v>0</x:v>
      </x:c>
      <x:c r="V292" s="331" t="str">
        <x:v>load × reps</x:v>
      </x:c>
      <x:c r="W292" s="332" t="str">
        <x:f>'Readiness'!K37</x:f>
      </x:c>
      <x:c r="X292" s="314" t="n">
        <x:f>'Readiness'!L37</x:f>
        <x:v>1</x:v>
      </x:c>
      <x:c r="Y292" s="315" t="n">
        <x:f>IF(J292="Mobility",N292,MAX(1,ROUND(N292*X292,0)))</x:f>
        <x:v>4</x:v>
      </x:c>
      <x:c r="Z292" s="333" t="n">
        <x:f>ROUND((IF(AU239&gt;0,AU239,IF(Z239&gt;0,Z239,'Setup'!$D$90))*T292)/'Setup'!$B$9,0)*'Setup'!$B$9</x:f>
        <x:v>0</x:v>
      </x:c>
      <x:c r="AA292" s="334"/>
      <x:c r="AB292" s="334"/>
      <x:c r="AC292" s="334"/>
      <x:c r="AD292" s="334"/>
      <x:c r="AE292" s="334"/>
      <x:c r="AF292" s="334"/>
      <x:c r="AG292" s="334"/>
      <x:c r="AH292" s="334"/>
      <x:c r="AI292" s="334"/>
      <x:c r="AJ292" s="312"/>
      <x:c r="AK292" s="312"/>
      <x:c r="AL292" s="312"/>
      <x:c r="AM292" s="312"/>
      <x:c r="AN292" s="312"/>
      <x:c r="AO292" s="315" t="n">
        <x:f>COUNT(AB292,AD292,AF292,AH292,AJ292)</x:f>
        <x:v>0</x:v>
      </x:c>
      <x:c r="AP292" s="315" t="n">
        <x:f>SUM(AB292,AD292,AF292,AH292,AJ292)</x:f>
        <x:v>0</x:v>
      </x:c>
      <x:c r="AQ292" s="333" t="n">
        <x:f>AA292*AB292+AC292*AD292+AE292*AF292+AG292*AH292+AI292*AJ292</x:f>
        <x:v>0</x:v>
      </x:c>
      <x:c r="AR292" s="333" t="n">
        <x:f>IF(OR(J292="Strength",J292="Hypertrophy"),MAX(IF(AB292&gt;0,AA292*(1+AB292/30),0),IF(AD292&gt;0,AC292*(1+AD292/30),0),IF(AF292&gt;0,AE292*(1+AF292/30),0),IF(AH292&gt;0,AG292*(1+AH292/30),0),IF(AJ292&gt;0,AI292*(1+AJ292/30),0)),0)</x:f>
        <x:v>0</x:v>
      </x:c>
      <x:c r="AS292" s="315" t="str">
        <x:f>IF(AN292&lt;&gt;"Yes","Not logged",IF(AL292&gt;='Setup'!$B$14,"STOP / MODIFY",IF(Z292=0,"Complete",IF(OR(AO292=0,AK292=""),"Add set data + RIR",IF(AND(MAX(AB292,AD292,AF292,AH292,AJ292)&gt;=P292,AK292&gt;=Q292+1),"Progress",IF(OR(MAX(AB292,AD292,AF292,AH292,AJ292)&lt;O292,AK292&lt;Q292-1),"Regress","Hold"))))))</x:f>
        <x:v>Not logged</x:v>
      </x:c>
      <x:c r="AT292" s="335" t="n">
        <x:f>IF(OR(Z292=0,AN292&lt;&gt;"Yes",AO292=0,AK292=""),0,IF(AL292&gt;='Setup'!$B$14,-2*'Setup'!$B$11,IF(AND(MAX(AB292,AD292,AF292,AH292,AJ292)&gt;=P292,AK292&gt;=Q292+1),'Setup'!$B$10,IF(OR(MAX(AB292,AD292,AF292,AH292,AJ292)&lt;O292,AK292&lt;Q292-1),-'Setup'!$B$11,0))))</x:f>
        <x:v>0</x:v>
      </x:c>
      <x:c r="AU292" s="333" t="n">
        <x:f>IF(Z292=0,0,IF(AN292&lt;&gt;"Yes",Z292,IF(COUNT(AA292,AC292,AE292,AG292,AI292)=0,Z292,ROUND((MAX(AA292,AC292,AE292,AG292,AI292)*(1+AT292))/'Setup'!$B$9,0)*'Setup'!$B$9)))</x:f>
        <x:v>0</x:v>
      </x:c>
      <x:c r="AV292" s="336"/>
    </x:row>
    <x:row r="293">
      <x:c r="A293" s="310" t="n">
        <x:f>'Setup'!$B$3+(C293-1)*7+(D293-1)</x:f>
        <x:v>46279</x:v>
      </x:c>
      <x:c r="B293" s="311" t="str">
        <x:v>6|1|7</x:v>
      </x:c>
      <x:c r="C293" s="311" t="n">
        <x:v>6</x:v>
      </x:c>
      <x:c r="D293" s="311" t="n">
        <x:v>1</x:v>
      </x:c>
      <x:c r="E293" s="311" t="str">
        <x:v>Intensification</x:v>
      </x:c>
      <x:c r="F293" s="311" t="str">
        <x:v>Lower Strength</x:v>
      </x:c>
      <x:c r="G293" s="311" t="str">
        <x:v>Squat and hinge strength</x:v>
      </x:c>
      <x:c r="H293" s="311" t="n">
        <x:v>7</x:v>
      </x:c>
      <x:c r="I293" s="311" t="str">
        <x:v>Ab Wheel Rollout</x:v>
      </x:c>
      <x:c r="J293" s="311" t="str">
        <x:v>Hypertrophy</x:v>
      </x:c>
      <x:c r="K293" s="311" t="str">
        <x:v>Core</x:v>
      </x:c>
      <x:c r="L293" s="311" t="str">
        <x:v>Straight sets</x:v>
      </x:c>
      <x:c r="M293" s="311" t="str"/>
      <x:c r="N293" s="311" t="n">
        <x:v>4</x:v>
      </x:c>
      <x:c r="O293" s="311" t="n">
        <x:v>8</x:v>
      </x:c>
      <x:c r="P293" s="311" t="n">
        <x:v>12</x:v>
      </x:c>
      <x:c r="Q293" s="311" t="n">
        <x:v>2</x:v>
      </x:c>
      <x:c r="R293" s="311" t="n">
        <x:v>60</x:v>
      </x:c>
      <x:c r="S293" s="311" t="str">
        <x:v>3-0-1</x:v>
      </x:c>
      <x:c r="T293" s="330" t="n">
        <x:v>1</x:v>
      </x:c>
      <x:c r="U293" s="330" t="n">
        <x:v>0</x:v>
      </x:c>
      <x:c r="V293" s="331" t="str">
        <x:v>reps</x:v>
      </x:c>
      <x:c r="W293" s="332" t="str">
        <x:f>'Readiness'!K37</x:f>
      </x:c>
      <x:c r="X293" s="314" t="n">
        <x:f>'Readiness'!L37</x:f>
        <x:v>1</x:v>
      </x:c>
      <x:c r="Y293" s="315" t="n">
        <x:f>IF(J293="Mobility",N293,MAX(1,ROUND(N293*X293,0)))</x:f>
        <x:v>4</x:v>
      </x:c>
      <x:c r="Z293" s="333" t="n">
        <x:f>0</x:f>
        <x:v>0</x:v>
      </x:c>
      <x:c r="AA293" s="334"/>
      <x:c r="AB293" s="334"/>
      <x:c r="AC293" s="334"/>
      <x:c r="AD293" s="334"/>
      <x:c r="AE293" s="334"/>
      <x:c r="AF293" s="334"/>
      <x:c r="AG293" s="334"/>
      <x:c r="AH293" s="334"/>
      <x:c r="AI293" s="334"/>
      <x:c r="AJ293" s="312"/>
      <x:c r="AK293" s="312"/>
      <x:c r="AL293" s="312"/>
      <x:c r="AM293" s="312"/>
      <x:c r="AN293" s="312"/>
      <x:c r="AO293" s="315" t="n">
        <x:f>COUNT(AB293,AD293,AF293,AH293,AJ293)</x:f>
        <x:v>0</x:v>
      </x:c>
      <x:c r="AP293" s="315" t="n">
        <x:f>SUM(AB293,AD293,AF293,AH293,AJ293)</x:f>
        <x:v>0</x:v>
      </x:c>
      <x:c r="AQ293" s="333" t="n">
        <x:f>AA293*AB293+AC293*AD293+AE293*AF293+AG293*AH293+AI293*AJ293</x:f>
        <x:v>0</x:v>
      </x:c>
      <x:c r="AR293" s="333" t="n">
        <x:f>IF(OR(J293="Strength",J293="Hypertrophy"),MAX(IF(AB293&gt;0,AA293*(1+AB293/30),0),IF(AD293&gt;0,AC293*(1+AD293/30),0),IF(AF293&gt;0,AE293*(1+AF293/30),0),IF(AH293&gt;0,AG293*(1+AH293/30),0),IF(AJ293&gt;0,AI293*(1+AJ293/30),0)),0)</x:f>
        <x:v>0</x:v>
      </x:c>
      <x:c r="AS293" s="315" t="str">
        <x:f>IF(AN293&lt;&gt;"Yes","Not logged",IF(AL293&gt;='Setup'!$B$14,"STOP / MODIFY",IF(Z293=0,"Complete",IF(OR(AO293=0,AK293=""),"Add set data + RIR",IF(AND(MAX(AB293,AD293,AF293,AH293,AJ293)&gt;=P293,AK293&gt;=Q293+1),"Progress",IF(OR(MAX(AB293,AD293,AF293,AH293,AJ293)&lt;O293,AK293&lt;Q293-1),"Regress","Hold"))))))</x:f>
        <x:v>Not logged</x:v>
      </x:c>
      <x:c r="AT293" s="335" t="n">
        <x:f>IF(OR(Z293=0,AN293&lt;&gt;"Yes",AO293=0,AK293=""),0,IF(AL293&gt;='Setup'!$B$14,-2*'Setup'!$B$11,IF(AND(MAX(AB293,AD293,AF293,AH293,AJ293)&gt;=P293,AK293&gt;=Q293+1),'Setup'!$B$10,IF(OR(MAX(AB293,AD293,AF293,AH293,AJ293)&lt;O293,AK293&lt;Q293-1),-'Setup'!$B$11,0))))</x:f>
        <x:v>0</x:v>
      </x:c>
      <x:c r="AU293" s="333" t="n">
        <x:f>IF(Z293=0,0,IF(AN293&lt;&gt;"Yes",Z293,IF(COUNT(AA293,AC293,AE293,AG293,AI293)=0,Z293,ROUND((MAX(AA293,AC293,AE293,AG293,AI293)*(1+AT293))/'Setup'!$B$9,0)*'Setup'!$B$9)))</x:f>
        <x:v>0</x:v>
      </x:c>
      <x:c r="AV293" s="336"/>
    </x:row>
    <x:row r="294">
      <x:c r="A294" s="310" t="n">
        <x:f>'Setup'!$B$3+(C294-1)*7+(D294-1)</x:f>
        <x:v>46279</x:v>
      </x:c>
      <x:c r="B294" s="311" t="str">
        <x:v>6|1|8</x:v>
      </x:c>
      <x:c r="C294" s="311" t="n">
        <x:v>6</x:v>
      </x:c>
      <x:c r="D294" s="311" t="n">
        <x:v>1</x:v>
      </x:c>
      <x:c r="E294" s="311" t="str">
        <x:v>Intensification</x:v>
      </x:c>
      <x:c r="F294" s="311" t="str">
        <x:v>Lower Strength</x:v>
      </x:c>
      <x:c r="G294" s="311" t="str">
        <x:v>Squat and hinge strength</x:v>
      </x:c>
      <x:c r="H294" s="311" t="n">
        <x:v>8</x:v>
      </x:c>
      <x:c r="I294" s="311" t="str">
        <x:v>Ankle Dorsiflexion Mobilization</x:v>
      </x:c>
      <x:c r="J294" s="311" t="str">
        <x:v>Mobility</x:v>
      </x:c>
      <x:c r="K294" s="311" t="str">
        <x:v>Ankles</x:v>
      </x:c>
      <x:c r="L294" s="311" t="str">
        <x:v>Controlled mobility</x:v>
      </x:c>
      <x:c r="M294" s="311" t="str"/>
      <x:c r="N294" s="311" t="n">
        <x:v>2</x:v>
      </x:c>
      <x:c r="O294" s="311" t="n">
        <x:v>8</x:v>
      </x:c>
      <x:c r="P294" s="311" t="n">
        <x:v>12</x:v>
      </x:c>
      <x:c r="Q294" s="311" t="str"/>
      <x:c r="R294" s="311" t="n">
        <x:v>20</x:v>
      </x:c>
      <x:c r="S294" s="311" t="str">
        <x:v>Slow</x:v>
      </x:c>
      <x:c r="T294" s="330" t="n">
        <x:v>1</x:v>
      </x:c>
      <x:c r="U294" s="330" t="n">
        <x:v>0</x:v>
      </x:c>
      <x:c r="V294" s="331" t="str">
        <x:v>reps</x:v>
      </x:c>
      <x:c r="W294" s="332" t="str">
        <x:f>'Readiness'!K37</x:f>
      </x:c>
      <x:c r="X294" s="314" t="n">
        <x:f>'Readiness'!L37</x:f>
        <x:v>1</x:v>
      </x:c>
      <x:c r="Y294" s="315" t="n">
        <x:f>IF(J294="Mobility",N294,MAX(1,ROUND(N294*X294,0)))</x:f>
        <x:v>2</x:v>
      </x:c>
      <x:c r="Z294" s="333" t="n">
        <x:f>0</x:f>
        <x:v>0</x:v>
      </x:c>
      <x:c r="AA294" s="334"/>
      <x:c r="AB294" s="334"/>
      <x:c r="AC294" s="334"/>
      <x:c r="AD294" s="334"/>
      <x:c r="AE294" s="334"/>
      <x:c r="AF294" s="334"/>
      <x:c r="AG294" s="334"/>
      <x:c r="AH294" s="334"/>
      <x:c r="AI294" s="334"/>
      <x:c r="AJ294" s="312"/>
      <x:c r="AK294" s="312"/>
      <x:c r="AL294" s="312"/>
      <x:c r="AM294" s="312"/>
      <x:c r="AN294" s="312"/>
      <x:c r="AO294" s="315" t="n">
        <x:f>COUNT(AB294,AD294,AF294,AH294,AJ294)</x:f>
        <x:v>0</x:v>
      </x:c>
      <x:c r="AP294" s="315" t="n">
        <x:f>SUM(AB294,AD294,AF294,AH294,AJ294)</x:f>
        <x:v>0</x:v>
      </x:c>
      <x:c r="AQ294" s="333" t="n">
        <x:f>AA294*AB294+AC294*AD294+AE294*AF294+AG294*AH294+AI294*AJ294</x:f>
        <x:v>0</x:v>
      </x:c>
      <x:c r="AR294" s="333" t="n">
        <x:f>IF(OR(J294="Strength",J294="Hypertrophy"),MAX(IF(AB294&gt;0,AA294*(1+AB294/30),0),IF(AD294&gt;0,AC294*(1+AD294/30),0),IF(AF294&gt;0,AE294*(1+AF294/30),0),IF(AH294&gt;0,AG294*(1+AH294/30),0),IF(AJ294&gt;0,AI294*(1+AJ294/30),0)),0)</x:f>
        <x:v>0</x:v>
      </x:c>
      <x:c r="AS294" s="315" t="str">
        <x:f>IF(AN294&lt;&gt;"Yes","Not logged",IF(AL294&gt;='Setup'!$B$14,"STOP / MODIFY",IF(Z294=0,"Complete",IF(OR(AO294=0,AK294=""),"Add set data + RIR",IF(AND(MAX(AB294,AD294,AF294,AH294,AJ294)&gt;=P294,AK294&gt;=Q294+1),"Progress",IF(OR(MAX(AB294,AD294,AF294,AH294,AJ294)&lt;O294,AK294&lt;Q294-1),"Regress","Hold"))))))</x:f>
        <x:v>Not logged</x:v>
      </x:c>
      <x:c r="AT294" s="335" t="n">
        <x:f>IF(OR(Z294=0,AN294&lt;&gt;"Yes",AO294=0,AK294=""),0,IF(AL294&gt;='Setup'!$B$14,-2*'Setup'!$B$11,IF(AND(MAX(AB294,AD294,AF294,AH294,AJ294)&gt;=P294,AK294&gt;=Q294+1),'Setup'!$B$10,IF(OR(MAX(AB294,AD294,AF294,AH294,AJ294)&lt;O294,AK294&lt;Q294-1),-'Setup'!$B$11,0))))</x:f>
        <x:v>0</x:v>
      </x:c>
      <x:c r="AU294" s="333" t="n">
        <x:f>IF(Z294=0,0,IF(AN294&lt;&gt;"Yes",Z294,IF(COUNT(AA294,AC294,AE294,AG294,AI294)=0,Z294,ROUND((MAX(AA294,AC294,AE294,AG294,AI294)*(1+AT294))/'Setup'!$B$9,0)*'Setup'!$B$9)))</x:f>
        <x:v>0</x:v>
      </x:c>
      <x:c r="AV294" s="336"/>
    </x:row>
    <x:row r="295">
      <x:c r="A295" s="310" t="n">
        <x:f>'Setup'!$B$3+(C295-1)*7+(D295-1)</x:f>
        <x:v>46279</x:v>
      </x:c>
      <x:c r="B295" s="311" t="str">
        <x:v>6|1|9</x:v>
      </x:c>
      <x:c r="C295" s="311" t="n">
        <x:v>6</x:v>
      </x:c>
      <x:c r="D295" s="311" t="n">
        <x:v>1</x:v>
      </x:c>
      <x:c r="E295" s="311" t="str">
        <x:v>Intensification</x:v>
      </x:c>
      <x:c r="F295" s="311" t="str">
        <x:v>Lower Strength</x:v>
      </x:c>
      <x:c r="G295" s="311" t="str">
        <x:v>Squat and hinge strength</x:v>
      </x:c>
      <x:c r="H295" s="311" t="n">
        <x:v>9</x:v>
      </x:c>
      <x:c r="I295" s="311" t="str">
        <x:v>90/90 Hip Switch</x:v>
      </x:c>
      <x:c r="J295" s="311" t="str">
        <x:v>Mobility</x:v>
      </x:c>
      <x:c r="K295" s="311" t="str">
        <x:v>Hips</x:v>
      </x:c>
      <x:c r="L295" s="311" t="str">
        <x:v>Controlled mobility</x:v>
      </x:c>
      <x:c r="M295" s="311" t="str"/>
      <x:c r="N295" s="311" t="n">
        <x:v>2</x:v>
      </x:c>
      <x:c r="O295" s="311" t="n">
        <x:v>6</x:v>
      </x:c>
      <x:c r="P295" s="311" t="n">
        <x:v>10</x:v>
      </x:c>
      <x:c r="Q295" s="311" t="str"/>
      <x:c r="R295" s="311" t="n">
        <x:v>20</x:v>
      </x:c>
      <x:c r="S295" s="311" t="str">
        <x:v>Slow</x:v>
      </x:c>
      <x:c r="T295" s="330" t="n">
        <x:v>1</x:v>
      </x:c>
      <x:c r="U295" s="330" t="n">
        <x:v>0</x:v>
      </x:c>
      <x:c r="V295" s="331" t="str">
        <x:v>reps</x:v>
      </x:c>
      <x:c r="W295" s="332" t="str">
        <x:f>'Readiness'!K37</x:f>
      </x:c>
      <x:c r="X295" s="314" t="n">
        <x:f>'Readiness'!L37</x:f>
        <x:v>1</x:v>
      </x:c>
      <x:c r="Y295" s="315" t="n">
        <x:f>IF(J295="Mobility",N295,MAX(1,ROUND(N295*X295,0)))</x:f>
        <x:v>2</x:v>
      </x:c>
      <x:c r="Z295" s="333" t="n">
        <x:f>0</x:f>
        <x:v>0</x:v>
      </x:c>
      <x:c r="AA295" s="334"/>
      <x:c r="AB295" s="334"/>
      <x:c r="AC295" s="334"/>
      <x:c r="AD295" s="334"/>
      <x:c r="AE295" s="334"/>
      <x:c r="AF295" s="334"/>
      <x:c r="AG295" s="334"/>
      <x:c r="AH295" s="334"/>
      <x:c r="AI295" s="334"/>
      <x:c r="AJ295" s="312"/>
      <x:c r="AK295" s="312"/>
      <x:c r="AL295" s="312"/>
      <x:c r="AM295" s="312"/>
      <x:c r="AN295" s="312"/>
      <x:c r="AO295" s="315" t="n">
        <x:f>COUNT(AB295,AD295,AF295,AH295,AJ295)</x:f>
        <x:v>0</x:v>
      </x:c>
      <x:c r="AP295" s="315" t="n">
        <x:f>SUM(AB295,AD295,AF295,AH295,AJ295)</x:f>
        <x:v>0</x:v>
      </x:c>
      <x:c r="AQ295" s="333" t="n">
        <x:f>AA295*AB295+AC295*AD295+AE295*AF295+AG295*AH295+AI295*AJ295</x:f>
        <x:v>0</x:v>
      </x:c>
      <x:c r="AR295" s="333" t="n">
        <x:f>IF(OR(J295="Strength",J295="Hypertrophy"),MAX(IF(AB295&gt;0,AA295*(1+AB295/30),0),IF(AD295&gt;0,AC295*(1+AD295/30),0),IF(AF295&gt;0,AE295*(1+AF295/30),0),IF(AH295&gt;0,AG295*(1+AH295/30),0),IF(AJ295&gt;0,AI295*(1+AJ295/30),0)),0)</x:f>
        <x:v>0</x:v>
      </x:c>
      <x:c r="AS295" s="315" t="str">
        <x:f>IF(AN295&lt;&gt;"Yes","Not logged",IF(AL295&gt;='Setup'!$B$14,"STOP / MODIFY",IF(Z295=0,"Complete",IF(OR(AO295=0,AK295=""),"Add set data + RIR",IF(AND(MAX(AB295,AD295,AF295,AH295,AJ295)&gt;=P295,AK295&gt;=Q295+1),"Progress",IF(OR(MAX(AB295,AD295,AF295,AH295,AJ295)&lt;O295,AK295&lt;Q295-1),"Regress","Hold"))))))</x:f>
        <x:v>Not logged</x:v>
      </x:c>
      <x:c r="AT295" s="335" t="n">
        <x:f>IF(OR(Z295=0,AN295&lt;&gt;"Yes",AO295=0,AK295=""),0,IF(AL295&gt;='Setup'!$B$14,-2*'Setup'!$B$11,IF(AND(MAX(AB295,AD295,AF295,AH295,AJ295)&gt;=P295,AK295&gt;=Q295+1),'Setup'!$B$10,IF(OR(MAX(AB295,AD295,AF295,AH295,AJ295)&lt;O295,AK295&lt;Q295-1),-'Setup'!$B$11,0))))</x:f>
        <x:v>0</x:v>
      </x:c>
      <x:c r="AU295" s="333" t="n">
        <x:f>IF(Z295=0,0,IF(AN295&lt;&gt;"Yes",Z295,IF(COUNT(AA295,AC295,AE295,AG295,AI295)=0,Z295,ROUND((MAX(AA295,AC295,AE295,AG295,AI295)*(1+AT295))/'Setup'!$B$9,0)*'Setup'!$B$9)))</x:f>
        <x:v>0</x:v>
      </x:c>
      <x:c r="AV295" s="336"/>
    </x:row>
    <x:row r="296">
      <x:c r="A296" s="310" t="n">
        <x:f>'Setup'!$B$3+(C296-1)*7+(D296-1)</x:f>
        <x:v>46280</x:v>
      </x:c>
      <x:c r="B296" s="311" t="str">
        <x:v>6|2|1</x:v>
      </x:c>
      <x:c r="C296" s="311" t="n">
        <x:v>6</x:v>
      </x:c>
      <x:c r="D296" s="311" t="n">
        <x:v>2</x:v>
      </x:c>
      <x:c r="E296" s="311" t="str">
        <x:v>Intensification</x:v>
      </x:c>
      <x:c r="F296" s="311" t="str">
        <x:v>Upper Strength</x:v>
      </x:c>
      <x:c r="G296" s="311" t="str">
        <x:v>Heavy press, pull, and carry</x:v>
      </x:c>
      <x:c r="H296" s="311" t="n">
        <x:v>1</x:v>
      </x:c>
      <x:c r="I296" s="311" t="str">
        <x:v>Medicine Ball Chest Pass</x:v>
      </x:c>
      <x:c r="J296" s="311" t="str">
        <x:v>Power</x:v>
      </x:c>
      <x:c r="K296" s="311" t="str">
        <x:v>Chest</x:v>
      </x:c>
      <x:c r="L296" s="311" t="str">
        <x:v>Max intent, full reset</x:v>
      </x:c>
      <x:c r="M296" s="311" t="str"/>
      <x:c r="N296" s="311" t="n">
        <x:v>3</x:v>
      </x:c>
      <x:c r="O296" s="311" t="n">
        <x:v>3</x:v>
      </x:c>
      <x:c r="P296" s="311" t="n">
        <x:v>3</x:v>
      </x:c>
      <x:c r="Q296" s="311" t="n">
        <x:v>2</x:v>
      </x:c>
      <x:c r="R296" s="311" t="n">
        <x:v>60</x:v>
      </x:c>
      <x:c r="S296" s="311" t="str">
        <x:v>Explosive</x:v>
      </x:c>
      <x:c r="T296" s="330" t="n">
        <x:v>1</x:v>
      </x:c>
      <x:c r="U296" s="330" t="n">
        <x:v>0</x:v>
      </x:c>
      <x:c r="V296" s="331" t="str">
        <x:v>throw quality</x:v>
      </x:c>
      <x:c r="W296" s="332" t="str">
        <x:f>'Readiness'!K38</x:f>
      </x:c>
      <x:c r="X296" s="314" t="n">
        <x:f>'Readiness'!L38</x:f>
        <x:v>1</x:v>
      </x:c>
      <x:c r="Y296" s="315" t="n">
        <x:f>IF(J296="Mobility",N296,MAX(1,ROUND(N296*X296,0)))</x:f>
        <x:v>3</x:v>
      </x:c>
      <x:c r="Z296" s="333" t="n">
        <x:f>0</x:f>
        <x:v>0</x:v>
      </x:c>
      <x:c r="AA296" s="334"/>
      <x:c r="AB296" s="334"/>
      <x:c r="AC296" s="334"/>
      <x:c r="AD296" s="334"/>
      <x:c r="AE296" s="334"/>
      <x:c r="AF296" s="334"/>
      <x:c r="AG296" s="334"/>
      <x:c r="AH296" s="334"/>
      <x:c r="AI296" s="334"/>
      <x:c r="AJ296" s="312"/>
      <x:c r="AK296" s="312"/>
      <x:c r="AL296" s="312"/>
      <x:c r="AM296" s="312"/>
      <x:c r="AN296" s="312"/>
      <x:c r="AO296" s="315" t="n">
        <x:f>COUNT(AB296,AD296,AF296,AH296,AJ296)</x:f>
        <x:v>0</x:v>
      </x:c>
      <x:c r="AP296" s="315" t="n">
        <x:f>SUM(AB296,AD296,AF296,AH296,AJ296)</x:f>
        <x:v>0</x:v>
      </x:c>
      <x:c r="AQ296" s="333" t="n">
        <x:f>AA296*AB296+AC296*AD296+AE296*AF296+AG296*AH296+AI296*AJ296</x:f>
        <x:v>0</x:v>
      </x:c>
      <x:c r="AR296" s="333" t="n">
        <x:f>IF(OR(J296="Strength",J296="Hypertrophy"),MAX(IF(AB296&gt;0,AA296*(1+AB296/30),0),IF(AD296&gt;0,AC296*(1+AD296/30),0),IF(AF296&gt;0,AE296*(1+AF296/30),0),IF(AH296&gt;0,AG296*(1+AH296/30),0),IF(AJ296&gt;0,AI296*(1+AJ296/30),0)),0)</x:f>
        <x:v>0</x:v>
      </x:c>
      <x:c r="AS296" s="315" t="str">
        <x:f>IF(AN296&lt;&gt;"Yes","Not logged",IF(AL296&gt;='Setup'!$B$14,"STOP / MODIFY",IF(Z296=0,"Complete",IF(OR(AO296=0,AK296=""),"Add set data + RIR",IF(AND(MAX(AB296,AD296,AF296,AH296,AJ296)&gt;=P296,AK296&gt;=Q296+1),"Progress",IF(OR(MAX(AB296,AD296,AF296,AH296,AJ296)&lt;O296,AK296&lt;Q296-1),"Regress","Hold"))))))</x:f>
        <x:v>Not logged</x:v>
      </x:c>
      <x:c r="AT296" s="335" t="n">
        <x:f>IF(OR(Z296=0,AN296&lt;&gt;"Yes",AO296=0,AK296=""),0,IF(AL296&gt;='Setup'!$B$14,-2*'Setup'!$B$11,IF(AND(MAX(AB296,AD296,AF296,AH296,AJ296)&gt;=P296,AK296&gt;=Q296+1),'Setup'!$B$10,IF(OR(MAX(AB296,AD296,AF296,AH296,AJ296)&lt;O296,AK296&lt;Q296-1),-'Setup'!$B$11,0))))</x:f>
        <x:v>0</x:v>
      </x:c>
      <x:c r="AU296" s="333" t="n">
        <x:f>IF(Z296=0,0,IF(AN296&lt;&gt;"Yes",Z296,IF(COUNT(AA296,AC296,AE296,AG296,AI296)=0,Z296,ROUND((MAX(AA296,AC296,AE296,AG296,AI296)*(1+AT296))/'Setup'!$B$9,0)*'Setup'!$B$9)))</x:f>
        <x:v>0</x:v>
      </x:c>
      <x:c r="AV296" s="336"/>
    </x:row>
    <x:row r="297">
      <x:c r="A297" s="310" t="n">
        <x:f>'Setup'!$B$3+(C297-1)*7+(D297-1)</x:f>
        <x:v>46280</x:v>
      </x:c>
      <x:c r="B297" s="311" t="str">
        <x:v>6|2|2</x:v>
      </x:c>
      <x:c r="C297" s="311" t="n">
        <x:v>6</x:v>
      </x:c>
      <x:c r="D297" s="311" t="n">
        <x:v>2</x:v>
      </x:c>
      <x:c r="E297" s="311" t="str">
        <x:v>Intensification</x:v>
      </x:c>
      <x:c r="F297" s="311" t="str">
        <x:v>Upper Strength</x:v>
      </x:c>
      <x:c r="G297" s="311" t="str">
        <x:v>Heavy press, pull, and carry</x:v>
      </x:c>
      <x:c r="H297" s="311" t="n">
        <x:v>2</x:v>
      </x:c>
      <x:c r="I297" s="311" t="str">
        <x:v>Bench Press</x:v>
      </x:c>
      <x:c r="J297" s="311" t="str">
        <x:v>Strength</x:v>
      </x:c>
      <x:c r="K297" s="311" t="str">
        <x:v>Chest</x:v>
      </x:c>
      <x:c r="L297" s="311" t="str">
        <x:v>Top set + back-offs</x:v>
      </x:c>
      <x:c r="M297" s="311" t="str"/>
      <x:c r="N297" s="311" t="n">
        <x:v>5</x:v>
      </x:c>
      <x:c r="O297" s="311" t="n">
        <x:v>3</x:v>
      </x:c>
      <x:c r="P297" s="311" t="n">
        <x:v>5</x:v>
      </x:c>
      <x:c r="Q297" s="311" t="n">
        <x:v>2</x:v>
      </x:c>
      <x:c r="R297" s="311" t="n">
        <x:v>180</x:v>
      </x:c>
      <x:c r="S297" s="311" t="str">
        <x:v>2-0-X</x:v>
      </x:c>
      <x:c r="T297" s="330" t="n">
        <x:v>1</x:v>
      </x:c>
      <x:c r="U297" s="330" t="n">
        <x:v>0.8</x:v>
      </x:c>
      <x:c r="V297" s="331" t="str">
        <x:v>load × reps</x:v>
      </x:c>
      <x:c r="W297" s="332" t="str">
        <x:f>'Readiness'!K38</x:f>
      </x:c>
      <x:c r="X297" s="314" t="n">
        <x:f>'Readiness'!L38</x:f>
        <x:v>1</x:v>
      </x:c>
      <x:c r="Y297" s="315" t="n">
        <x:f>IF(J297="Mobility",N297,MAX(1,ROUND(N297*X297,0)))</x:f>
        <x:v>5</x:v>
      </x:c>
      <x:c r="Z297" s="333" t="n">
        <x:f>ROUND((IF(AU244&gt;0,AU244,IF(Z244&gt;0,Z244,'Setup'!$D$27))*T297)/'Setup'!$B$9,0)*'Setup'!$B$9</x:f>
        <x:v>0</x:v>
      </x:c>
      <x:c r="AA297" s="334"/>
      <x:c r="AB297" s="334"/>
      <x:c r="AC297" s="334"/>
      <x:c r="AD297" s="334"/>
      <x:c r="AE297" s="334"/>
      <x:c r="AF297" s="334"/>
      <x:c r="AG297" s="334"/>
      <x:c r="AH297" s="334"/>
      <x:c r="AI297" s="334"/>
      <x:c r="AJ297" s="312"/>
      <x:c r="AK297" s="312"/>
      <x:c r="AL297" s="312"/>
      <x:c r="AM297" s="312"/>
      <x:c r="AN297" s="312"/>
      <x:c r="AO297" s="315" t="n">
        <x:f>COUNT(AB297,AD297,AF297,AH297,AJ297)</x:f>
        <x:v>0</x:v>
      </x:c>
      <x:c r="AP297" s="315" t="n">
        <x:f>SUM(AB297,AD297,AF297,AH297,AJ297)</x:f>
        <x:v>0</x:v>
      </x:c>
      <x:c r="AQ297" s="333" t="n">
        <x:f>AA297*AB297+AC297*AD297+AE297*AF297+AG297*AH297+AI297*AJ297</x:f>
        <x:v>0</x:v>
      </x:c>
      <x:c r="AR297" s="333" t="n">
        <x:f>IF(OR(J297="Strength",J297="Hypertrophy"),MAX(IF(AB297&gt;0,AA297*(1+AB297/30),0),IF(AD297&gt;0,AC297*(1+AD297/30),0),IF(AF297&gt;0,AE297*(1+AF297/30),0),IF(AH297&gt;0,AG297*(1+AH297/30),0),IF(AJ297&gt;0,AI297*(1+AJ297/30),0)),0)</x:f>
        <x:v>0</x:v>
      </x:c>
      <x:c r="AS297" s="315" t="str">
        <x:f>IF(AN297&lt;&gt;"Yes","Not logged",IF(AL297&gt;='Setup'!$B$14,"STOP / MODIFY",IF(Z297=0,"Complete",IF(OR(AO297=0,AK297=""),"Add set data + RIR",IF(AND(MAX(AB297,AD297,AF297,AH297,AJ297)&gt;=P297,AK297&gt;=Q297+1),"Progress",IF(OR(MAX(AB297,AD297,AF297,AH297,AJ297)&lt;O297,AK297&lt;Q297-1),"Regress","Hold"))))))</x:f>
        <x:v>Not logged</x:v>
      </x:c>
      <x:c r="AT297" s="335" t="n">
        <x:f>IF(OR(Z297=0,AN297&lt;&gt;"Yes",AO297=0,AK297=""),0,IF(AL297&gt;='Setup'!$B$14,-2*'Setup'!$B$11,IF(AND(MAX(AB297,AD297,AF297,AH297,AJ297)&gt;=P297,AK297&gt;=Q297+1),'Setup'!$B$10,IF(OR(MAX(AB297,AD297,AF297,AH297,AJ297)&lt;O297,AK297&lt;Q297-1),-'Setup'!$B$11,0))))</x:f>
        <x:v>0</x:v>
      </x:c>
      <x:c r="AU297" s="333" t="n">
        <x:f>IF(Z297=0,0,IF(AN297&lt;&gt;"Yes",Z297,IF(COUNT(AA297,AC297,AE297,AG297,AI297)=0,Z297,ROUND((MAX(AA297,AC297,AE297,AG297,AI297)*(1+AT297))/'Setup'!$B$9,0)*'Setup'!$B$9)))</x:f>
        <x:v>0</x:v>
      </x:c>
      <x:c r="AV297" s="336"/>
    </x:row>
    <x:row r="298">
      <x:c r="A298" s="310" t="n">
        <x:f>'Setup'!$B$3+(C298-1)*7+(D298-1)</x:f>
        <x:v>46280</x:v>
      </x:c>
      <x:c r="B298" s="311" t="str">
        <x:v>6|2|3</x:v>
      </x:c>
      <x:c r="C298" s="311" t="n">
        <x:v>6</x:v>
      </x:c>
      <x:c r="D298" s="311" t="n">
        <x:v>2</x:v>
      </x:c>
      <x:c r="E298" s="311" t="str">
        <x:v>Intensification</x:v>
      </x:c>
      <x:c r="F298" s="311" t="str">
        <x:v>Upper Strength</x:v>
      </x:c>
      <x:c r="G298" s="311" t="str">
        <x:v>Heavy press, pull, and carry</x:v>
      </x:c>
      <x:c r="H298" s="311" t="n">
        <x:v>3</x:v>
      </x:c>
      <x:c r="I298" s="311" t="str">
        <x:v>Weighted Pull-Up</x:v>
      </x:c>
      <x:c r="J298" s="311" t="str">
        <x:v>Strength</x:v>
      </x:c>
      <x:c r="K298" s="311" t="str">
        <x:v>Back</x:v>
      </x:c>
      <x:c r="L298" s="311" t="str">
        <x:v>Straight sets</x:v>
      </x:c>
      <x:c r="M298" s="311" t="str"/>
      <x:c r="N298" s="311" t="n">
        <x:v>4</x:v>
      </x:c>
      <x:c r="O298" s="311" t="n">
        <x:v>4</x:v>
      </x:c>
      <x:c r="P298" s="311" t="n">
        <x:v>6</x:v>
      </x:c>
      <x:c r="Q298" s="311" t="n">
        <x:v>2</x:v>
      </x:c>
      <x:c r="R298" s="311" t="n">
        <x:v>150</x:v>
      </x:c>
      <x:c r="S298" s="311" t="str">
        <x:v>2-1-X</x:v>
      </x:c>
      <x:c r="T298" s="330" t="n">
        <x:v>1</x:v>
      </x:c>
      <x:c r="U298" s="330" t="n">
        <x:v>0</x:v>
      </x:c>
      <x:c r="V298" s="331" t="str">
        <x:v>load × reps</x:v>
      </x:c>
      <x:c r="W298" s="332" t="str">
        <x:f>'Readiness'!K38</x:f>
      </x:c>
      <x:c r="X298" s="314" t="n">
        <x:f>'Readiness'!L38</x:f>
        <x:v>1</x:v>
      </x:c>
      <x:c r="Y298" s="315" t="n">
        <x:f>IF(J298="Mobility",N298,MAX(1,ROUND(N298*X298,0)))</x:f>
        <x:v>4</x:v>
      </x:c>
      <x:c r="Z298" s="333" t="n">
        <x:f>ROUND((IF(AU245&gt;0,AU245,IF(Z245&gt;0,Z245,'Setup'!$D$94))*T298)/'Setup'!$B$9,0)*'Setup'!$B$9</x:f>
        <x:v>0</x:v>
      </x:c>
      <x:c r="AA298" s="334"/>
      <x:c r="AB298" s="334"/>
      <x:c r="AC298" s="334"/>
      <x:c r="AD298" s="334"/>
      <x:c r="AE298" s="334"/>
      <x:c r="AF298" s="334"/>
      <x:c r="AG298" s="334"/>
      <x:c r="AH298" s="334"/>
      <x:c r="AI298" s="334"/>
      <x:c r="AJ298" s="312"/>
      <x:c r="AK298" s="312"/>
      <x:c r="AL298" s="312"/>
      <x:c r="AM298" s="312"/>
      <x:c r="AN298" s="312"/>
      <x:c r="AO298" s="315" t="n">
        <x:f>COUNT(AB298,AD298,AF298,AH298,AJ298)</x:f>
        <x:v>0</x:v>
      </x:c>
      <x:c r="AP298" s="315" t="n">
        <x:f>SUM(AB298,AD298,AF298,AH298,AJ298)</x:f>
        <x:v>0</x:v>
      </x:c>
      <x:c r="AQ298" s="333" t="n">
        <x:f>AA298*AB298+AC298*AD298+AE298*AF298+AG298*AH298+AI298*AJ298</x:f>
        <x:v>0</x:v>
      </x:c>
      <x:c r="AR298" s="333" t="n">
        <x:f>IF(OR(J298="Strength",J298="Hypertrophy"),MAX(IF(AB298&gt;0,AA298*(1+AB298/30),0),IF(AD298&gt;0,AC298*(1+AD298/30),0),IF(AF298&gt;0,AE298*(1+AF298/30),0),IF(AH298&gt;0,AG298*(1+AH298/30),0),IF(AJ298&gt;0,AI298*(1+AJ298/30),0)),0)</x:f>
        <x:v>0</x:v>
      </x:c>
      <x:c r="AS298" s="315" t="str">
        <x:f>IF(AN298&lt;&gt;"Yes","Not logged",IF(AL298&gt;='Setup'!$B$14,"STOP / MODIFY",IF(Z298=0,"Complete",IF(OR(AO298=0,AK298=""),"Add set data + RIR",IF(AND(MAX(AB298,AD298,AF298,AH298,AJ298)&gt;=P298,AK298&gt;=Q298+1),"Progress",IF(OR(MAX(AB298,AD298,AF298,AH298,AJ298)&lt;O298,AK298&lt;Q298-1),"Regress","Hold"))))))</x:f>
        <x:v>Not logged</x:v>
      </x:c>
      <x:c r="AT298" s="335" t="n">
        <x:f>IF(OR(Z298=0,AN298&lt;&gt;"Yes",AO298=0,AK298=""),0,IF(AL298&gt;='Setup'!$B$14,-2*'Setup'!$B$11,IF(AND(MAX(AB298,AD298,AF298,AH298,AJ298)&gt;=P298,AK298&gt;=Q298+1),'Setup'!$B$10,IF(OR(MAX(AB298,AD298,AF298,AH298,AJ298)&lt;O298,AK298&lt;Q298-1),-'Setup'!$B$11,0))))</x:f>
        <x:v>0</x:v>
      </x:c>
      <x:c r="AU298" s="333" t="n">
        <x:f>IF(Z298=0,0,IF(AN298&lt;&gt;"Yes",Z298,IF(COUNT(AA298,AC298,AE298,AG298,AI298)=0,Z298,ROUND((MAX(AA298,AC298,AE298,AG298,AI298)*(1+AT298))/'Setup'!$B$9,0)*'Setup'!$B$9)))</x:f>
        <x:v>0</x:v>
      </x:c>
      <x:c r="AV298" s="336"/>
    </x:row>
    <x:row r="299">
      <x:c r="A299" s="310" t="n">
        <x:f>'Setup'!$B$3+(C299-1)*7+(D299-1)</x:f>
        <x:v>46280</x:v>
      </x:c>
      <x:c r="B299" s="311" t="str">
        <x:v>6|2|4</x:v>
      </x:c>
      <x:c r="C299" s="311" t="n">
        <x:v>6</x:v>
      </x:c>
      <x:c r="D299" s="311" t="n">
        <x:v>2</x:v>
      </x:c>
      <x:c r="E299" s="311" t="str">
        <x:v>Intensification</x:v>
      </x:c>
      <x:c r="F299" s="311" t="str">
        <x:v>Upper Strength</x:v>
      </x:c>
      <x:c r="G299" s="311" t="str">
        <x:v>Heavy press, pull, and carry</x:v>
      </x:c>
      <x:c r="H299" s="311" t="n">
        <x:v>4</x:v>
      </x:c>
      <x:c r="I299" s="311" t="str">
        <x:v>Overhead Press</x:v>
      </x:c>
      <x:c r="J299" s="311" t="str">
        <x:v>Strength</x:v>
      </x:c>
      <x:c r="K299" s="311" t="str">
        <x:v>Shoulders</x:v>
      </x:c>
      <x:c r="L299" s="311" t="str">
        <x:v>Straight sets</x:v>
      </x:c>
      <x:c r="M299" s="311" t="str"/>
      <x:c r="N299" s="311" t="n">
        <x:v>4</x:v>
      </x:c>
      <x:c r="O299" s="311" t="n">
        <x:v>4</x:v>
      </x:c>
      <x:c r="P299" s="311" t="n">
        <x:v>6</x:v>
      </x:c>
      <x:c r="Q299" s="311" t="n">
        <x:v>2</x:v>
      </x:c>
      <x:c r="R299" s="311" t="n">
        <x:v>150</x:v>
      </x:c>
      <x:c r="S299" s="311" t="str">
        <x:v>2-0-X</x:v>
      </x:c>
      <x:c r="T299" s="330" t="n">
        <x:v>1</x:v>
      </x:c>
      <x:c r="U299" s="330" t="n">
        <x:v>0.76</x:v>
      </x:c>
      <x:c r="V299" s="331" t="str">
        <x:v>load × reps</x:v>
      </x:c>
      <x:c r="W299" s="332" t="str">
        <x:f>'Readiness'!K38</x:f>
      </x:c>
      <x:c r="X299" s="314" t="n">
        <x:f>'Readiness'!L38</x:f>
        <x:v>1</x:v>
      </x:c>
      <x:c r="Y299" s="315" t="n">
        <x:f>IF(J299="Mobility",N299,MAX(1,ROUND(N299*X299,0)))</x:f>
        <x:v>4</x:v>
      </x:c>
      <x:c r="Z299" s="333" t="n">
        <x:f>ROUND((IF(AU246&gt;0,AU246,IF(Z246&gt;0,Z246,'Setup'!$D$70))*T299)/'Setup'!$B$9,0)*'Setup'!$B$9</x:f>
        <x:v>0</x:v>
      </x:c>
      <x:c r="AA299" s="334"/>
      <x:c r="AB299" s="334"/>
      <x:c r="AC299" s="334"/>
      <x:c r="AD299" s="334"/>
      <x:c r="AE299" s="334"/>
      <x:c r="AF299" s="334"/>
      <x:c r="AG299" s="334"/>
      <x:c r="AH299" s="334"/>
      <x:c r="AI299" s="334"/>
      <x:c r="AJ299" s="312"/>
      <x:c r="AK299" s="312"/>
      <x:c r="AL299" s="312"/>
      <x:c r="AM299" s="312"/>
      <x:c r="AN299" s="312"/>
      <x:c r="AO299" s="315" t="n">
        <x:f>COUNT(AB299,AD299,AF299,AH299,AJ299)</x:f>
        <x:v>0</x:v>
      </x:c>
      <x:c r="AP299" s="315" t="n">
        <x:f>SUM(AB299,AD299,AF299,AH299,AJ299)</x:f>
        <x:v>0</x:v>
      </x:c>
      <x:c r="AQ299" s="333" t="n">
        <x:f>AA299*AB299+AC299*AD299+AE299*AF299+AG299*AH299+AI299*AJ299</x:f>
        <x:v>0</x:v>
      </x:c>
      <x:c r="AR299" s="333" t="n">
        <x:f>IF(OR(J299="Strength",J299="Hypertrophy"),MAX(IF(AB299&gt;0,AA299*(1+AB299/30),0),IF(AD299&gt;0,AC299*(1+AD299/30),0),IF(AF299&gt;0,AE299*(1+AF299/30),0),IF(AH299&gt;0,AG299*(1+AH299/30),0),IF(AJ299&gt;0,AI299*(1+AJ299/30),0)),0)</x:f>
        <x:v>0</x:v>
      </x:c>
      <x:c r="AS299" s="315" t="str">
        <x:f>IF(AN299&lt;&gt;"Yes","Not logged",IF(AL299&gt;='Setup'!$B$14,"STOP / MODIFY",IF(Z299=0,"Complete",IF(OR(AO299=0,AK299=""),"Add set data + RIR",IF(AND(MAX(AB299,AD299,AF299,AH299,AJ299)&gt;=P299,AK299&gt;=Q299+1),"Progress",IF(OR(MAX(AB299,AD299,AF299,AH299,AJ299)&lt;O299,AK299&lt;Q299-1),"Regress","Hold"))))))</x:f>
        <x:v>Not logged</x:v>
      </x:c>
      <x:c r="AT299" s="335" t="n">
        <x:f>IF(OR(Z299=0,AN299&lt;&gt;"Yes",AO299=0,AK299=""),0,IF(AL299&gt;='Setup'!$B$14,-2*'Setup'!$B$11,IF(AND(MAX(AB299,AD299,AF299,AH299,AJ299)&gt;=P299,AK299&gt;=Q299+1),'Setup'!$B$10,IF(OR(MAX(AB299,AD299,AF299,AH299,AJ299)&lt;O299,AK299&lt;Q299-1),-'Setup'!$B$11,0))))</x:f>
        <x:v>0</x:v>
      </x:c>
      <x:c r="AU299" s="333" t="n">
        <x:f>IF(Z299=0,0,IF(AN299&lt;&gt;"Yes",Z299,IF(COUNT(AA299,AC299,AE299,AG299,AI299)=0,Z299,ROUND((MAX(AA299,AC299,AE299,AG299,AI299)*(1+AT299))/'Setup'!$B$9,0)*'Setup'!$B$9)))</x:f>
        <x:v>0</x:v>
      </x:c>
      <x:c r="AV299" s="336"/>
    </x:row>
    <x:row r="300">
      <x:c r="A300" s="310" t="n">
        <x:f>'Setup'!$B$3+(C300-1)*7+(D300-1)</x:f>
        <x:v>46280</x:v>
      </x:c>
      <x:c r="B300" s="311" t="str">
        <x:v>6|2|5</x:v>
      </x:c>
      <x:c r="C300" s="311" t="n">
        <x:v>6</x:v>
      </x:c>
      <x:c r="D300" s="311" t="n">
        <x:v>2</x:v>
      </x:c>
      <x:c r="E300" s="311" t="str">
        <x:v>Intensification</x:v>
      </x:c>
      <x:c r="F300" s="311" t="str">
        <x:v>Upper Strength</x:v>
      </x:c>
      <x:c r="G300" s="311" t="str">
        <x:v>Heavy press, pull, and carry</x:v>
      </x:c>
      <x:c r="H300" s="311" t="n">
        <x:v>5</x:v>
      </x:c>
      <x:c r="I300" s="311" t="str">
        <x:v>Barbell Row</x:v>
      </x:c>
      <x:c r="J300" s="311" t="str">
        <x:v>Strength</x:v>
      </x:c>
      <x:c r="K300" s="311" t="str">
        <x:v>Back</x:v>
      </x:c>
      <x:c r="L300" s="311" t="str">
        <x:v>Straight sets</x:v>
      </x:c>
      <x:c r="M300" s="311" t="str"/>
      <x:c r="N300" s="311" t="n">
        <x:v>4</x:v>
      </x:c>
      <x:c r="O300" s="311" t="n">
        <x:v>5</x:v>
      </x:c>
      <x:c r="P300" s="311" t="n">
        <x:v>7</x:v>
      </x:c>
      <x:c r="Q300" s="311" t="n">
        <x:v>2</x:v>
      </x:c>
      <x:c r="R300" s="311" t="n">
        <x:v>120</x:v>
      </x:c>
      <x:c r="S300" s="311" t="str">
        <x:v>2-1-1</x:v>
      </x:c>
      <x:c r="T300" s="330" t="n">
        <x:v>1</x:v>
      </x:c>
      <x:c r="U300" s="330" t="n">
        <x:v>0</x:v>
      </x:c>
      <x:c r="V300" s="331" t="str">
        <x:v>load × reps</x:v>
      </x:c>
      <x:c r="W300" s="332" t="str">
        <x:f>'Readiness'!K38</x:f>
      </x:c>
      <x:c r="X300" s="314" t="n">
        <x:f>'Readiness'!L38</x:f>
        <x:v>1</x:v>
      </x:c>
      <x:c r="Y300" s="315" t="n">
        <x:f>IF(J300="Mobility",N300,MAX(1,ROUND(N300*X300,0)))</x:f>
        <x:v>4</x:v>
      </x:c>
      <x:c r="Z300" s="333" t="n">
        <x:f>ROUND((IF(AU247&gt;0,AU247,IF(Z247&gt;0,Z247,'Setup'!$D$26))*T300)/'Setup'!$B$9,0)*'Setup'!$B$9</x:f>
        <x:v>0</x:v>
      </x:c>
      <x:c r="AA300" s="334"/>
      <x:c r="AB300" s="334"/>
      <x:c r="AC300" s="334"/>
      <x:c r="AD300" s="334"/>
      <x:c r="AE300" s="334"/>
      <x:c r="AF300" s="334"/>
      <x:c r="AG300" s="334"/>
      <x:c r="AH300" s="334"/>
      <x:c r="AI300" s="334"/>
      <x:c r="AJ300" s="312"/>
      <x:c r="AK300" s="312"/>
      <x:c r="AL300" s="312"/>
      <x:c r="AM300" s="312"/>
      <x:c r="AN300" s="312"/>
      <x:c r="AO300" s="315" t="n">
        <x:f>COUNT(AB300,AD300,AF300,AH300,AJ300)</x:f>
        <x:v>0</x:v>
      </x:c>
      <x:c r="AP300" s="315" t="n">
        <x:f>SUM(AB300,AD300,AF300,AH300,AJ300)</x:f>
        <x:v>0</x:v>
      </x:c>
      <x:c r="AQ300" s="333" t="n">
        <x:f>AA300*AB300+AC300*AD300+AE300*AF300+AG300*AH300+AI300*AJ300</x:f>
        <x:v>0</x:v>
      </x:c>
      <x:c r="AR300" s="333" t="n">
        <x:f>IF(OR(J300="Strength",J300="Hypertrophy"),MAX(IF(AB300&gt;0,AA300*(1+AB300/30),0),IF(AD300&gt;0,AC300*(1+AD300/30),0),IF(AF300&gt;0,AE300*(1+AF300/30),0),IF(AH300&gt;0,AG300*(1+AH300/30),0),IF(AJ300&gt;0,AI300*(1+AJ300/30),0)),0)</x:f>
        <x:v>0</x:v>
      </x:c>
      <x:c r="AS300" s="315" t="str">
        <x:f>IF(AN300&lt;&gt;"Yes","Not logged",IF(AL300&gt;='Setup'!$B$14,"STOP / MODIFY",IF(Z300=0,"Complete",IF(OR(AO300=0,AK300=""),"Add set data + RIR",IF(AND(MAX(AB300,AD300,AF300,AH300,AJ300)&gt;=P300,AK300&gt;=Q300+1),"Progress",IF(OR(MAX(AB300,AD300,AF300,AH300,AJ300)&lt;O300,AK300&lt;Q300-1),"Regress","Hold"))))))</x:f>
        <x:v>Not logged</x:v>
      </x:c>
      <x:c r="AT300" s="335" t="n">
        <x:f>IF(OR(Z300=0,AN300&lt;&gt;"Yes",AO300=0,AK300=""),0,IF(AL300&gt;='Setup'!$B$14,-2*'Setup'!$B$11,IF(AND(MAX(AB300,AD300,AF300,AH300,AJ300)&gt;=P300,AK300&gt;=Q300+1),'Setup'!$B$10,IF(OR(MAX(AB300,AD300,AF300,AH300,AJ300)&lt;O300,AK300&lt;Q300-1),-'Setup'!$B$11,0))))</x:f>
        <x:v>0</x:v>
      </x:c>
      <x:c r="AU300" s="333" t="n">
        <x:f>IF(Z300=0,0,IF(AN300&lt;&gt;"Yes",Z300,IF(COUNT(AA300,AC300,AE300,AG300,AI300)=0,Z300,ROUND((MAX(AA300,AC300,AE300,AG300,AI300)*(1+AT300))/'Setup'!$B$9,0)*'Setup'!$B$9)))</x:f>
        <x:v>0</x:v>
      </x:c>
      <x:c r="AV300" s="336"/>
    </x:row>
    <x:row r="301">
      <x:c r="A301" s="310" t="n">
        <x:f>'Setup'!$B$3+(C301-1)*7+(D301-1)</x:f>
        <x:v>46280</x:v>
      </x:c>
      <x:c r="B301" s="311" t="str">
        <x:v>6|2|6</x:v>
      </x:c>
      <x:c r="C301" s="311" t="n">
        <x:v>6</x:v>
      </x:c>
      <x:c r="D301" s="311" t="n">
        <x:v>2</x:v>
      </x:c>
      <x:c r="E301" s="311" t="str">
        <x:v>Intensification</x:v>
      </x:c>
      <x:c r="F301" s="311" t="str">
        <x:v>Upper Strength</x:v>
      </x:c>
      <x:c r="G301" s="311" t="str">
        <x:v>Heavy press, pull, and carry</x:v>
      </x:c>
      <x:c r="H301" s="311" t="n">
        <x:v>6</x:v>
      </x:c>
      <x:c r="I301" s="311" t="str">
        <x:v>Kettlebell Bottom-Up Carry</x:v>
      </x:c>
      <x:c r="J301" s="311" t="str">
        <x:v>Athletic</x:v>
      </x:c>
      <x:c r="K301" s="311" t="str">
        <x:v>Shoulders</x:v>
      </x:c>
      <x:c r="L301" s="311" t="str">
        <x:v>Stable wrist and stacked ribs</x:v>
      </x:c>
      <x:c r="M301" s="311" t="str"/>
      <x:c r="N301" s="311" t="n">
        <x:v>3</x:v>
      </x:c>
      <x:c r="O301" s="311" t="n">
        <x:v>20</x:v>
      </x:c>
      <x:c r="P301" s="311" t="n">
        <x:v>30</x:v>
      </x:c>
      <x:c r="Q301" s="311" t="n">
        <x:v>2</x:v>
      </x:c>
      <x:c r="R301" s="311" t="n">
        <x:v>60</x:v>
      </x:c>
      <x:c r="S301" s="311" t="str">
        <x:v>Controlled</x:v>
      </x:c>
      <x:c r="T301" s="330" t="n">
        <x:v>1</x:v>
      </x:c>
      <x:c r="U301" s="330" t="n">
        <x:v>0</x:v>
      </x:c>
      <x:c r="V301" s="331" t="str">
        <x:v>load + meters</x:v>
      </x:c>
      <x:c r="W301" s="332" t="str">
        <x:f>'Readiness'!K38</x:f>
      </x:c>
      <x:c r="X301" s="314" t="n">
        <x:f>'Readiness'!L38</x:f>
        <x:v>1</x:v>
      </x:c>
      <x:c r="Y301" s="315" t="n">
        <x:f>IF(J301="Mobility",N301,MAX(1,ROUND(N301*X301,0)))</x:f>
        <x:v>3</x:v>
      </x:c>
      <x:c r="Z301" s="333" t="n">
        <x:f>0</x:f>
        <x:v>0</x:v>
      </x:c>
      <x:c r="AA301" s="334"/>
      <x:c r="AB301" s="334"/>
      <x:c r="AC301" s="334"/>
      <x:c r="AD301" s="334"/>
      <x:c r="AE301" s="334"/>
      <x:c r="AF301" s="334"/>
      <x:c r="AG301" s="334"/>
      <x:c r="AH301" s="334"/>
      <x:c r="AI301" s="334"/>
      <x:c r="AJ301" s="312"/>
      <x:c r="AK301" s="312"/>
      <x:c r="AL301" s="312"/>
      <x:c r="AM301" s="312"/>
      <x:c r="AN301" s="312"/>
      <x:c r="AO301" s="315" t="n">
        <x:f>COUNT(AB301,AD301,AF301,AH301,AJ301)</x:f>
        <x:v>0</x:v>
      </x:c>
      <x:c r="AP301" s="315" t="n">
        <x:f>SUM(AB301,AD301,AF301,AH301,AJ301)</x:f>
        <x:v>0</x:v>
      </x:c>
      <x:c r="AQ301" s="333" t="n">
        <x:f>AA301*AB301+AC301*AD301+AE301*AF301+AG301*AH301+AI301*AJ301</x:f>
        <x:v>0</x:v>
      </x:c>
      <x:c r="AR301" s="333" t="n">
        <x:f>IF(OR(J301="Strength",J301="Hypertrophy"),MAX(IF(AB301&gt;0,AA301*(1+AB301/30),0),IF(AD301&gt;0,AC301*(1+AD301/30),0),IF(AF301&gt;0,AE301*(1+AF301/30),0),IF(AH301&gt;0,AG301*(1+AH301/30),0),IF(AJ301&gt;0,AI301*(1+AJ301/30),0)),0)</x:f>
        <x:v>0</x:v>
      </x:c>
      <x:c r="AS301" s="315" t="str">
        <x:f>IF(AN301&lt;&gt;"Yes","Not logged",IF(AL301&gt;='Setup'!$B$14,"STOP / MODIFY",IF(Z301=0,"Complete",IF(OR(AO301=0,AK301=""),"Add set data + RIR",IF(AND(MAX(AB301,AD301,AF301,AH301,AJ301)&gt;=P301,AK301&gt;=Q301+1),"Progress",IF(OR(MAX(AB301,AD301,AF301,AH301,AJ301)&lt;O301,AK301&lt;Q301-1),"Regress","Hold"))))))</x:f>
        <x:v>Not logged</x:v>
      </x:c>
      <x:c r="AT301" s="335" t="n">
        <x:f>IF(OR(Z301=0,AN301&lt;&gt;"Yes",AO301=0,AK301=""),0,IF(AL301&gt;='Setup'!$B$14,-2*'Setup'!$B$11,IF(AND(MAX(AB301,AD301,AF301,AH301,AJ301)&gt;=P301,AK301&gt;=Q301+1),'Setup'!$B$10,IF(OR(MAX(AB301,AD301,AF301,AH301,AJ301)&lt;O301,AK301&lt;Q301-1),-'Setup'!$B$11,0))))</x:f>
        <x:v>0</x:v>
      </x:c>
      <x:c r="AU301" s="333" t="n">
        <x:f>IF(Z301=0,0,IF(AN301&lt;&gt;"Yes",Z301,IF(COUNT(AA301,AC301,AE301,AG301,AI301)=0,Z301,ROUND((MAX(AA301,AC301,AE301,AG301,AI301)*(1+AT301))/'Setup'!$B$9,0)*'Setup'!$B$9)))</x:f>
        <x:v>0</x:v>
      </x:c>
      <x:c r="AV301" s="336"/>
    </x:row>
    <x:row r="302">
      <x:c r="A302" s="310" t="n">
        <x:f>'Setup'!$B$3+(C302-1)*7+(D302-1)</x:f>
        <x:v>46280</x:v>
      </x:c>
      <x:c r="B302" s="311" t="str">
        <x:v>6|2|7</x:v>
      </x:c>
      <x:c r="C302" s="311" t="n">
        <x:v>6</x:v>
      </x:c>
      <x:c r="D302" s="311" t="n">
        <x:v>2</x:v>
      </x:c>
      <x:c r="E302" s="311" t="str">
        <x:v>Intensification</x:v>
      </x:c>
      <x:c r="F302" s="311" t="str">
        <x:v>Upper Strength</x:v>
      </x:c>
      <x:c r="G302" s="311" t="str">
        <x:v>Heavy press, pull, and carry</x:v>
      </x:c>
      <x:c r="H302" s="311" t="n">
        <x:v>7</x:v>
      </x:c>
      <x:c r="I302" s="311" t="str">
        <x:v>Chest-Supported Dumbbell Row</x:v>
      </x:c>
      <x:c r="J302" s="311" t="str">
        <x:v>Hypertrophy</x:v>
      </x:c>
      <x:c r="K302" s="311" t="str">
        <x:v>Back</x:v>
      </x:c>
      <x:c r="L302" s="311" t="str">
        <x:v>Straight sets</x:v>
      </x:c>
      <x:c r="M302" s="311" t="str"/>
      <x:c r="N302" s="311" t="n">
        <x:v>4</x:v>
      </x:c>
      <x:c r="O302" s="311" t="n">
        <x:v>6</x:v>
      </x:c>
      <x:c r="P302" s="311" t="n">
        <x:v>8</x:v>
      </x:c>
      <x:c r="Q302" s="311" t="n">
        <x:v>2</x:v>
      </x:c>
      <x:c r="R302" s="311" t="n">
        <x:v>90</x:v>
      </x:c>
      <x:c r="S302" s="311" t="str">
        <x:v>2-1-1</x:v>
      </x:c>
      <x:c r="T302" s="330" t="n">
        <x:v>1</x:v>
      </x:c>
      <x:c r="U302" s="330" t="n">
        <x:v>0</x:v>
      </x:c>
      <x:c r="V302" s="331" t="str">
        <x:v>load × reps</x:v>
      </x:c>
      <x:c r="W302" s="332" t="str">
        <x:f>'Readiness'!K38</x:f>
      </x:c>
      <x:c r="X302" s="314" t="n">
        <x:f>'Readiness'!L38</x:f>
        <x:v>1</x:v>
      </x:c>
      <x:c r="Y302" s="315" t="n">
        <x:f>IF(J302="Mobility",N302,MAX(1,ROUND(N302*X302,0)))</x:f>
        <x:v>4</x:v>
      </x:c>
      <x:c r="Z302" s="333" t="n">
        <x:f>ROUND((IF(AU269&gt;0,AU269,IF(Z269&gt;0,Z269,'Setup'!$D$34))*T302)/'Setup'!$B$9,0)*'Setup'!$B$9</x:f>
        <x:v>0</x:v>
      </x:c>
      <x:c r="AA302" s="334"/>
      <x:c r="AB302" s="334"/>
      <x:c r="AC302" s="334"/>
      <x:c r="AD302" s="334"/>
      <x:c r="AE302" s="334"/>
      <x:c r="AF302" s="334"/>
      <x:c r="AG302" s="334"/>
      <x:c r="AH302" s="334"/>
      <x:c r="AI302" s="334"/>
      <x:c r="AJ302" s="312"/>
      <x:c r="AK302" s="312"/>
      <x:c r="AL302" s="312"/>
      <x:c r="AM302" s="312"/>
      <x:c r="AN302" s="312"/>
      <x:c r="AO302" s="315" t="n">
        <x:f>COUNT(AB302,AD302,AF302,AH302,AJ302)</x:f>
        <x:v>0</x:v>
      </x:c>
      <x:c r="AP302" s="315" t="n">
        <x:f>SUM(AB302,AD302,AF302,AH302,AJ302)</x:f>
        <x:v>0</x:v>
      </x:c>
      <x:c r="AQ302" s="333" t="n">
        <x:f>AA302*AB302+AC302*AD302+AE302*AF302+AG302*AH302+AI302*AJ302</x:f>
        <x:v>0</x:v>
      </x:c>
      <x:c r="AR302" s="333" t="n">
        <x:f>IF(OR(J302="Strength",J302="Hypertrophy"),MAX(IF(AB302&gt;0,AA302*(1+AB302/30),0),IF(AD302&gt;0,AC302*(1+AD302/30),0),IF(AF302&gt;0,AE302*(1+AF302/30),0),IF(AH302&gt;0,AG302*(1+AH302/30),0),IF(AJ302&gt;0,AI302*(1+AJ302/30),0)),0)</x:f>
        <x:v>0</x:v>
      </x:c>
      <x:c r="AS302" s="315" t="str">
        <x:f>IF(AN302&lt;&gt;"Yes","Not logged",IF(AL302&gt;='Setup'!$B$14,"STOP / MODIFY",IF(Z302=0,"Complete",IF(OR(AO302=0,AK302=""),"Add set data + RIR",IF(AND(MAX(AB302,AD302,AF302,AH302,AJ302)&gt;=P302,AK302&gt;=Q302+1),"Progress",IF(OR(MAX(AB302,AD302,AF302,AH302,AJ302)&lt;O302,AK302&lt;Q302-1),"Regress","Hold"))))))</x:f>
        <x:v>Not logged</x:v>
      </x:c>
      <x:c r="AT302" s="335" t="n">
        <x:f>IF(OR(Z302=0,AN302&lt;&gt;"Yes",AO302=0,AK302=""),0,IF(AL302&gt;='Setup'!$B$14,-2*'Setup'!$B$11,IF(AND(MAX(AB302,AD302,AF302,AH302,AJ302)&gt;=P302,AK302&gt;=Q302+1),'Setup'!$B$10,IF(OR(MAX(AB302,AD302,AF302,AH302,AJ302)&lt;O302,AK302&lt;Q302-1),-'Setup'!$B$11,0))))</x:f>
        <x:v>0</x:v>
      </x:c>
      <x:c r="AU302" s="333" t="n">
        <x:f>IF(Z302=0,0,IF(AN302&lt;&gt;"Yes",Z302,IF(COUNT(AA302,AC302,AE302,AG302,AI302)=0,Z302,ROUND((MAX(AA302,AC302,AE302,AG302,AI302)*(1+AT302))/'Setup'!$B$9,0)*'Setup'!$B$9)))</x:f>
        <x:v>0</x:v>
      </x:c>
      <x:c r="AV302" s="336"/>
    </x:row>
    <x:row r="303">
      <x:c r="A303" s="310" t="n">
        <x:f>'Setup'!$B$3+(C303-1)*7+(D303-1)</x:f>
        <x:v>46280</x:v>
      </x:c>
      <x:c r="B303" s="311" t="str">
        <x:v>6|2|8</x:v>
      </x:c>
      <x:c r="C303" s="311" t="n">
        <x:v>6</x:v>
      </x:c>
      <x:c r="D303" s="311" t="n">
        <x:v>2</x:v>
      </x:c>
      <x:c r="E303" s="311" t="str">
        <x:v>Intensification</x:v>
      </x:c>
      <x:c r="F303" s="311" t="str">
        <x:v>Upper Strength</x:v>
      </x:c>
      <x:c r="G303" s="311" t="str">
        <x:v>Heavy press, pull, and carry</x:v>
      </x:c>
      <x:c r="H303" s="311" t="n">
        <x:v>8</x:v>
      </x:c>
      <x:c r="I303" s="311" t="str">
        <x:v>Farmer Carry</x:v>
      </x:c>
      <x:c r="J303" s="311" t="str">
        <x:v>Athletic</x:v>
      </x:c>
      <x:c r="K303" s="311" t="str">
        <x:v>Full Body</x:v>
      </x:c>
      <x:c r="L303" s="311" t="str">
        <x:v>Tall posture, fast feet</x:v>
      </x:c>
      <x:c r="M303" s="311" t="str"/>
      <x:c r="N303" s="311" t="n">
        <x:v>4</x:v>
      </x:c>
      <x:c r="O303" s="311" t="n">
        <x:v>30</x:v>
      </x:c>
      <x:c r="P303" s="311" t="n">
        <x:v>40</x:v>
      </x:c>
      <x:c r="Q303" s="311" t="n">
        <x:v>2</x:v>
      </x:c>
      <x:c r="R303" s="311" t="n">
        <x:v>75</x:v>
      </x:c>
      <x:c r="S303" s="311" t="str">
        <x:v>Controlled</x:v>
      </x:c>
      <x:c r="T303" s="330" t="n">
        <x:v>1</x:v>
      </x:c>
      <x:c r="U303" s="330" t="n">
        <x:v>0</x:v>
      </x:c>
      <x:c r="V303" s="331" t="str">
        <x:v>load + meters</x:v>
      </x:c>
      <x:c r="W303" s="332" t="str">
        <x:f>'Readiness'!K38</x:f>
      </x:c>
      <x:c r="X303" s="314" t="n">
        <x:f>'Readiness'!L38</x:f>
        <x:v>1</x:v>
      </x:c>
      <x:c r="Y303" s="315" t="n">
        <x:f>IF(J303="Mobility",N303,MAX(1,ROUND(N303*X303,0)))</x:f>
        <x:v>4</x:v>
      </x:c>
      <x:c r="Z303" s="333" t="n">
        <x:f>0</x:f>
        <x:v>0</x:v>
      </x:c>
      <x:c r="AA303" s="334"/>
      <x:c r="AB303" s="334"/>
      <x:c r="AC303" s="334"/>
      <x:c r="AD303" s="334"/>
      <x:c r="AE303" s="334"/>
      <x:c r="AF303" s="334"/>
      <x:c r="AG303" s="334"/>
      <x:c r="AH303" s="334"/>
      <x:c r="AI303" s="334"/>
      <x:c r="AJ303" s="312"/>
      <x:c r="AK303" s="312"/>
      <x:c r="AL303" s="312"/>
      <x:c r="AM303" s="312"/>
      <x:c r="AN303" s="312"/>
      <x:c r="AO303" s="315" t="n">
        <x:f>COUNT(AB303,AD303,AF303,AH303,AJ303)</x:f>
        <x:v>0</x:v>
      </x:c>
      <x:c r="AP303" s="315" t="n">
        <x:f>SUM(AB303,AD303,AF303,AH303,AJ303)</x:f>
        <x:v>0</x:v>
      </x:c>
      <x:c r="AQ303" s="333" t="n">
        <x:f>AA303*AB303+AC303*AD303+AE303*AF303+AG303*AH303+AI303*AJ303</x:f>
        <x:v>0</x:v>
      </x:c>
      <x:c r="AR303" s="333" t="n">
        <x:f>IF(OR(J303="Strength",J303="Hypertrophy"),MAX(IF(AB303&gt;0,AA303*(1+AB303/30),0),IF(AD303&gt;0,AC303*(1+AD303/30),0),IF(AF303&gt;0,AE303*(1+AF303/30),0),IF(AH303&gt;0,AG303*(1+AH303/30),0),IF(AJ303&gt;0,AI303*(1+AJ303/30),0)),0)</x:f>
        <x:v>0</x:v>
      </x:c>
      <x:c r="AS303" s="315" t="str">
        <x:f>IF(AN303&lt;&gt;"Yes","Not logged",IF(AL303&gt;='Setup'!$B$14,"STOP / MODIFY",IF(Z303=0,"Complete",IF(OR(AO303=0,AK303=""),"Add set data + RIR",IF(AND(MAX(AB303,AD303,AF303,AH303,AJ303)&gt;=P303,AK303&gt;=Q303+1),"Progress",IF(OR(MAX(AB303,AD303,AF303,AH303,AJ303)&lt;O303,AK303&lt;Q303-1),"Regress","Hold"))))))</x:f>
        <x:v>Not logged</x:v>
      </x:c>
      <x:c r="AT303" s="335" t="n">
        <x:f>IF(OR(Z303=0,AN303&lt;&gt;"Yes",AO303=0,AK303=""),0,IF(AL303&gt;='Setup'!$B$14,-2*'Setup'!$B$11,IF(AND(MAX(AB303,AD303,AF303,AH303,AJ303)&gt;=P303,AK303&gt;=Q303+1),'Setup'!$B$10,IF(OR(MAX(AB303,AD303,AF303,AH303,AJ303)&lt;O303,AK303&lt;Q303-1),-'Setup'!$B$11,0))))</x:f>
        <x:v>0</x:v>
      </x:c>
      <x:c r="AU303" s="333" t="n">
        <x:f>IF(Z303=0,0,IF(AN303&lt;&gt;"Yes",Z303,IF(COUNT(AA303,AC303,AE303,AG303,AI303)=0,Z303,ROUND((MAX(AA303,AC303,AE303,AG303,AI303)*(1+AT303))/'Setup'!$B$9,0)*'Setup'!$B$9)))</x:f>
        <x:v>0</x:v>
      </x:c>
      <x:c r="AV303" s="336"/>
    </x:row>
    <x:row r="304">
      <x:c r="A304" s="310" t="n">
        <x:f>'Setup'!$B$3+(C304-1)*7+(D304-1)</x:f>
        <x:v>46280</x:v>
      </x:c>
      <x:c r="B304" s="311" t="str">
        <x:v>6|2|9</x:v>
      </x:c>
      <x:c r="C304" s="311" t="n">
        <x:v>6</x:v>
      </x:c>
      <x:c r="D304" s="311" t="n">
        <x:v>2</x:v>
      </x:c>
      <x:c r="E304" s="311" t="str">
        <x:v>Intensification</x:v>
      </x:c>
      <x:c r="F304" s="311" t="str">
        <x:v>Upper Strength</x:v>
      </x:c>
      <x:c r="G304" s="311" t="str">
        <x:v>Heavy press, pull, and carry</x:v>
      </x:c>
      <x:c r="H304" s="311" t="n">
        <x:v>9</x:v>
      </x:c>
      <x:c r="I304" s="311" t="str">
        <x:v>Shoulder CARs</x:v>
      </x:c>
      <x:c r="J304" s="311" t="str">
        <x:v>Mobility</x:v>
      </x:c>
      <x:c r="K304" s="311" t="str">
        <x:v>Shoulders</x:v>
      </x:c>
      <x:c r="L304" s="311" t="str">
        <x:v>Controlled articular rotation</x:v>
      </x:c>
      <x:c r="M304" s="311" t="str"/>
      <x:c r="N304" s="311" t="n">
        <x:v>2</x:v>
      </x:c>
      <x:c r="O304" s="311" t="n">
        <x:v>3</x:v>
      </x:c>
      <x:c r="P304" s="311" t="n">
        <x:v>5</x:v>
      </x:c>
      <x:c r="Q304" s="311" t="str"/>
      <x:c r="R304" s="311" t="n">
        <x:v>20</x:v>
      </x:c>
      <x:c r="S304" s="311" t="str">
        <x:v>Slow</x:v>
      </x:c>
      <x:c r="T304" s="330" t="n">
        <x:v>1</x:v>
      </x:c>
      <x:c r="U304" s="330" t="n">
        <x:v>0</x:v>
      </x:c>
      <x:c r="V304" s="331" t="str">
        <x:v>reps</x:v>
      </x:c>
      <x:c r="W304" s="332" t="str">
        <x:f>'Readiness'!K38</x:f>
      </x:c>
      <x:c r="X304" s="314" t="n">
        <x:f>'Readiness'!L38</x:f>
        <x:v>1</x:v>
      </x:c>
      <x:c r="Y304" s="315" t="n">
        <x:f>IF(J304="Mobility",N304,MAX(1,ROUND(N304*X304,0)))</x:f>
        <x:v>2</x:v>
      </x:c>
      <x:c r="Z304" s="333" t="n">
        <x:f>0</x:f>
        <x:v>0</x:v>
      </x:c>
      <x:c r="AA304" s="334"/>
      <x:c r="AB304" s="334"/>
      <x:c r="AC304" s="334"/>
      <x:c r="AD304" s="334"/>
      <x:c r="AE304" s="334"/>
      <x:c r="AF304" s="334"/>
      <x:c r="AG304" s="334"/>
      <x:c r="AH304" s="334"/>
      <x:c r="AI304" s="334"/>
      <x:c r="AJ304" s="312"/>
      <x:c r="AK304" s="312"/>
      <x:c r="AL304" s="312"/>
      <x:c r="AM304" s="312"/>
      <x:c r="AN304" s="312"/>
      <x:c r="AO304" s="315" t="n">
        <x:f>COUNT(AB304,AD304,AF304,AH304,AJ304)</x:f>
        <x:v>0</x:v>
      </x:c>
      <x:c r="AP304" s="315" t="n">
        <x:f>SUM(AB304,AD304,AF304,AH304,AJ304)</x:f>
        <x:v>0</x:v>
      </x:c>
      <x:c r="AQ304" s="333" t="n">
        <x:f>AA304*AB304+AC304*AD304+AE304*AF304+AG304*AH304+AI304*AJ304</x:f>
        <x:v>0</x:v>
      </x:c>
      <x:c r="AR304" s="333" t="n">
        <x:f>IF(OR(J304="Strength",J304="Hypertrophy"),MAX(IF(AB304&gt;0,AA304*(1+AB304/30),0),IF(AD304&gt;0,AC304*(1+AD304/30),0),IF(AF304&gt;0,AE304*(1+AF304/30),0),IF(AH304&gt;0,AG304*(1+AH304/30),0),IF(AJ304&gt;0,AI304*(1+AJ304/30),0)),0)</x:f>
        <x:v>0</x:v>
      </x:c>
      <x:c r="AS304" s="315" t="str">
        <x:f>IF(AN304&lt;&gt;"Yes","Not logged",IF(AL304&gt;='Setup'!$B$14,"STOP / MODIFY",IF(Z304=0,"Complete",IF(OR(AO304=0,AK304=""),"Add set data + RIR",IF(AND(MAX(AB304,AD304,AF304,AH304,AJ304)&gt;=P304,AK304&gt;=Q304+1),"Progress",IF(OR(MAX(AB304,AD304,AF304,AH304,AJ304)&lt;O304,AK304&lt;Q304-1),"Regress","Hold"))))))</x:f>
        <x:v>Not logged</x:v>
      </x:c>
      <x:c r="AT304" s="335" t="n">
        <x:f>IF(OR(Z304=0,AN304&lt;&gt;"Yes",AO304=0,AK304=""),0,IF(AL304&gt;='Setup'!$B$14,-2*'Setup'!$B$11,IF(AND(MAX(AB304,AD304,AF304,AH304,AJ304)&gt;=P304,AK304&gt;=Q304+1),'Setup'!$B$10,IF(OR(MAX(AB304,AD304,AF304,AH304,AJ304)&lt;O304,AK304&lt;Q304-1),-'Setup'!$B$11,0))))</x:f>
        <x:v>0</x:v>
      </x:c>
      <x:c r="AU304" s="333" t="n">
        <x:f>IF(Z304=0,0,IF(AN304&lt;&gt;"Yes",Z304,IF(COUNT(AA304,AC304,AE304,AG304,AI304)=0,Z304,ROUND((MAX(AA304,AC304,AE304,AG304,AI304)*(1+AT304))/'Setup'!$B$9,0)*'Setup'!$B$9)))</x:f>
        <x:v>0</x:v>
      </x:c>
      <x:c r="AV304" s="336"/>
    </x:row>
    <x:row r="305">
      <x:c r="A305" s="310" t="n">
        <x:f>'Setup'!$B$3+(C305-1)*7+(D305-1)</x:f>
        <x:v>46281</x:v>
      </x:c>
      <x:c r="B305" s="311" t="str">
        <x:v>6|3|1</x:v>
      </x:c>
      <x:c r="C305" s="311" t="n">
        <x:v>6</x:v>
      </x:c>
      <x:c r="D305" s="311" t="n">
        <x:v>3</x:v>
      </x:c>
      <x:c r="E305" s="311" t="str">
        <x:v>Intensification</x:v>
      </x:c>
      <x:c r="F305" s="311" t="str">
        <x:v>Legs Hypertrophy</x:v>
      </x:c>
      <x:c r="G305" s="311" t="str">
        <x:v>Quad, hamstring, and calf volume</x:v>
      </x:c>
      <x:c r="H305" s="311" t="n">
        <x:v>1</x:v>
      </x:c>
      <x:c r="I305" s="311" t="str">
        <x:v>Hack Squat</x:v>
      </x:c>
      <x:c r="J305" s="311" t="str">
        <x:v>Hypertrophy</x:v>
      </x:c>
      <x:c r="K305" s="311" t="str">
        <x:v>Quads</x:v>
      </x:c>
      <x:c r="L305" s="311" t="str">
        <x:v>Straight sets</x:v>
      </x:c>
      <x:c r="M305" s="311" t="str"/>
      <x:c r="N305" s="311" t="n">
        <x:v>5</x:v>
      </x:c>
      <x:c r="O305" s="311" t="n">
        <x:v>8</x:v>
      </x:c>
      <x:c r="P305" s="311" t="n">
        <x:v>12</x:v>
      </x:c>
      <x:c r="Q305" s="311" t="n">
        <x:v>2</x:v>
      </x:c>
      <x:c r="R305" s="311" t="n">
        <x:v>120</x:v>
      </x:c>
      <x:c r="S305" s="311" t="str">
        <x:v>3-1-1</x:v>
      </x:c>
      <x:c r="T305" s="330" t="n">
        <x:v>1</x:v>
      </x:c>
      <x:c r="U305" s="330" t="n">
        <x:v>0</x:v>
      </x:c>
      <x:c r="V305" s="331" t="str">
        <x:v>load × reps</x:v>
      </x:c>
      <x:c r="W305" s="332" t="str">
        <x:f>'Readiness'!K39</x:f>
      </x:c>
      <x:c r="X305" s="314" t="n">
        <x:f>'Readiness'!L39</x:f>
        <x:v>1</x:v>
      </x:c>
      <x:c r="Y305" s="315" t="n">
        <x:f>IF(J305="Mobility",N305,MAX(1,ROUND(N305*X305,0)))</x:f>
        <x:v>5</x:v>
      </x:c>
      <x:c r="Z305" s="333" t="n">
        <x:f>ROUND((IF(AU252&gt;0,AU252,IF(Z252&gt;0,Z252,'Setup'!$D$46))*T305)/'Setup'!$B$9,0)*'Setup'!$B$9</x:f>
        <x:v>0</x:v>
      </x:c>
      <x:c r="AA305" s="334"/>
      <x:c r="AB305" s="334"/>
      <x:c r="AC305" s="334"/>
      <x:c r="AD305" s="334"/>
      <x:c r="AE305" s="334"/>
      <x:c r="AF305" s="334"/>
      <x:c r="AG305" s="334"/>
      <x:c r="AH305" s="334"/>
      <x:c r="AI305" s="334"/>
      <x:c r="AJ305" s="312"/>
      <x:c r="AK305" s="312"/>
      <x:c r="AL305" s="312"/>
      <x:c r="AM305" s="312"/>
      <x:c r="AN305" s="312"/>
      <x:c r="AO305" s="315" t="n">
        <x:f>COUNT(AB305,AD305,AF305,AH305,AJ305)</x:f>
        <x:v>0</x:v>
      </x:c>
      <x:c r="AP305" s="315" t="n">
        <x:f>SUM(AB305,AD305,AF305,AH305,AJ305)</x:f>
        <x:v>0</x:v>
      </x:c>
      <x:c r="AQ305" s="333" t="n">
        <x:f>AA305*AB305+AC305*AD305+AE305*AF305+AG305*AH305+AI305*AJ305</x:f>
        <x:v>0</x:v>
      </x:c>
      <x:c r="AR305" s="333" t="n">
        <x:f>IF(OR(J305="Strength",J305="Hypertrophy"),MAX(IF(AB305&gt;0,AA305*(1+AB305/30),0),IF(AD305&gt;0,AC305*(1+AD305/30),0),IF(AF305&gt;0,AE305*(1+AF305/30),0),IF(AH305&gt;0,AG305*(1+AH305/30),0),IF(AJ305&gt;0,AI305*(1+AJ305/30),0)),0)</x:f>
        <x:v>0</x:v>
      </x:c>
      <x:c r="AS305" s="315" t="str">
        <x:f>IF(AN305&lt;&gt;"Yes","Not logged",IF(AL305&gt;='Setup'!$B$14,"STOP / MODIFY",IF(Z305=0,"Complete",IF(OR(AO305=0,AK305=""),"Add set data + RIR",IF(AND(MAX(AB305,AD305,AF305,AH305,AJ305)&gt;=P305,AK305&gt;=Q305+1),"Progress",IF(OR(MAX(AB305,AD305,AF305,AH305,AJ305)&lt;O305,AK305&lt;Q305-1),"Regress","Hold"))))))</x:f>
        <x:v>Not logged</x:v>
      </x:c>
      <x:c r="AT305" s="335" t="n">
        <x:f>IF(OR(Z305=0,AN305&lt;&gt;"Yes",AO305=0,AK305=""),0,IF(AL305&gt;='Setup'!$B$14,-2*'Setup'!$B$11,IF(AND(MAX(AB305,AD305,AF305,AH305,AJ305)&gt;=P305,AK305&gt;=Q305+1),'Setup'!$B$10,IF(OR(MAX(AB305,AD305,AF305,AH305,AJ305)&lt;O305,AK305&lt;Q305-1),-'Setup'!$B$11,0))))</x:f>
        <x:v>0</x:v>
      </x:c>
      <x:c r="AU305" s="333" t="n">
        <x:f>IF(Z305=0,0,IF(AN305&lt;&gt;"Yes",Z305,IF(COUNT(AA305,AC305,AE305,AG305,AI305)=0,Z305,ROUND((MAX(AA305,AC305,AE305,AG305,AI305)*(1+AT305))/'Setup'!$B$9,0)*'Setup'!$B$9)))</x:f>
        <x:v>0</x:v>
      </x:c>
      <x:c r="AV305" s="336"/>
    </x:row>
    <x:row r="306">
      <x:c r="A306" s="310" t="n">
        <x:f>'Setup'!$B$3+(C306-1)*7+(D306-1)</x:f>
        <x:v>46281</x:v>
      </x:c>
      <x:c r="B306" s="311" t="str">
        <x:v>6|3|2</x:v>
      </x:c>
      <x:c r="C306" s="311" t="n">
        <x:v>6</x:v>
      </x:c>
      <x:c r="D306" s="311" t="n">
        <x:v>3</x:v>
      </x:c>
      <x:c r="E306" s="311" t="str">
        <x:v>Intensification</x:v>
      </x:c>
      <x:c r="F306" s="311" t="str">
        <x:v>Legs Hypertrophy</x:v>
      </x:c>
      <x:c r="G306" s="311" t="str">
        <x:v>Quad, hamstring, and calf volume</x:v>
      </x:c>
      <x:c r="H306" s="311" t="n">
        <x:v>2</x:v>
      </x:c>
      <x:c r="I306" s="311" t="str">
        <x:v>Romanian Deadlift</x:v>
      </x:c>
      <x:c r="J306" s="311" t="str">
        <x:v>Hypertrophy</x:v>
      </x:c>
      <x:c r="K306" s="311" t="str">
        <x:v>Hamstrings</x:v>
      </x:c>
      <x:c r="L306" s="311" t="str">
        <x:v>Straight sets</x:v>
      </x:c>
      <x:c r="M306" s="311" t="str"/>
      <x:c r="N306" s="311" t="n">
        <x:v>5</x:v>
      </x:c>
      <x:c r="O306" s="311" t="n">
        <x:v>8</x:v>
      </x:c>
      <x:c r="P306" s="311" t="n">
        <x:v>10</x:v>
      </x:c>
      <x:c r="Q306" s="311" t="n">
        <x:v>2</x:v>
      </x:c>
      <x:c r="R306" s="311" t="n">
        <x:v>120</x:v>
      </x:c>
      <x:c r="S306" s="311" t="str">
        <x:v>3-1-1</x:v>
      </x:c>
      <x:c r="T306" s="330" t="n">
        <x:v>1</x:v>
      </x:c>
      <x:c r="U306" s="330" t="n">
        <x:v>0.58</x:v>
      </x:c>
      <x:c r="V306" s="331" t="str">
        <x:v>load × reps</x:v>
      </x:c>
      <x:c r="W306" s="332" t="str">
        <x:f>'Readiness'!K39</x:f>
      </x:c>
      <x:c r="X306" s="314" t="n">
        <x:f>'Readiness'!L39</x:f>
        <x:v>1</x:v>
      </x:c>
      <x:c r="Y306" s="315" t="n">
        <x:f>IF(J306="Mobility",N306,MAX(1,ROUND(N306*X306,0)))</x:f>
        <x:v>5</x:v>
      </x:c>
      <x:c r="Z306" s="333" t="n">
        <x:f>ROUND((IF(AU253&gt;0,AU253,IF(Z253&gt;0,Z253,'Setup'!$D$79))*T306)/'Setup'!$B$9,0)*'Setup'!$B$9</x:f>
        <x:v>0</x:v>
      </x:c>
      <x:c r="AA306" s="334"/>
      <x:c r="AB306" s="334"/>
      <x:c r="AC306" s="334"/>
      <x:c r="AD306" s="334"/>
      <x:c r="AE306" s="334"/>
      <x:c r="AF306" s="334"/>
      <x:c r="AG306" s="334"/>
      <x:c r="AH306" s="334"/>
      <x:c r="AI306" s="334"/>
      <x:c r="AJ306" s="312"/>
      <x:c r="AK306" s="312"/>
      <x:c r="AL306" s="312"/>
      <x:c r="AM306" s="312"/>
      <x:c r="AN306" s="312"/>
      <x:c r="AO306" s="315" t="n">
        <x:f>COUNT(AB306,AD306,AF306,AH306,AJ306)</x:f>
        <x:v>0</x:v>
      </x:c>
      <x:c r="AP306" s="315" t="n">
        <x:f>SUM(AB306,AD306,AF306,AH306,AJ306)</x:f>
        <x:v>0</x:v>
      </x:c>
      <x:c r="AQ306" s="333" t="n">
        <x:f>AA306*AB306+AC306*AD306+AE306*AF306+AG306*AH306+AI306*AJ306</x:f>
        <x:v>0</x:v>
      </x:c>
      <x:c r="AR306" s="333" t="n">
        <x:f>IF(OR(J306="Strength",J306="Hypertrophy"),MAX(IF(AB306&gt;0,AA306*(1+AB306/30),0),IF(AD306&gt;0,AC306*(1+AD306/30),0),IF(AF306&gt;0,AE306*(1+AF306/30),0),IF(AH306&gt;0,AG306*(1+AH306/30),0),IF(AJ306&gt;0,AI306*(1+AJ306/30),0)),0)</x:f>
        <x:v>0</x:v>
      </x:c>
      <x:c r="AS306" s="315" t="str">
        <x:f>IF(AN306&lt;&gt;"Yes","Not logged",IF(AL306&gt;='Setup'!$B$14,"STOP / MODIFY",IF(Z306=0,"Complete",IF(OR(AO306=0,AK306=""),"Add set data + RIR",IF(AND(MAX(AB306,AD306,AF306,AH306,AJ306)&gt;=P306,AK306&gt;=Q306+1),"Progress",IF(OR(MAX(AB306,AD306,AF306,AH306,AJ306)&lt;O306,AK306&lt;Q306-1),"Regress","Hold"))))))</x:f>
        <x:v>Not logged</x:v>
      </x:c>
      <x:c r="AT306" s="335" t="n">
        <x:f>IF(OR(Z306=0,AN306&lt;&gt;"Yes",AO306=0,AK306=""),0,IF(AL306&gt;='Setup'!$B$14,-2*'Setup'!$B$11,IF(AND(MAX(AB306,AD306,AF306,AH306,AJ306)&gt;=P306,AK306&gt;=Q306+1),'Setup'!$B$10,IF(OR(MAX(AB306,AD306,AF306,AH306,AJ306)&lt;O306,AK306&lt;Q306-1),-'Setup'!$B$11,0))))</x:f>
        <x:v>0</x:v>
      </x:c>
      <x:c r="AU306" s="333" t="n">
        <x:f>IF(Z306=0,0,IF(AN306&lt;&gt;"Yes",Z306,IF(COUNT(AA306,AC306,AE306,AG306,AI306)=0,Z306,ROUND((MAX(AA306,AC306,AE306,AG306,AI306)*(1+AT306))/'Setup'!$B$9,0)*'Setup'!$B$9)))</x:f>
        <x:v>0</x:v>
      </x:c>
      <x:c r="AV306" s="336"/>
    </x:row>
    <x:row r="307">
      <x:c r="A307" s="310" t="n">
        <x:f>'Setup'!$B$3+(C307-1)*7+(D307-1)</x:f>
        <x:v>46281</x:v>
      </x:c>
      <x:c r="B307" s="311" t="str">
        <x:v>6|3|3</x:v>
      </x:c>
      <x:c r="C307" s="311" t="n">
        <x:v>6</x:v>
      </x:c>
      <x:c r="D307" s="311" t="n">
        <x:v>3</x:v>
      </x:c>
      <x:c r="E307" s="311" t="str">
        <x:v>Intensification</x:v>
      </x:c>
      <x:c r="F307" s="311" t="str">
        <x:v>Legs Hypertrophy</x:v>
      </x:c>
      <x:c r="G307" s="311" t="str">
        <x:v>Quad, hamstring, and calf volume</x:v>
      </x:c>
      <x:c r="H307" s="311" t="n">
        <x:v>3</x:v>
      </x:c>
      <x:c r="I307" s="311" t="str">
        <x:v>Bulgarian Split Squat</x:v>
      </x:c>
      <x:c r="J307" s="311" t="str">
        <x:v>Hypertrophy</x:v>
      </x:c>
      <x:c r="K307" s="311" t="str">
        <x:v>Quads</x:v>
      </x:c>
      <x:c r="L307" s="311" t="str">
        <x:v>Straight sets</x:v>
      </x:c>
      <x:c r="M307" s="311" t="str"/>
      <x:c r="N307" s="311" t="n">
        <x:v>4</x:v>
      </x:c>
      <x:c r="O307" s="311" t="n">
        <x:v>10</x:v>
      </x:c>
      <x:c r="P307" s="311" t="n">
        <x:v>12</x:v>
      </x:c>
      <x:c r="Q307" s="311" t="n">
        <x:v>2</x:v>
      </x:c>
      <x:c r="R307" s="311" t="n">
        <x:v>90</x:v>
      </x:c>
      <x:c r="S307" s="311" t="str">
        <x:v>3-0-1</x:v>
      </x:c>
      <x:c r="T307" s="330" t="n">
        <x:v>1</x:v>
      </x:c>
      <x:c r="U307" s="330" t="n">
        <x:v>0</x:v>
      </x:c>
      <x:c r="V307" s="331" t="str">
        <x:v>load × reps</x:v>
      </x:c>
      <x:c r="W307" s="332" t="str">
        <x:f>'Readiness'!K39</x:f>
      </x:c>
      <x:c r="X307" s="314" t="n">
        <x:f>'Readiness'!L39</x:f>
        <x:v>1</x:v>
      </x:c>
      <x:c r="Y307" s="315" t="n">
        <x:f>IF(J307="Mobility",N307,MAX(1,ROUND(N307*X307,0)))</x:f>
        <x:v>4</x:v>
      </x:c>
      <x:c r="Z307" s="333" t="n">
        <x:f>ROUND((IF(AU254&gt;0,AU254,IF(Z254&gt;0,Z254,'Setup'!$D$30))*T307)/'Setup'!$B$9,0)*'Setup'!$B$9</x:f>
        <x:v>0</x:v>
      </x:c>
      <x:c r="AA307" s="334"/>
      <x:c r="AB307" s="334"/>
      <x:c r="AC307" s="334"/>
      <x:c r="AD307" s="334"/>
      <x:c r="AE307" s="334"/>
      <x:c r="AF307" s="334"/>
      <x:c r="AG307" s="334"/>
      <x:c r="AH307" s="334"/>
      <x:c r="AI307" s="334"/>
      <x:c r="AJ307" s="312"/>
      <x:c r="AK307" s="312"/>
      <x:c r="AL307" s="312"/>
      <x:c r="AM307" s="312"/>
      <x:c r="AN307" s="312"/>
      <x:c r="AO307" s="315" t="n">
        <x:f>COUNT(AB307,AD307,AF307,AH307,AJ307)</x:f>
        <x:v>0</x:v>
      </x:c>
      <x:c r="AP307" s="315" t="n">
        <x:f>SUM(AB307,AD307,AF307,AH307,AJ307)</x:f>
        <x:v>0</x:v>
      </x:c>
      <x:c r="AQ307" s="333" t="n">
        <x:f>AA307*AB307+AC307*AD307+AE307*AF307+AG307*AH307+AI307*AJ307</x:f>
        <x:v>0</x:v>
      </x:c>
      <x:c r="AR307" s="333" t="n">
        <x:f>IF(OR(J307="Strength",J307="Hypertrophy"),MAX(IF(AB307&gt;0,AA307*(1+AB307/30),0),IF(AD307&gt;0,AC307*(1+AD307/30),0),IF(AF307&gt;0,AE307*(1+AF307/30),0),IF(AH307&gt;0,AG307*(1+AH307/30),0),IF(AJ307&gt;0,AI307*(1+AJ307/30),0)),0)</x:f>
        <x:v>0</x:v>
      </x:c>
      <x:c r="AS307" s="315" t="str">
        <x:f>IF(AN307&lt;&gt;"Yes","Not logged",IF(AL307&gt;='Setup'!$B$14,"STOP / MODIFY",IF(Z307=0,"Complete",IF(OR(AO307=0,AK307=""),"Add set data + RIR",IF(AND(MAX(AB307,AD307,AF307,AH307,AJ307)&gt;=P307,AK307&gt;=Q307+1),"Progress",IF(OR(MAX(AB307,AD307,AF307,AH307,AJ307)&lt;O307,AK307&lt;Q307-1),"Regress","Hold"))))))</x:f>
        <x:v>Not logged</x:v>
      </x:c>
      <x:c r="AT307" s="335" t="n">
        <x:f>IF(OR(Z307=0,AN307&lt;&gt;"Yes",AO307=0,AK307=""),0,IF(AL307&gt;='Setup'!$B$14,-2*'Setup'!$B$11,IF(AND(MAX(AB307,AD307,AF307,AH307,AJ307)&gt;=P307,AK307&gt;=Q307+1),'Setup'!$B$10,IF(OR(MAX(AB307,AD307,AF307,AH307,AJ307)&lt;O307,AK307&lt;Q307-1),-'Setup'!$B$11,0))))</x:f>
        <x:v>0</x:v>
      </x:c>
      <x:c r="AU307" s="333" t="n">
        <x:f>IF(Z307=0,0,IF(AN307&lt;&gt;"Yes",Z307,IF(COUNT(AA307,AC307,AE307,AG307,AI307)=0,Z307,ROUND((MAX(AA307,AC307,AE307,AG307,AI307)*(1+AT307))/'Setup'!$B$9,0)*'Setup'!$B$9)))</x:f>
        <x:v>0</x:v>
      </x:c>
      <x:c r="AV307" s="336"/>
    </x:row>
    <x:row r="308">
      <x:c r="A308" s="310" t="n">
        <x:f>'Setup'!$B$3+(C308-1)*7+(D308-1)</x:f>
        <x:v>46281</x:v>
      </x:c>
      <x:c r="B308" s="311" t="str">
        <x:v>6|3|4</x:v>
      </x:c>
      <x:c r="C308" s="311" t="n">
        <x:v>6</x:v>
      </x:c>
      <x:c r="D308" s="311" t="n">
        <x:v>3</x:v>
      </x:c>
      <x:c r="E308" s="311" t="str">
        <x:v>Intensification</x:v>
      </x:c>
      <x:c r="F308" s="311" t="str">
        <x:v>Legs Hypertrophy</x:v>
      </x:c>
      <x:c r="G308" s="311" t="str">
        <x:v>Quad, hamstring, and calf volume</x:v>
      </x:c>
      <x:c r="H308" s="311" t="n">
        <x:v>4</x:v>
      </x:c>
      <x:c r="I308" s="311" t="str">
        <x:v>Lying Leg Curl</x:v>
      </x:c>
      <x:c r="J308" s="311" t="str">
        <x:v>Hypertrophy</x:v>
      </x:c>
      <x:c r="K308" s="311" t="str">
        <x:v>Hamstrings</x:v>
      </x:c>
      <x:c r="L308" s="311" t="str">
        <x:v>Straight sets</x:v>
      </x:c>
      <x:c r="M308" s="311" t="str"/>
      <x:c r="N308" s="311" t="n">
        <x:v>4</x:v>
      </x:c>
      <x:c r="O308" s="311" t="n">
        <x:v>10</x:v>
      </x:c>
      <x:c r="P308" s="311" t="n">
        <x:v>15</x:v>
      </x:c>
      <x:c r="Q308" s="311" t="n">
        <x:v>2</x:v>
      </x:c>
      <x:c r="R308" s="311" t="n">
        <x:v>60</x:v>
      </x:c>
      <x:c r="S308" s="311" t="str">
        <x:v>2-1-2</x:v>
      </x:c>
      <x:c r="T308" s="330" t="n">
        <x:v>1</x:v>
      </x:c>
      <x:c r="U308" s="330" t="n">
        <x:v>0</x:v>
      </x:c>
      <x:c r="V308" s="331" t="str">
        <x:v>load × reps</x:v>
      </x:c>
      <x:c r="W308" s="332" t="str">
        <x:f>'Readiness'!K39</x:f>
      </x:c>
      <x:c r="X308" s="314" t="n">
        <x:f>'Readiness'!L39</x:f>
        <x:v>1</x:v>
      </x:c>
      <x:c r="Y308" s="315" t="n">
        <x:f>IF(J308="Mobility",N308,MAX(1,ROUND(N308*X308,0)))</x:f>
        <x:v>4</x:v>
      </x:c>
      <x:c r="Z308" s="333" t="n">
        <x:f>ROUND((IF(AU255&gt;0,AU255,IF(Z255&gt;0,Z255,'Setup'!$D$59))*T308)/'Setup'!$B$9,0)*'Setup'!$B$9</x:f>
        <x:v>0</x:v>
      </x:c>
      <x:c r="AA308" s="334"/>
      <x:c r="AB308" s="334"/>
      <x:c r="AC308" s="334"/>
      <x:c r="AD308" s="334"/>
      <x:c r="AE308" s="334"/>
      <x:c r="AF308" s="334"/>
      <x:c r="AG308" s="334"/>
      <x:c r="AH308" s="334"/>
      <x:c r="AI308" s="334"/>
      <x:c r="AJ308" s="312"/>
      <x:c r="AK308" s="312"/>
      <x:c r="AL308" s="312"/>
      <x:c r="AM308" s="312"/>
      <x:c r="AN308" s="312"/>
      <x:c r="AO308" s="315" t="n">
        <x:f>COUNT(AB308,AD308,AF308,AH308,AJ308)</x:f>
        <x:v>0</x:v>
      </x:c>
      <x:c r="AP308" s="315" t="n">
        <x:f>SUM(AB308,AD308,AF308,AH308,AJ308)</x:f>
        <x:v>0</x:v>
      </x:c>
      <x:c r="AQ308" s="333" t="n">
        <x:f>AA308*AB308+AC308*AD308+AE308*AF308+AG308*AH308+AI308*AJ308</x:f>
        <x:v>0</x:v>
      </x:c>
      <x:c r="AR308" s="333" t="n">
        <x:f>IF(OR(J308="Strength",J308="Hypertrophy"),MAX(IF(AB308&gt;0,AA308*(1+AB308/30),0),IF(AD308&gt;0,AC308*(1+AD308/30),0),IF(AF308&gt;0,AE308*(1+AF308/30),0),IF(AH308&gt;0,AG308*(1+AH308/30),0),IF(AJ308&gt;0,AI308*(1+AJ308/30),0)),0)</x:f>
        <x:v>0</x:v>
      </x:c>
      <x:c r="AS308" s="315" t="str">
        <x:f>IF(AN308&lt;&gt;"Yes","Not logged",IF(AL308&gt;='Setup'!$B$14,"STOP / MODIFY",IF(Z308=0,"Complete",IF(OR(AO308=0,AK308=""),"Add set data + RIR",IF(AND(MAX(AB308,AD308,AF308,AH308,AJ308)&gt;=P308,AK308&gt;=Q308+1),"Progress",IF(OR(MAX(AB308,AD308,AF308,AH308,AJ308)&lt;O308,AK308&lt;Q308-1),"Regress","Hold"))))))</x:f>
        <x:v>Not logged</x:v>
      </x:c>
      <x:c r="AT308" s="335" t="n">
        <x:f>IF(OR(Z308=0,AN308&lt;&gt;"Yes",AO308=0,AK308=""),0,IF(AL308&gt;='Setup'!$B$14,-2*'Setup'!$B$11,IF(AND(MAX(AB308,AD308,AF308,AH308,AJ308)&gt;=P308,AK308&gt;=Q308+1),'Setup'!$B$10,IF(OR(MAX(AB308,AD308,AF308,AH308,AJ308)&lt;O308,AK308&lt;Q308-1),-'Setup'!$B$11,0))))</x:f>
        <x:v>0</x:v>
      </x:c>
      <x:c r="AU308" s="333" t="n">
        <x:f>IF(Z308=0,0,IF(AN308&lt;&gt;"Yes",Z308,IF(COUNT(AA308,AC308,AE308,AG308,AI308)=0,Z308,ROUND((MAX(AA308,AC308,AE308,AG308,AI308)*(1+AT308))/'Setup'!$B$9,0)*'Setup'!$B$9)))</x:f>
        <x:v>0</x:v>
      </x:c>
      <x:c r="AV308" s="336"/>
    </x:row>
    <x:row r="309">
      <x:c r="A309" s="310" t="n">
        <x:f>'Setup'!$B$3+(C309-1)*7+(D309-1)</x:f>
        <x:v>46281</x:v>
      </x:c>
      <x:c r="B309" s="311" t="str">
        <x:v>6|3|5</x:v>
      </x:c>
      <x:c r="C309" s="311" t="n">
        <x:v>6</x:v>
      </x:c>
      <x:c r="D309" s="311" t="n">
        <x:v>3</x:v>
      </x:c>
      <x:c r="E309" s="311" t="str">
        <x:v>Intensification</x:v>
      </x:c>
      <x:c r="F309" s="311" t="str">
        <x:v>Legs Hypertrophy</x:v>
      </x:c>
      <x:c r="G309" s="311" t="str">
        <x:v>Quad, hamstring, and calf volume</x:v>
      </x:c>
      <x:c r="H309" s="311" t="n">
        <x:v>5</x:v>
      </x:c>
      <x:c r="I309" s="311" t="str">
        <x:v>Leg Extension</x:v>
      </x:c>
      <x:c r="J309" s="311" t="str">
        <x:v>Hypertrophy</x:v>
      </x:c>
      <x:c r="K309" s="311" t="str">
        <x:v>Quads</x:v>
      </x:c>
      <x:c r="L309" s="311" t="str">
        <x:v>Optional final-set drop if readiness is green</x:v>
      </x:c>
      <x:c r="M309" s="311" t="str"/>
      <x:c r="N309" s="311" t="n">
        <x:v>4</x:v>
      </x:c>
      <x:c r="O309" s="311" t="n">
        <x:v>12</x:v>
      </x:c>
      <x:c r="P309" s="311" t="n">
        <x:v>20</x:v>
      </x:c>
      <x:c r="Q309" s="311" t="n">
        <x:v>2</x:v>
      </x:c>
      <x:c r="R309" s="311" t="n">
        <x:v>60</x:v>
      </x:c>
      <x:c r="S309" s="311" t="str">
        <x:v>2-1-2</x:v>
      </x:c>
      <x:c r="T309" s="330" t="n">
        <x:v>1</x:v>
      </x:c>
      <x:c r="U309" s="330" t="n">
        <x:v>0</x:v>
      </x:c>
      <x:c r="V309" s="331" t="str">
        <x:v>load × reps</x:v>
      </x:c>
      <x:c r="W309" s="332" t="str">
        <x:f>'Readiness'!K39</x:f>
      </x:c>
      <x:c r="X309" s="314" t="n">
        <x:f>'Readiness'!L39</x:f>
        <x:v>1</x:v>
      </x:c>
      <x:c r="Y309" s="315" t="n">
        <x:f>IF(J309="Mobility",N309,MAX(1,ROUND(N309*X309,0)))</x:f>
        <x:v>4</x:v>
      </x:c>
      <x:c r="Z309" s="333" t="n">
        <x:f>ROUND((IF(AU256&gt;0,AU256,IF(Z256&gt;0,Z256,'Setup'!$D$57))*T309)/'Setup'!$B$9,0)*'Setup'!$B$9</x:f>
        <x:v>0</x:v>
      </x:c>
      <x:c r="AA309" s="334"/>
      <x:c r="AB309" s="334"/>
      <x:c r="AC309" s="334"/>
      <x:c r="AD309" s="334"/>
      <x:c r="AE309" s="334"/>
      <x:c r="AF309" s="334"/>
      <x:c r="AG309" s="334"/>
      <x:c r="AH309" s="334"/>
      <x:c r="AI309" s="334"/>
      <x:c r="AJ309" s="312"/>
      <x:c r="AK309" s="312"/>
      <x:c r="AL309" s="312"/>
      <x:c r="AM309" s="312"/>
      <x:c r="AN309" s="312"/>
      <x:c r="AO309" s="315" t="n">
        <x:f>COUNT(AB309,AD309,AF309,AH309,AJ309)</x:f>
        <x:v>0</x:v>
      </x:c>
      <x:c r="AP309" s="315" t="n">
        <x:f>SUM(AB309,AD309,AF309,AH309,AJ309)</x:f>
        <x:v>0</x:v>
      </x:c>
      <x:c r="AQ309" s="333" t="n">
        <x:f>AA309*AB309+AC309*AD309+AE309*AF309+AG309*AH309+AI309*AJ309</x:f>
        <x:v>0</x:v>
      </x:c>
      <x:c r="AR309" s="333" t="n">
        <x:f>IF(OR(J309="Strength",J309="Hypertrophy"),MAX(IF(AB309&gt;0,AA309*(1+AB309/30),0),IF(AD309&gt;0,AC309*(1+AD309/30),0),IF(AF309&gt;0,AE309*(1+AF309/30),0),IF(AH309&gt;0,AG309*(1+AH309/30),0),IF(AJ309&gt;0,AI309*(1+AJ309/30),0)),0)</x:f>
        <x:v>0</x:v>
      </x:c>
      <x:c r="AS309" s="315" t="str">
        <x:f>IF(AN309&lt;&gt;"Yes","Not logged",IF(AL309&gt;='Setup'!$B$14,"STOP / MODIFY",IF(Z309=0,"Complete",IF(OR(AO309=0,AK309=""),"Add set data + RIR",IF(AND(MAX(AB309,AD309,AF309,AH309,AJ309)&gt;=P309,AK309&gt;=Q309+1),"Progress",IF(OR(MAX(AB309,AD309,AF309,AH309,AJ309)&lt;O309,AK309&lt;Q309-1),"Regress","Hold"))))))</x:f>
        <x:v>Not logged</x:v>
      </x:c>
      <x:c r="AT309" s="335" t="n">
        <x:f>IF(OR(Z309=0,AN309&lt;&gt;"Yes",AO309=0,AK309=""),0,IF(AL309&gt;='Setup'!$B$14,-2*'Setup'!$B$11,IF(AND(MAX(AB309,AD309,AF309,AH309,AJ309)&gt;=P309,AK309&gt;=Q309+1),'Setup'!$B$10,IF(OR(MAX(AB309,AD309,AF309,AH309,AJ309)&lt;O309,AK309&lt;Q309-1),-'Setup'!$B$11,0))))</x:f>
        <x:v>0</x:v>
      </x:c>
      <x:c r="AU309" s="333" t="n">
        <x:f>IF(Z309=0,0,IF(AN309&lt;&gt;"Yes",Z309,IF(COUNT(AA309,AC309,AE309,AG309,AI309)=0,Z309,ROUND((MAX(AA309,AC309,AE309,AG309,AI309)*(1+AT309))/'Setup'!$B$9,0)*'Setup'!$B$9)))</x:f>
        <x:v>0</x:v>
      </x:c>
      <x:c r="AV309" s="336"/>
    </x:row>
    <x:row r="310">
      <x:c r="A310" s="310" t="n">
        <x:f>'Setup'!$B$3+(C310-1)*7+(D310-1)</x:f>
        <x:v>46281</x:v>
      </x:c>
      <x:c r="B310" s="311" t="str">
        <x:v>6|3|6</x:v>
      </x:c>
      <x:c r="C310" s="311" t="n">
        <x:v>6</x:v>
      </x:c>
      <x:c r="D310" s="311" t="n">
        <x:v>3</x:v>
      </x:c>
      <x:c r="E310" s="311" t="str">
        <x:v>Intensification</x:v>
      </x:c>
      <x:c r="F310" s="311" t="str">
        <x:v>Legs Hypertrophy</x:v>
      </x:c>
      <x:c r="G310" s="311" t="str">
        <x:v>Quad, hamstring, and calf volume</x:v>
      </x:c>
      <x:c r="H310" s="311" t="n">
        <x:v>6</x:v>
      </x:c>
      <x:c r="I310" s="311" t="str">
        <x:v>Seated Calf Raise</x:v>
      </x:c>
      <x:c r="J310" s="311" t="str">
        <x:v>Hypertrophy</x:v>
      </x:c>
      <x:c r="K310" s="311" t="str">
        <x:v>Calves</x:v>
      </x:c>
      <x:c r="L310" s="311" t="str">
        <x:v>Optional myo-rep final set</x:v>
      </x:c>
      <x:c r="M310" s="311" t="str"/>
      <x:c r="N310" s="311" t="n">
        <x:v>5</x:v>
      </x:c>
      <x:c r="O310" s="311" t="n">
        <x:v>12</x:v>
      </x:c>
      <x:c r="P310" s="311" t="n">
        <x:v>20</x:v>
      </x:c>
      <x:c r="Q310" s="311" t="n">
        <x:v>2</x:v>
      </x:c>
      <x:c r="R310" s="311" t="n">
        <x:v>60</x:v>
      </x:c>
      <x:c r="S310" s="311" t="str">
        <x:v>2-2-1</x:v>
      </x:c>
      <x:c r="T310" s="330" t="n">
        <x:v>1</x:v>
      </x:c>
      <x:c r="U310" s="330" t="n">
        <x:v>0</x:v>
      </x:c>
      <x:c r="V310" s="331" t="str">
        <x:v>load × reps</x:v>
      </x:c>
      <x:c r="W310" s="332" t="str">
        <x:f>'Readiness'!K39</x:f>
      </x:c>
      <x:c r="X310" s="314" t="n">
        <x:f>'Readiness'!L39</x:f>
        <x:v>1</x:v>
      </x:c>
      <x:c r="Y310" s="315" t="n">
        <x:f>IF(J310="Mobility",N310,MAX(1,ROUND(N310*X310,0)))</x:f>
        <x:v>5</x:v>
      </x:c>
      <x:c r="Z310" s="333" t="n">
        <x:f>ROUND((IF(AU257&gt;0,AU257,IF(Z257&gt;0,Z257,'Setup'!$D$82))*T310)/'Setup'!$B$9,0)*'Setup'!$B$9</x:f>
        <x:v>0</x:v>
      </x:c>
      <x:c r="AA310" s="334"/>
      <x:c r="AB310" s="334"/>
      <x:c r="AC310" s="334"/>
      <x:c r="AD310" s="334"/>
      <x:c r="AE310" s="334"/>
      <x:c r="AF310" s="334"/>
      <x:c r="AG310" s="334"/>
      <x:c r="AH310" s="334"/>
      <x:c r="AI310" s="334"/>
      <x:c r="AJ310" s="312"/>
      <x:c r="AK310" s="312"/>
      <x:c r="AL310" s="312"/>
      <x:c r="AM310" s="312"/>
      <x:c r="AN310" s="312"/>
      <x:c r="AO310" s="315" t="n">
        <x:f>COUNT(AB310,AD310,AF310,AH310,AJ310)</x:f>
        <x:v>0</x:v>
      </x:c>
      <x:c r="AP310" s="315" t="n">
        <x:f>SUM(AB310,AD310,AF310,AH310,AJ310)</x:f>
        <x:v>0</x:v>
      </x:c>
      <x:c r="AQ310" s="333" t="n">
        <x:f>AA310*AB310+AC310*AD310+AE310*AF310+AG310*AH310+AI310*AJ310</x:f>
        <x:v>0</x:v>
      </x:c>
      <x:c r="AR310" s="333" t="n">
        <x:f>IF(OR(J310="Strength",J310="Hypertrophy"),MAX(IF(AB310&gt;0,AA310*(1+AB310/30),0),IF(AD310&gt;0,AC310*(1+AD310/30),0),IF(AF310&gt;0,AE310*(1+AF310/30),0),IF(AH310&gt;0,AG310*(1+AH310/30),0),IF(AJ310&gt;0,AI310*(1+AJ310/30),0)),0)</x:f>
        <x:v>0</x:v>
      </x:c>
      <x:c r="AS310" s="315" t="str">
        <x:f>IF(AN310&lt;&gt;"Yes","Not logged",IF(AL310&gt;='Setup'!$B$14,"STOP / MODIFY",IF(Z310=0,"Complete",IF(OR(AO310=0,AK310=""),"Add set data + RIR",IF(AND(MAX(AB310,AD310,AF310,AH310,AJ310)&gt;=P310,AK310&gt;=Q310+1),"Progress",IF(OR(MAX(AB310,AD310,AF310,AH310,AJ310)&lt;O310,AK310&lt;Q310-1),"Regress","Hold"))))))</x:f>
        <x:v>Not logged</x:v>
      </x:c>
      <x:c r="AT310" s="335" t="n">
        <x:f>IF(OR(Z310=0,AN310&lt;&gt;"Yes",AO310=0,AK310=""),0,IF(AL310&gt;='Setup'!$B$14,-2*'Setup'!$B$11,IF(AND(MAX(AB310,AD310,AF310,AH310,AJ310)&gt;=P310,AK310&gt;=Q310+1),'Setup'!$B$10,IF(OR(MAX(AB310,AD310,AF310,AH310,AJ310)&lt;O310,AK310&lt;Q310-1),-'Setup'!$B$11,0))))</x:f>
        <x:v>0</x:v>
      </x:c>
      <x:c r="AU310" s="333" t="n">
        <x:f>IF(Z310=0,0,IF(AN310&lt;&gt;"Yes",Z310,IF(COUNT(AA310,AC310,AE310,AG310,AI310)=0,Z310,ROUND((MAX(AA310,AC310,AE310,AG310,AI310)*(1+AT310))/'Setup'!$B$9,0)*'Setup'!$B$9)))</x:f>
        <x:v>0</x:v>
      </x:c>
      <x:c r="AV310" s="336"/>
    </x:row>
    <x:row r="311">
      <x:c r="A311" s="310" t="n">
        <x:f>'Setup'!$B$3+(C311-1)*7+(D311-1)</x:f>
        <x:v>46281</x:v>
      </x:c>
      <x:c r="B311" s="311" t="str">
        <x:v>6|3|7</x:v>
      </x:c>
      <x:c r="C311" s="311" t="n">
        <x:v>6</x:v>
      </x:c>
      <x:c r="D311" s="311" t="n">
        <x:v>3</x:v>
      </x:c>
      <x:c r="E311" s="311" t="str">
        <x:v>Intensification</x:v>
      </x:c>
      <x:c r="F311" s="311" t="str">
        <x:v>Legs Hypertrophy</x:v>
      </x:c>
      <x:c r="G311" s="311" t="str">
        <x:v>Quad, hamstring, and calf volume</x:v>
      </x:c>
      <x:c r="H311" s="311" t="n">
        <x:v>7</x:v>
      </x:c>
      <x:c r="I311" s="311" t="str">
        <x:v>Cable Hip Adduction</x:v>
      </x:c>
      <x:c r="J311" s="311" t="str">
        <x:v>Hypertrophy</x:v>
      </x:c>
      <x:c r="K311" s="311" t="str">
        <x:v>Adductors</x:v>
      </x:c>
      <x:c r="L311" s="311" t="str">
        <x:v>Straight sets</x:v>
      </x:c>
      <x:c r="M311" s="311" t="str"/>
      <x:c r="N311" s="311" t="n">
        <x:v>4</x:v>
      </x:c>
      <x:c r="O311" s="311" t="n">
        <x:v>12</x:v>
      </x:c>
      <x:c r="P311" s="311" t="n">
        <x:v>20</x:v>
      </x:c>
      <x:c r="Q311" s="311" t="n">
        <x:v>2</x:v>
      </x:c>
      <x:c r="R311" s="311" t="n">
        <x:v>45</x:v>
      </x:c>
      <x:c r="S311" s="311" t="str">
        <x:v>2-1-2</x:v>
      </x:c>
      <x:c r="T311" s="330" t="n">
        <x:v>1</x:v>
      </x:c>
      <x:c r="U311" s="330" t="n">
        <x:v>0</x:v>
      </x:c>
      <x:c r="V311" s="331" t="str">
        <x:v>load × reps</x:v>
      </x:c>
      <x:c r="W311" s="332" t="str">
        <x:f>'Readiness'!K39</x:f>
      </x:c>
      <x:c r="X311" s="314" t="n">
        <x:f>'Readiness'!L39</x:f>
        <x:v>1</x:v>
      </x:c>
      <x:c r="Y311" s="315" t="n">
        <x:f>IF(J311="Mobility",N311,MAX(1,ROUND(N311*X311,0)))</x:f>
        <x:v>4</x:v>
      </x:c>
      <x:c r="Z311" s="333" t="n">
        <x:f>ROUND((IF(AU258&gt;0,AU258,IF(Z258&gt;0,Z258,'Setup'!$D$32))*T311)/'Setup'!$B$9,0)*'Setup'!$B$9</x:f>
        <x:v>0</x:v>
      </x:c>
      <x:c r="AA311" s="334"/>
      <x:c r="AB311" s="334"/>
      <x:c r="AC311" s="334"/>
      <x:c r="AD311" s="334"/>
      <x:c r="AE311" s="334"/>
      <x:c r="AF311" s="334"/>
      <x:c r="AG311" s="334"/>
      <x:c r="AH311" s="334"/>
      <x:c r="AI311" s="334"/>
      <x:c r="AJ311" s="312"/>
      <x:c r="AK311" s="312"/>
      <x:c r="AL311" s="312"/>
      <x:c r="AM311" s="312"/>
      <x:c r="AN311" s="312"/>
      <x:c r="AO311" s="315" t="n">
        <x:f>COUNT(AB311,AD311,AF311,AH311,AJ311)</x:f>
        <x:v>0</x:v>
      </x:c>
      <x:c r="AP311" s="315" t="n">
        <x:f>SUM(AB311,AD311,AF311,AH311,AJ311)</x:f>
        <x:v>0</x:v>
      </x:c>
      <x:c r="AQ311" s="333" t="n">
        <x:f>AA311*AB311+AC311*AD311+AE311*AF311+AG311*AH311+AI311*AJ311</x:f>
        <x:v>0</x:v>
      </x:c>
      <x:c r="AR311" s="333" t="n">
        <x:f>IF(OR(J311="Strength",J311="Hypertrophy"),MAX(IF(AB311&gt;0,AA311*(1+AB311/30),0),IF(AD311&gt;0,AC311*(1+AD311/30),0),IF(AF311&gt;0,AE311*(1+AF311/30),0),IF(AH311&gt;0,AG311*(1+AH311/30),0),IF(AJ311&gt;0,AI311*(1+AJ311/30),0)),0)</x:f>
        <x:v>0</x:v>
      </x:c>
      <x:c r="AS311" s="315" t="str">
        <x:f>IF(AN311&lt;&gt;"Yes","Not logged",IF(AL311&gt;='Setup'!$B$14,"STOP / MODIFY",IF(Z311=0,"Complete",IF(OR(AO311=0,AK311=""),"Add set data + RIR",IF(AND(MAX(AB311,AD311,AF311,AH311,AJ311)&gt;=P311,AK311&gt;=Q311+1),"Progress",IF(OR(MAX(AB311,AD311,AF311,AH311,AJ311)&lt;O311,AK311&lt;Q311-1),"Regress","Hold"))))))</x:f>
        <x:v>Not logged</x:v>
      </x:c>
      <x:c r="AT311" s="335" t="n">
        <x:f>IF(OR(Z311=0,AN311&lt;&gt;"Yes",AO311=0,AK311=""),0,IF(AL311&gt;='Setup'!$B$14,-2*'Setup'!$B$11,IF(AND(MAX(AB311,AD311,AF311,AH311,AJ311)&gt;=P311,AK311&gt;=Q311+1),'Setup'!$B$10,IF(OR(MAX(AB311,AD311,AF311,AH311,AJ311)&lt;O311,AK311&lt;Q311-1),-'Setup'!$B$11,0))))</x:f>
        <x:v>0</x:v>
      </x:c>
      <x:c r="AU311" s="333" t="n">
        <x:f>IF(Z311=0,0,IF(AN311&lt;&gt;"Yes",Z311,IF(COUNT(AA311,AC311,AE311,AG311,AI311)=0,Z311,ROUND((MAX(AA311,AC311,AE311,AG311,AI311)*(1+AT311))/'Setup'!$B$9,0)*'Setup'!$B$9)))</x:f>
        <x:v>0</x:v>
      </x:c>
      <x:c r="AV311" s="336"/>
    </x:row>
    <x:row r="312">
      <x:c r="A312" s="310" t="n">
        <x:f>'Setup'!$B$3+(C312-1)*7+(D312-1)</x:f>
        <x:v>46281</x:v>
      </x:c>
      <x:c r="B312" s="311" t="str">
        <x:v>6|3|8</x:v>
      </x:c>
      <x:c r="C312" s="311" t="n">
        <x:v>6</x:v>
      </x:c>
      <x:c r="D312" s="311" t="n">
        <x:v>3</x:v>
      </x:c>
      <x:c r="E312" s="311" t="str">
        <x:v>Intensification</x:v>
      </x:c>
      <x:c r="F312" s="311" t="str">
        <x:v>Legs Hypertrophy</x:v>
      </x:c>
      <x:c r="G312" s="311" t="str">
        <x:v>Quad, hamstring, and calf volume</x:v>
      </x:c>
      <x:c r="H312" s="311" t="n">
        <x:v>8</x:v>
      </x:c>
      <x:c r="I312" s="311" t="str">
        <x:v>Couch Stretch</x:v>
      </x:c>
      <x:c r="J312" s="311" t="str">
        <x:v>Mobility</x:v>
      </x:c>
      <x:c r="K312" s="311" t="str">
        <x:v>Hips</x:v>
      </x:c>
      <x:c r="L312" s="311" t="str">
        <x:v>Relaxed breathing</x:v>
      </x:c>
      <x:c r="M312" s="311" t="str"/>
      <x:c r="N312" s="311" t="n">
        <x:v>2</x:v>
      </x:c>
      <x:c r="O312" s="311" t="n">
        <x:v>30</x:v>
      </x:c>
      <x:c r="P312" s="311" t="n">
        <x:v>45</x:v>
      </x:c>
      <x:c r="Q312" s="311" t="str"/>
      <x:c r="R312" s="311" t="n">
        <x:v>20</x:v>
      </x:c>
      <x:c r="S312" s="311" t="str">
        <x:v>Hold</x:v>
      </x:c>
      <x:c r="T312" s="330" t="n">
        <x:v>1</x:v>
      </x:c>
      <x:c r="U312" s="330" t="n">
        <x:v>0</x:v>
      </x:c>
      <x:c r="V312" s="331" t="str">
        <x:v>seconds</x:v>
      </x:c>
      <x:c r="W312" s="332" t="str">
        <x:f>'Readiness'!K39</x:f>
      </x:c>
      <x:c r="X312" s="314" t="n">
        <x:f>'Readiness'!L39</x:f>
        <x:v>1</x:v>
      </x:c>
      <x:c r="Y312" s="315" t="n">
        <x:f>IF(J312="Mobility",N312,MAX(1,ROUND(N312*X312,0)))</x:f>
        <x:v>2</x:v>
      </x:c>
      <x:c r="Z312" s="333" t="n">
        <x:f>0</x:f>
        <x:v>0</x:v>
      </x:c>
      <x:c r="AA312" s="334"/>
      <x:c r="AB312" s="334"/>
      <x:c r="AC312" s="334"/>
      <x:c r="AD312" s="334"/>
      <x:c r="AE312" s="334"/>
      <x:c r="AF312" s="334"/>
      <x:c r="AG312" s="334"/>
      <x:c r="AH312" s="334"/>
      <x:c r="AI312" s="334"/>
      <x:c r="AJ312" s="312"/>
      <x:c r="AK312" s="312"/>
      <x:c r="AL312" s="312"/>
      <x:c r="AM312" s="312"/>
      <x:c r="AN312" s="312"/>
      <x:c r="AO312" s="315" t="n">
        <x:f>COUNT(AB312,AD312,AF312,AH312,AJ312)</x:f>
        <x:v>0</x:v>
      </x:c>
      <x:c r="AP312" s="315" t="n">
        <x:f>SUM(AB312,AD312,AF312,AH312,AJ312)</x:f>
        <x:v>0</x:v>
      </x:c>
      <x:c r="AQ312" s="333" t="n">
        <x:f>AA312*AB312+AC312*AD312+AE312*AF312+AG312*AH312+AI312*AJ312</x:f>
        <x:v>0</x:v>
      </x:c>
      <x:c r="AR312" s="333" t="n">
        <x:f>IF(OR(J312="Strength",J312="Hypertrophy"),MAX(IF(AB312&gt;0,AA312*(1+AB312/30),0),IF(AD312&gt;0,AC312*(1+AD312/30),0),IF(AF312&gt;0,AE312*(1+AF312/30),0),IF(AH312&gt;0,AG312*(1+AH312/30),0),IF(AJ312&gt;0,AI312*(1+AJ312/30),0)),0)</x:f>
        <x:v>0</x:v>
      </x:c>
      <x:c r="AS312" s="315" t="str">
        <x:f>IF(AN312&lt;&gt;"Yes","Not logged",IF(AL312&gt;='Setup'!$B$14,"STOP / MODIFY",IF(Z312=0,"Complete",IF(OR(AO312=0,AK312=""),"Add set data + RIR",IF(AND(MAX(AB312,AD312,AF312,AH312,AJ312)&gt;=P312,AK312&gt;=Q312+1),"Progress",IF(OR(MAX(AB312,AD312,AF312,AH312,AJ312)&lt;O312,AK312&lt;Q312-1),"Regress","Hold"))))))</x:f>
        <x:v>Not logged</x:v>
      </x:c>
      <x:c r="AT312" s="335" t="n">
        <x:f>IF(OR(Z312=0,AN312&lt;&gt;"Yes",AO312=0,AK312=""),0,IF(AL312&gt;='Setup'!$B$14,-2*'Setup'!$B$11,IF(AND(MAX(AB312,AD312,AF312,AH312,AJ312)&gt;=P312,AK312&gt;=Q312+1),'Setup'!$B$10,IF(OR(MAX(AB312,AD312,AF312,AH312,AJ312)&lt;O312,AK312&lt;Q312-1),-'Setup'!$B$11,0))))</x:f>
        <x:v>0</x:v>
      </x:c>
      <x:c r="AU312" s="333" t="n">
        <x:f>IF(Z312=0,0,IF(AN312&lt;&gt;"Yes",Z312,IF(COUNT(AA312,AC312,AE312,AG312,AI312)=0,Z312,ROUND((MAX(AA312,AC312,AE312,AG312,AI312)*(1+AT312))/'Setup'!$B$9,0)*'Setup'!$B$9)))</x:f>
        <x:v>0</x:v>
      </x:c>
      <x:c r="AV312" s="336"/>
    </x:row>
    <x:row r="313">
      <x:c r="A313" s="310" t="n">
        <x:f>'Setup'!$B$3+(C313-1)*7+(D313-1)</x:f>
        <x:v>46282</x:v>
      </x:c>
      <x:c r="B313" s="311" t="str">
        <x:v>6|4|1</x:v>
      </x:c>
      <x:c r="C313" s="311" t="n">
        <x:v>6</x:v>
      </x:c>
      <x:c r="D313" s="311" t="n">
        <x:v>4</x:v>
      </x:c>
      <x:c r="E313" s="311" t="str">
        <x:v>Intensification</x:v>
      </x:c>
      <x:c r="F313" s="311" t="str">
        <x:v>Push Hypertrophy</x:v>
      </x:c>
      <x:c r="G313" s="311" t="str">
        <x:v>Chest, delts, and triceps volume</x:v>
      </x:c>
      <x:c r="H313" s="311" t="n">
        <x:v>1</x:v>
      </x:c>
      <x:c r="I313" s="311" t="str">
        <x:v>Incline Dumbbell Bench Press</x:v>
      </x:c>
      <x:c r="J313" s="311" t="str">
        <x:v>Hypertrophy</x:v>
      </x:c>
      <x:c r="K313" s="311" t="str">
        <x:v>Chest</x:v>
      </x:c>
      <x:c r="L313" s="311" t="str">
        <x:v>Straight sets</x:v>
      </x:c>
      <x:c r="M313" s="311" t="str"/>
      <x:c r="N313" s="311" t="n">
        <x:v>5</x:v>
      </x:c>
      <x:c r="O313" s="311" t="n">
        <x:v>8</x:v>
      </x:c>
      <x:c r="P313" s="311" t="n">
        <x:v>12</x:v>
      </x:c>
      <x:c r="Q313" s="311" t="n">
        <x:v>2</x:v>
      </x:c>
      <x:c r="R313" s="311" t="n">
        <x:v>90</x:v>
      </x:c>
      <x:c r="S313" s="311" t="str">
        <x:v>3-0-1</x:v>
      </x:c>
      <x:c r="T313" s="330" t="n">
        <x:v>1</x:v>
      </x:c>
      <x:c r="U313" s="330" t="n">
        <x:v>0</x:v>
      </x:c>
      <x:c r="V313" s="331" t="str">
        <x:v>load × reps</x:v>
      </x:c>
      <x:c r="W313" s="332" t="str">
        <x:f>'Readiness'!K40</x:f>
      </x:c>
      <x:c r="X313" s="314" t="n">
        <x:f>'Readiness'!L40</x:f>
        <x:v>1</x:v>
      </x:c>
      <x:c r="Y313" s="315" t="n">
        <x:f>IF(J313="Mobility",N313,MAX(1,ROUND(N313*X313,0)))</x:f>
        <x:v>5</x:v>
      </x:c>
      <x:c r="Z313" s="333" t="n">
        <x:f>ROUND((IF(AU260&gt;0,AU260,IF(Z260&gt;0,Z260,'Setup'!$D$50))*T313)/'Setup'!$B$9,0)*'Setup'!$B$9</x:f>
        <x:v>0</x:v>
      </x:c>
      <x:c r="AA313" s="334"/>
      <x:c r="AB313" s="334"/>
      <x:c r="AC313" s="334"/>
      <x:c r="AD313" s="334"/>
      <x:c r="AE313" s="334"/>
      <x:c r="AF313" s="334"/>
      <x:c r="AG313" s="334"/>
      <x:c r="AH313" s="334"/>
      <x:c r="AI313" s="334"/>
      <x:c r="AJ313" s="312"/>
      <x:c r="AK313" s="312"/>
      <x:c r="AL313" s="312"/>
      <x:c r="AM313" s="312"/>
      <x:c r="AN313" s="312"/>
      <x:c r="AO313" s="315" t="n">
        <x:f>COUNT(AB313,AD313,AF313,AH313,AJ313)</x:f>
        <x:v>0</x:v>
      </x:c>
      <x:c r="AP313" s="315" t="n">
        <x:f>SUM(AB313,AD313,AF313,AH313,AJ313)</x:f>
        <x:v>0</x:v>
      </x:c>
      <x:c r="AQ313" s="333" t="n">
        <x:f>AA313*AB313+AC313*AD313+AE313*AF313+AG313*AH313+AI313*AJ313</x:f>
        <x:v>0</x:v>
      </x:c>
      <x:c r="AR313" s="333" t="n">
        <x:f>IF(OR(J313="Strength",J313="Hypertrophy"),MAX(IF(AB313&gt;0,AA313*(1+AB313/30),0),IF(AD313&gt;0,AC313*(1+AD313/30),0),IF(AF313&gt;0,AE313*(1+AF313/30),0),IF(AH313&gt;0,AG313*(1+AH313/30),0),IF(AJ313&gt;0,AI313*(1+AJ313/30),0)),0)</x:f>
        <x:v>0</x:v>
      </x:c>
      <x:c r="AS313" s="315" t="str">
        <x:f>IF(AN313&lt;&gt;"Yes","Not logged",IF(AL313&gt;='Setup'!$B$14,"STOP / MODIFY",IF(Z313=0,"Complete",IF(OR(AO313=0,AK313=""),"Add set data + RIR",IF(AND(MAX(AB313,AD313,AF313,AH313,AJ313)&gt;=P313,AK313&gt;=Q313+1),"Progress",IF(OR(MAX(AB313,AD313,AF313,AH313,AJ313)&lt;O313,AK313&lt;Q313-1),"Regress","Hold"))))))</x:f>
        <x:v>Not logged</x:v>
      </x:c>
      <x:c r="AT313" s="335" t="n">
        <x:f>IF(OR(Z313=0,AN313&lt;&gt;"Yes",AO313=0,AK313=""),0,IF(AL313&gt;='Setup'!$B$14,-2*'Setup'!$B$11,IF(AND(MAX(AB313,AD313,AF313,AH313,AJ313)&gt;=P313,AK313&gt;=Q313+1),'Setup'!$B$10,IF(OR(MAX(AB313,AD313,AF313,AH313,AJ313)&lt;O313,AK313&lt;Q313-1),-'Setup'!$B$11,0))))</x:f>
        <x:v>0</x:v>
      </x:c>
      <x:c r="AU313" s="333" t="n">
        <x:f>IF(Z313=0,0,IF(AN313&lt;&gt;"Yes",Z313,IF(COUNT(AA313,AC313,AE313,AG313,AI313)=0,Z313,ROUND((MAX(AA313,AC313,AE313,AG313,AI313)*(1+AT313))/'Setup'!$B$9,0)*'Setup'!$B$9)))</x:f>
        <x:v>0</x:v>
      </x:c>
      <x:c r="AV313" s="336"/>
    </x:row>
    <x:row r="314">
      <x:c r="A314" s="310" t="n">
        <x:f>'Setup'!$B$3+(C314-1)*7+(D314-1)</x:f>
        <x:v>46282</x:v>
      </x:c>
      <x:c r="B314" s="311" t="str">
        <x:v>6|4|2</x:v>
      </x:c>
      <x:c r="C314" s="311" t="n">
        <x:v>6</x:v>
      </x:c>
      <x:c r="D314" s="311" t="n">
        <x:v>4</x:v>
      </x:c>
      <x:c r="E314" s="311" t="str">
        <x:v>Intensification</x:v>
      </x:c>
      <x:c r="F314" s="311" t="str">
        <x:v>Push Hypertrophy</x:v>
      </x:c>
      <x:c r="G314" s="311" t="str">
        <x:v>Chest, delts, and triceps volume</x:v>
      </x:c>
      <x:c r="H314" s="311" t="n">
        <x:v>2</x:v>
      </x:c>
      <x:c r="I314" s="311" t="str">
        <x:v>Machine Chest Press</x:v>
      </x:c>
      <x:c r="J314" s="311" t="str">
        <x:v>Hypertrophy</x:v>
      </x:c>
      <x:c r="K314" s="311" t="str">
        <x:v>Chest</x:v>
      </x:c>
      <x:c r="L314" s="311" t="str">
        <x:v>Straight sets</x:v>
      </x:c>
      <x:c r="M314" s="311" t="str"/>
      <x:c r="N314" s="311" t="n">
        <x:v>4</x:v>
      </x:c>
      <x:c r="O314" s="311" t="n">
        <x:v>10</x:v>
      </x:c>
      <x:c r="P314" s="311" t="n">
        <x:v>15</x:v>
      </x:c>
      <x:c r="Q314" s="311" t="n">
        <x:v>2</x:v>
      </x:c>
      <x:c r="R314" s="311" t="n">
        <x:v>75</x:v>
      </x:c>
      <x:c r="S314" s="311" t="str">
        <x:v>2-1-1</x:v>
      </x:c>
      <x:c r="T314" s="330" t="n">
        <x:v>1</x:v>
      </x:c>
      <x:c r="U314" s="330" t="n">
        <x:v>0</x:v>
      </x:c>
      <x:c r="V314" s="331" t="str">
        <x:v>load × reps</x:v>
      </x:c>
      <x:c r="W314" s="332" t="str">
        <x:f>'Readiness'!K40</x:f>
      </x:c>
      <x:c r="X314" s="314" t="n">
        <x:f>'Readiness'!L40</x:f>
        <x:v>1</x:v>
      </x:c>
      <x:c r="Y314" s="315" t="n">
        <x:f>IF(J314="Mobility",N314,MAX(1,ROUND(N314*X314,0)))</x:f>
        <x:v>4</x:v>
      </x:c>
      <x:c r="Z314" s="333" t="n">
        <x:f>ROUND((IF(AU261&gt;0,AU261,IF(Z261&gt;0,Z261,'Setup'!$D$60))*T314)/'Setup'!$B$9,0)*'Setup'!$B$9</x:f>
        <x:v>0</x:v>
      </x:c>
      <x:c r="AA314" s="334"/>
      <x:c r="AB314" s="334"/>
      <x:c r="AC314" s="334"/>
      <x:c r="AD314" s="334"/>
      <x:c r="AE314" s="334"/>
      <x:c r="AF314" s="334"/>
      <x:c r="AG314" s="334"/>
      <x:c r="AH314" s="334"/>
      <x:c r="AI314" s="334"/>
      <x:c r="AJ314" s="312"/>
      <x:c r="AK314" s="312"/>
      <x:c r="AL314" s="312"/>
      <x:c r="AM314" s="312"/>
      <x:c r="AN314" s="312"/>
      <x:c r="AO314" s="315" t="n">
        <x:f>COUNT(AB314,AD314,AF314,AH314,AJ314)</x:f>
        <x:v>0</x:v>
      </x:c>
      <x:c r="AP314" s="315" t="n">
        <x:f>SUM(AB314,AD314,AF314,AH314,AJ314)</x:f>
        <x:v>0</x:v>
      </x:c>
      <x:c r="AQ314" s="333" t="n">
        <x:f>AA314*AB314+AC314*AD314+AE314*AF314+AG314*AH314+AI314*AJ314</x:f>
        <x:v>0</x:v>
      </x:c>
      <x:c r="AR314" s="333" t="n">
        <x:f>IF(OR(J314="Strength",J314="Hypertrophy"),MAX(IF(AB314&gt;0,AA314*(1+AB314/30),0),IF(AD314&gt;0,AC314*(1+AD314/30),0),IF(AF314&gt;0,AE314*(1+AF314/30),0),IF(AH314&gt;0,AG314*(1+AH314/30),0),IF(AJ314&gt;0,AI314*(1+AJ314/30),0)),0)</x:f>
        <x:v>0</x:v>
      </x:c>
      <x:c r="AS314" s="315" t="str">
        <x:f>IF(AN314&lt;&gt;"Yes","Not logged",IF(AL314&gt;='Setup'!$B$14,"STOP / MODIFY",IF(Z314=0,"Complete",IF(OR(AO314=0,AK314=""),"Add set data + RIR",IF(AND(MAX(AB314,AD314,AF314,AH314,AJ314)&gt;=P314,AK314&gt;=Q314+1),"Progress",IF(OR(MAX(AB314,AD314,AF314,AH314,AJ314)&lt;O314,AK314&lt;Q314-1),"Regress","Hold"))))))</x:f>
        <x:v>Not logged</x:v>
      </x:c>
      <x:c r="AT314" s="335" t="n">
        <x:f>IF(OR(Z314=0,AN314&lt;&gt;"Yes",AO314=0,AK314=""),0,IF(AL314&gt;='Setup'!$B$14,-2*'Setup'!$B$11,IF(AND(MAX(AB314,AD314,AF314,AH314,AJ314)&gt;=P314,AK314&gt;=Q314+1),'Setup'!$B$10,IF(OR(MAX(AB314,AD314,AF314,AH314,AJ314)&lt;O314,AK314&lt;Q314-1),-'Setup'!$B$11,0))))</x:f>
        <x:v>0</x:v>
      </x:c>
      <x:c r="AU314" s="333" t="n">
        <x:f>IF(Z314=0,0,IF(AN314&lt;&gt;"Yes",Z314,IF(COUNT(AA314,AC314,AE314,AG314,AI314)=0,Z314,ROUND((MAX(AA314,AC314,AE314,AG314,AI314)*(1+AT314))/'Setup'!$B$9,0)*'Setup'!$B$9)))</x:f>
        <x:v>0</x:v>
      </x:c>
      <x:c r="AV314" s="336"/>
    </x:row>
    <x:row r="315">
      <x:c r="A315" s="310" t="n">
        <x:f>'Setup'!$B$3+(C315-1)*7+(D315-1)</x:f>
        <x:v>46282</x:v>
      </x:c>
      <x:c r="B315" s="311" t="str">
        <x:v>6|4|3</x:v>
      </x:c>
      <x:c r="C315" s="311" t="n">
        <x:v>6</x:v>
      </x:c>
      <x:c r="D315" s="311" t="n">
        <x:v>4</x:v>
      </x:c>
      <x:c r="E315" s="311" t="str">
        <x:v>Intensification</x:v>
      </x:c>
      <x:c r="F315" s="311" t="str">
        <x:v>Push Hypertrophy</x:v>
      </x:c>
      <x:c r="G315" s="311" t="str">
        <x:v>Chest, delts, and triceps volume</x:v>
      </x:c>
      <x:c r="H315" s="311" t="n">
        <x:v>3</x:v>
      </x:c>
      <x:c r="I315" s="311" t="str">
        <x:v>Seated Dumbbell Shoulder Press</x:v>
      </x:c>
      <x:c r="J315" s="311" t="str">
        <x:v>Hypertrophy</x:v>
      </x:c>
      <x:c r="K315" s="311" t="str">
        <x:v>Shoulders</x:v>
      </x:c>
      <x:c r="L315" s="311" t="str">
        <x:v>Straight sets</x:v>
      </x:c>
      <x:c r="M315" s="311" t="str"/>
      <x:c r="N315" s="311" t="n">
        <x:v>4</x:v>
      </x:c>
      <x:c r="O315" s="311" t="n">
        <x:v>8</x:v>
      </x:c>
      <x:c r="P315" s="311" t="n">
        <x:v>12</x:v>
      </x:c>
      <x:c r="Q315" s="311" t="n">
        <x:v>2</x:v>
      </x:c>
      <x:c r="R315" s="311" t="n">
        <x:v>90</x:v>
      </x:c>
      <x:c r="S315" s="311" t="str">
        <x:v>2-0-1</x:v>
      </x:c>
      <x:c r="T315" s="330" t="n">
        <x:v>1</x:v>
      </x:c>
      <x:c r="U315" s="330" t="n">
        <x:v>0</x:v>
      </x:c>
      <x:c r="V315" s="331" t="str">
        <x:v>load × reps</x:v>
      </x:c>
      <x:c r="W315" s="332" t="str">
        <x:f>'Readiness'!K40</x:f>
      </x:c>
      <x:c r="X315" s="314" t="n">
        <x:f>'Readiness'!L40</x:f>
        <x:v>1</x:v>
      </x:c>
      <x:c r="Y315" s="315" t="n">
        <x:f>IF(J315="Mobility",N315,MAX(1,ROUND(N315*X315,0)))</x:f>
        <x:v>4</x:v>
      </x:c>
      <x:c r="Z315" s="333" t="n">
        <x:f>ROUND((IF(AU262&gt;0,AU262,IF(Z262&gt;0,Z262,'Setup'!$D$83))*T315)/'Setup'!$B$9,0)*'Setup'!$B$9</x:f>
        <x:v>0</x:v>
      </x:c>
      <x:c r="AA315" s="334"/>
      <x:c r="AB315" s="334"/>
      <x:c r="AC315" s="334"/>
      <x:c r="AD315" s="334"/>
      <x:c r="AE315" s="334"/>
      <x:c r="AF315" s="334"/>
      <x:c r="AG315" s="334"/>
      <x:c r="AH315" s="334"/>
      <x:c r="AI315" s="334"/>
      <x:c r="AJ315" s="312"/>
      <x:c r="AK315" s="312"/>
      <x:c r="AL315" s="312"/>
      <x:c r="AM315" s="312"/>
      <x:c r="AN315" s="312"/>
      <x:c r="AO315" s="315" t="n">
        <x:f>COUNT(AB315,AD315,AF315,AH315,AJ315)</x:f>
        <x:v>0</x:v>
      </x:c>
      <x:c r="AP315" s="315" t="n">
        <x:f>SUM(AB315,AD315,AF315,AH315,AJ315)</x:f>
        <x:v>0</x:v>
      </x:c>
      <x:c r="AQ315" s="333" t="n">
        <x:f>AA315*AB315+AC315*AD315+AE315*AF315+AG315*AH315+AI315*AJ315</x:f>
        <x:v>0</x:v>
      </x:c>
      <x:c r="AR315" s="333" t="n">
        <x:f>IF(OR(J315="Strength",J315="Hypertrophy"),MAX(IF(AB315&gt;0,AA315*(1+AB315/30),0),IF(AD315&gt;0,AC315*(1+AD315/30),0),IF(AF315&gt;0,AE315*(1+AF315/30),0),IF(AH315&gt;0,AG315*(1+AH315/30),0),IF(AJ315&gt;0,AI315*(1+AJ315/30),0)),0)</x:f>
        <x:v>0</x:v>
      </x:c>
      <x:c r="AS315" s="315" t="str">
        <x:f>IF(AN315&lt;&gt;"Yes","Not logged",IF(AL315&gt;='Setup'!$B$14,"STOP / MODIFY",IF(Z315=0,"Complete",IF(OR(AO315=0,AK315=""),"Add set data + RIR",IF(AND(MAX(AB315,AD315,AF315,AH315,AJ315)&gt;=P315,AK315&gt;=Q315+1),"Progress",IF(OR(MAX(AB315,AD315,AF315,AH315,AJ315)&lt;O315,AK315&lt;Q315-1),"Regress","Hold"))))))</x:f>
        <x:v>Not logged</x:v>
      </x:c>
      <x:c r="AT315" s="335" t="n">
        <x:f>IF(OR(Z315=0,AN315&lt;&gt;"Yes",AO315=0,AK315=""),0,IF(AL315&gt;='Setup'!$B$14,-2*'Setup'!$B$11,IF(AND(MAX(AB315,AD315,AF315,AH315,AJ315)&gt;=P315,AK315&gt;=Q315+1),'Setup'!$B$10,IF(OR(MAX(AB315,AD315,AF315,AH315,AJ315)&lt;O315,AK315&lt;Q315-1),-'Setup'!$B$11,0))))</x:f>
        <x:v>0</x:v>
      </x:c>
      <x:c r="AU315" s="333" t="n">
        <x:f>IF(Z315=0,0,IF(AN315&lt;&gt;"Yes",Z315,IF(COUNT(AA315,AC315,AE315,AG315,AI315)=0,Z315,ROUND((MAX(AA315,AC315,AE315,AG315,AI315)*(1+AT315))/'Setup'!$B$9,0)*'Setup'!$B$9)))</x:f>
        <x:v>0</x:v>
      </x:c>
      <x:c r="AV315" s="336"/>
    </x:row>
    <x:row r="316">
      <x:c r="A316" s="310" t="n">
        <x:f>'Setup'!$B$3+(C316-1)*7+(D316-1)</x:f>
        <x:v>46282</x:v>
      </x:c>
      <x:c r="B316" s="311" t="str">
        <x:v>6|4|4</x:v>
      </x:c>
      <x:c r="C316" s="311" t="n">
        <x:v>6</x:v>
      </x:c>
      <x:c r="D316" s="311" t="n">
        <x:v>4</x:v>
      </x:c>
      <x:c r="E316" s="311" t="str">
        <x:v>Intensification</x:v>
      </x:c>
      <x:c r="F316" s="311" t="str">
        <x:v>Push Hypertrophy</x:v>
      </x:c>
      <x:c r="G316" s="311" t="str">
        <x:v>Chest, delts, and triceps volume</x:v>
      </x:c>
      <x:c r="H316" s="311" t="n">
        <x:v>4</x:v>
      </x:c>
      <x:c r="I316" s="311" t="str">
        <x:v>Cable Fly</x:v>
      </x:c>
      <x:c r="J316" s="311" t="str">
        <x:v>Hypertrophy</x:v>
      </x:c>
      <x:c r="K316" s="311" t="str">
        <x:v>Chest</x:v>
      </x:c>
      <x:c r="L316" s="311" t="str">
        <x:v>Superset</x:v>
      </x:c>
      <x:c r="M316" s="311" t="str">
        <x:v>A1</x:v>
      </x:c>
      <x:c r="N316" s="311" t="n">
        <x:v>4</x:v>
      </x:c>
      <x:c r="O316" s="311" t="n">
        <x:v>12</x:v>
      </x:c>
      <x:c r="P316" s="311" t="n">
        <x:v>15</x:v>
      </x:c>
      <x:c r="Q316" s="311" t="n">
        <x:v>2</x:v>
      </x:c>
      <x:c r="R316" s="311" t="n">
        <x:v>30</x:v>
      </x:c>
      <x:c r="S316" s="311" t="str">
        <x:v>2-1-2</x:v>
      </x:c>
      <x:c r="T316" s="330" t="n">
        <x:v>1</x:v>
      </x:c>
      <x:c r="U316" s="330" t="n">
        <x:v>0</x:v>
      </x:c>
      <x:c r="V316" s="331" t="str">
        <x:v>load × reps</x:v>
      </x:c>
      <x:c r="W316" s="332" t="str">
        <x:f>'Readiness'!K40</x:f>
      </x:c>
      <x:c r="X316" s="314" t="n">
        <x:f>'Readiness'!L40</x:f>
        <x:v>1</x:v>
      </x:c>
      <x:c r="Y316" s="315" t="n">
        <x:f>IF(J316="Mobility",N316,MAX(1,ROUND(N316*X316,0)))</x:f>
        <x:v>4</x:v>
      </x:c>
      <x:c r="Z316" s="333" t="n">
        <x:f>ROUND((IF(AU263&gt;0,AU263,IF(Z263&gt;0,Z263,'Setup'!$D$31))*T316)/'Setup'!$B$9,0)*'Setup'!$B$9</x:f>
        <x:v>0</x:v>
      </x:c>
      <x:c r="AA316" s="334"/>
      <x:c r="AB316" s="334"/>
      <x:c r="AC316" s="334"/>
      <x:c r="AD316" s="334"/>
      <x:c r="AE316" s="334"/>
      <x:c r="AF316" s="334"/>
      <x:c r="AG316" s="334"/>
      <x:c r="AH316" s="334"/>
      <x:c r="AI316" s="334"/>
      <x:c r="AJ316" s="312"/>
      <x:c r="AK316" s="312"/>
      <x:c r="AL316" s="312"/>
      <x:c r="AM316" s="312"/>
      <x:c r="AN316" s="312"/>
      <x:c r="AO316" s="315" t="n">
        <x:f>COUNT(AB316,AD316,AF316,AH316,AJ316)</x:f>
        <x:v>0</x:v>
      </x:c>
      <x:c r="AP316" s="315" t="n">
        <x:f>SUM(AB316,AD316,AF316,AH316,AJ316)</x:f>
        <x:v>0</x:v>
      </x:c>
      <x:c r="AQ316" s="333" t="n">
        <x:f>AA316*AB316+AC316*AD316+AE316*AF316+AG316*AH316+AI316*AJ316</x:f>
        <x:v>0</x:v>
      </x:c>
      <x:c r="AR316" s="333" t="n">
        <x:f>IF(OR(J316="Strength",J316="Hypertrophy"),MAX(IF(AB316&gt;0,AA316*(1+AB316/30),0),IF(AD316&gt;0,AC316*(1+AD316/30),0),IF(AF316&gt;0,AE316*(1+AF316/30),0),IF(AH316&gt;0,AG316*(1+AH316/30),0),IF(AJ316&gt;0,AI316*(1+AJ316/30),0)),0)</x:f>
        <x:v>0</x:v>
      </x:c>
      <x:c r="AS316" s="315" t="str">
        <x:f>IF(AN316&lt;&gt;"Yes","Not logged",IF(AL316&gt;='Setup'!$B$14,"STOP / MODIFY",IF(Z316=0,"Complete",IF(OR(AO316=0,AK316=""),"Add set data + RIR",IF(AND(MAX(AB316,AD316,AF316,AH316,AJ316)&gt;=P316,AK316&gt;=Q316+1),"Progress",IF(OR(MAX(AB316,AD316,AF316,AH316,AJ316)&lt;O316,AK316&lt;Q316-1),"Regress","Hold"))))))</x:f>
        <x:v>Not logged</x:v>
      </x:c>
      <x:c r="AT316" s="335" t="n">
        <x:f>IF(OR(Z316=0,AN316&lt;&gt;"Yes",AO316=0,AK316=""),0,IF(AL316&gt;='Setup'!$B$14,-2*'Setup'!$B$11,IF(AND(MAX(AB316,AD316,AF316,AH316,AJ316)&gt;=P316,AK316&gt;=Q316+1),'Setup'!$B$10,IF(OR(MAX(AB316,AD316,AF316,AH316,AJ316)&lt;O316,AK316&lt;Q316-1),-'Setup'!$B$11,0))))</x:f>
        <x:v>0</x:v>
      </x:c>
      <x:c r="AU316" s="333" t="n">
        <x:f>IF(Z316=0,0,IF(AN316&lt;&gt;"Yes",Z316,IF(COUNT(AA316,AC316,AE316,AG316,AI316)=0,Z316,ROUND((MAX(AA316,AC316,AE316,AG316,AI316)*(1+AT316))/'Setup'!$B$9,0)*'Setup'!$B$9)))</x:f>
        <x:v>0</x:v>
      </x:c>
      <x:c r="AV316" s="336"/>
    </x:row>
    <x:row r="317">
      <x:c r="A317" s="310" t="n">
        <x:f>'Setup'!$B$3+(C317-1)*7+(D317-1)</x:f>
        <x:v>46282</x:v>
      </x:c>
      <x:c r="B317" s="311" t="str">
        <x:v>6|4|5</x:v>
      </x:c>
      <x:c r="C317" s="311" t="n">
        <x:v>6</x:v>
      </x:c>
      <x:c r="D317" s="311" t="n">
        <x:v>4</x:v>
      </x:c>
      <x:c r="E317" s="311" t="str">
        <x:v>Intensification</x:v>
      </x:c>
      <x:c r="F317" s="311" t="str">
        <x:v>Push Hypertrophy</x:v>
      </x:c>
      <x:c r="G317" s="311" t="str">
        <x:v>Chest, delts, and triceps volume</x:v>
      </x:c>
      <x:c r="H317" s="311" t="n">
        <x:v>5</x:v>
      </x:c>
      <x:c r="I317" s="311" t="str">
        <x:v>Cable Lateral Raise</x:v>
      </x:c>
      <x:c r="J317" s="311" t="str">
        <x:v>Hypertrophy</x:v>
      </x:c>
      <x:c r="K317" s="311" t="str">
        <x:v>Shoulders</x:v>
      </x:c>
      <x:c r="L317" s="311" t="str">
        <x:v>Superset</x:v>
      </x:c>
      <x:c r="M317" s="311" t="str">
        <x:v>A2</x:v>
      </x:c>
      <x:c r="N317" s="311" t="n">
        <x:v>5</x:v>
      </x:c>
      <x:c r="O317" s="311" t="n">
        <x:v>12</x:v>
      </x:c>
      <x:c r="P317" s="311" t="n">
        <x:v>20</x:v>
      </x:c>
      <x:c r="Q317" s="311" t="n">
        <x:v>2</x:v>
      </x:c>
      <x:c r="R317" s="311" t="n">
        <x:v>30</x:v>
      </x:c>
      <x:c r="S317" s="311" t="str">
        <x:v>2-1-2</x:v>
      </x:c>
      <x:c r="T317" s="330" t="n">
        <x:v>1</x:v>
      </x:c>
      <x:c r="U317" s="330" t="n">
        <x:v>0</x:v>
      </x:c>
      <x:c r="V317" s="331" t="str">
        <x:v>load × reps</x:v>
      </x:c>
      <x:c r="W317" s="332" t="str">
        <x:f>'Readiness'!K40</x:f>
      </x:c>
      <x:c r="X317" s="314" t="n">
        <x:f>'Readiness'!L40</x:f>
        <x:v>1</x:v>
      </x:c>
      <x:c r="Y317" s="315" t="n">
        <x:f>IF(J317="Mobility",N317,MAX(1,ROUND(N317*X317,0)))</x:f>
        <x:v>5</x:v>
      </x:c>
      <x:c r="Z317" s="333" t="n">
        <x:f>ROUND((IF(AU264&gt;0,AU264,IF(Z264&gt;0,Z264,'Setup'!$D$33))*T317)/'Setup'!$B$9,0)*'Setup'!$B$9</x:f>
        <x:v>0</x:v>
      </x:c>
      <x:c r="AA317" s="334"/>
      <x:c r="AB317" s="334"/>
      <x:c r="AC317" s="334"/>
      <x:c r="AD317" s="334"/>
      <x:c r="AE317" s="334"/>
      <x:c r="AF317" s="334"/>
      <x:c r="AG317" s="334"/>
      <x:c r="AH317" s="334"/>
      <x:c r="AI317" s="334"/>
      <x:c r="AJ317" s="312"/>
      <x:c r="AK317" s="312"/>
      <x:c r="AL317" s="312"/>
      <x:c r="AM317" s="312"/>
      <x:c r="AN317" s="312"/>
      <x:c r="AO317" s="315" t="n">
        <x:f>COUNT(AB317,AD317,AF317,AH317,AJ317)</x:f>
        <x:v>0</x:v>
      </x:c>
      <x:c r="AP317" s="315" t="n">
        <x:f>SUM(AB317,AD317,AF317,AH317,AJ317)</x:f>
        <x:v>0</x:v>
      </x:c>
      <x:c r="AQ317" s="333" t="n">
        <x:f>AA317*AB317+AC317*AD317+AE317*AF317+AG317*AH317+AI317*AJ317</x:f>
        <x:v>0</x:v>
      </x:c>
      <x:c r="AR317" s="333" t="n">
        <x:f>IF(OR(J317="Strength",J317="Hypertrophy"),MAX(IF(AB317&gt;0,AA317*(1+AB317/30),0),IF(AD317&gt;0,AC317*(1+AD317/30),0),IF(AF317&gt;0,AE317*(1+AF317/30),0),IF(AH317&gt;0,AG317*(1+AH317/30),0),IF(AJ317&gt;0,AI317*(1+AJ317/30),0)),0)</x:f>
        <x:v>0</x:v>
      </x:c>
      <x:c r="AS317" s="315" t="str">
        <x:f>IF(AN317&lt;&gt;"Yes","Not logged",IF(AL317&gt;='Setup'!$B$14,"STOP / MODIFY",IF(Z317=0,"Complete",IF(OR(AO317=0,AK317=""),"Add set data + RIR",IF(AND(MAX(AB317,AD317,AF317,AH317,AJ317)&gt;=P317,AK317&gt;=Q317+1),"Progress",IF(OR(MAX(AB317,AD317,AF317,AH317,AJ317)&lt;O317,AK317&lt;Q317-1),"Regress","Hold"))))))</x:f>
        <x:v>Not logged</x:v>
      </x:c>
      <x:c r="AT317" s="335" t="n">
        <x:f>IF(OR(Z317=0,AN317&lt;&gt;"Yes",AO317=0,AK317=""),0,IF(AL317&gt;='Setup'!$B$14,-2*'Setup'!$B$11,IF(AND(MAX(AB317,AD317,AF317,AH317,AJ317)&gt;=P317,AK317&gt;=Q317+1),'Setup'!$B$10,IF(OR(MAX(AB317,AD317,AF317,AH317,AJ317)&lt;O317,AK317&lt;Q317-1),-'Setup'!$B$11,0))))</x:f>
        <x:v>0</x:v>
      </x:c>
      <x:c r="AU317" s="333" t="n">
        <x:f>IF(Z317=0,0,IF(AN317&lt;&gt;"Yes",Z317,IF(COUNT(AA317,AC317,AE317,AG317,AI317)=0,Z317,ROUND((MAX(AA317,AC317,AE317,AG317,AI317)*(1+AT317))/'Setup'!$B$9,0)*'Setup'!$B$9)))</x:f>
        <x:v>0</x:v>
      </x:c>
      <x:c r="AV317" s="336"/>
    </x:row>
    <x:row r="318">
      <x:c r="A318" s="310" t="n">
        <x:f>'Setup'!$B$3+(C318-1)*7+(D318-1)</x:f>
        <x:v>46282</x:v>
      </x:c>
      <x:c r="B318" s="311" t="str">
        <x:v>6|4|6</x:v>
      </x:c>
      <x:c r="C318" s="311" t="n">
        <x:v>6</x:v>
      </x:c>
      <x:c r="D318" s="311" t="n">
        <x:v>4</x:v>
      </x:c>
      <x:c r="E318" s="311" t="str">
        <x:v>Intensification</x:v>
      </x:c>
      <x:c r="F318" s="311" t="str">
        <x:v>Push Hypertrophy</x:v>
      </x:c>
      <x:c r="G318" s="311" t="str">
        <x:v>Chest, delts, and triceps volume</x:v>
      </x:c>
      <x:c r="H318" s="311" t="n">
        <x:v>6</x:v>
      </x:c>
      <x:c r="I318" s="311" t="str">
        <x:v>Overhead Cable Triceps Extension</x:v>
      </x:c>
      <x:c r="J318" s="311" t="str">
        <x:v>Hypertrophy</x:v>
      </x:c>
      <x:c r="K318" s="311" t="str">
        <x:v>Triceps</x:v>
      </x:c>
      <x:c r="L318" s="311" t="str">
        <x:v>Superset</x:v>
      </x:c>
      <x:c r="M318" s="311" t="str">
        <x:v>B1</x:v>
      </x:c>
      <x:c r="N318" s="311" t="n">
        <x:v>4</x:v>
      </x:c>
      <x:c r="O318" s="311" t="n">
        <x:v>10</x:v>
      </x:c>
      <x:c r="P318" s="311" t="n">
        <x:v>15</x:v>
      </x:c>
      <x:c r="Q318" s="311" t="n">
        <x:v>2</x:v>
      </x:c>
      <x:c r="R318" s="311" t="n">
        <x:v>30</x:v>
      </x:c>
      <x:c r="S318" s="311" t="str">
        <x:v>3-0-1</x:v>
      </x:c>
      <x:c r="T318" s="330" t="n">
        <x:v>1</x:v>
      </x:c>
      <x:c r="U318" s="330" t="n">
        <x:v>0</x:v>
      </x:c>
      <x:c r="V318" s="331" t="str">
        <x:v>load × reps</x:v>
      </x:c>
      <x:c r="W318" s="332" t="str">
        <x:f>'Readiness'!K40</x:f>
      </x:c>
      <x:c r="X318" s="314" t="n">
        <x:f>'Readiness'!L40</x:f>
        <x:v>1</x:v>
      </x:c>
      <x:c r="Y318" s="315" t="n">
        <x:f>IF(J318="Mobility",N318,MAX(1,ROUND(N318*X318,0)))</x:f>
        <x:v>4</x:v>
      </x:c>
      <x:c r="Z318" s="333" t="n">
        <x:f>ROUND((IF(AU265&gt;0,AU265,IF(Z265&gt;0,Z265,'Setup'!$D$69))*T318)/'Setup'!$B$9,0)*'Setup'!$B$9</x:f>
        <x:v>0</x:v>
      </x:c>
      <x:c r="AA318" s="334"/>
      <x:c r="AB318" s="334"/>
      <x:c r="AC318" s="334"/>
      <x:c r="AD318" s="334"/>
      <x:c r="AE318" s="334"/>
      <x:c r="AF318" s="334"/>
      <x:c r="AG318" s="334"/>
      <x:c r="AH318" s="334"/>
      <x:c r="AI318" s="334"/>
      <x:c r="AJ318" s="312"/>
      <x:c r="AK318" s="312"/>
      <x:c r="AL318" s="312"/>
      <x:c r="AM318" s="312"/>
      <x:c r="AN318" s="312"/>
      <x:c r="AO318" s="315" t="n">
        <x:f>COUNT(AB318,AD318,AF318,AH318,AJ318)</x:f>
        <x:v>0</x:v>
      </x:c>
      <x:c r="AP318" s="315" t="n">
        <x:f>SUM(AB318,AD318,AF318,AH318,AJ318)</x:f>
        <x:v>0</x:v>
      </x:c>
      <x:c r="AQ318" s="333" t="n">
        <x:f>AA318*AB318+AC318*AD318+AE318*AF318+AG318*AH318+AI318*AJ318</x:f>
        <x:v>0</x:v>
      </x:c>
      <x:c r="AR318" s="333" t="n">
        <x:f>IF(OR(J318="Strength",J318="Hypertrophy"),MAX(IF(AB318&gt;0,AA318*(1+AB318/30),0),IF(AD318&gt;0,AC318*(1+AD318/30),0),IF(AF318&gt;0,AE318*(1+AF318/30),0),IF(AH318&gt;0,AG318*(1+AH318/30),0),IF(AJ318&gt;0,AI318*(1+AJ318/30),0)),0)</x:f>
        <x:v>0</x:v>
      </x:c>
      <x:c r="AS318" s="315" t="str">
        <x:f>IF(AN318&lt;&gt;"Yes","Not logged",IF(AL318&gt;='Setup'!$B$14,"STOP / MODIFY",IF(Z318=0,"Complete",IF(OR(AO318=0,AK318=""),"Add set data + RIR",IF(AND(MAX(AB318,AD318,AF318,AH318,AJ318)&gt;=P318,AK318&gt;=Q318+1),"Progress",IF(OR(MAX(AB318,AD318,AF318,AH318,AJ318)&lt;O318,AK318&lt;Q318-1),"Regress","Hold"))))))</x:f>
        <x:v>Not logged</x:v>
      </x:c>
      <x:c r="AT318" s="335" t="n">
        <x:f>IF(OR(Z318=0,AN318&lt;&gt;"Yes",AO318=0,AK318=""),0,IF(AL318&gt;='Setup'!$B$14,-2*'Setup'!$B$11,IF(AND(MAX(AB318,AD318,AF318,AH318,AJ318)&gt;=P318,AK318&gt;=Q318+1),'Setup'!$B$10,IF(OR(MAX(AB318,AD318,AF318,AH318,AJ318)&lt;O318,AK318&lt;Q318-1),-'Setup'!$B$11,0))))</x:f>
        <x:v>0</x:v>
      </x:c>
      <x:c r="AU318" s="333" t="n">
        <x:f>IF(Z318=0,0,IF(AN318&lt;&gt;"Yes",Z318,IF(COUNT(AA318,AC318,AE318,AG318,AI318)=0,Z318,ROUND((MAX(AA318,AC318,AE318,AG318,AI318)*(1+AT318))/'Setup'!$B$9,0)*'Setup'!$B$9)))</x:f>
        <x:v>0</x:v>
      </x:c>
      <x:c r="AV318" s="336"/>
    </x:row>
    <x:row r="319">
      <x:c r="A319" s="310" t="n">
        <x:f>'Setup'!$B$3+(C319-1)*7+(D319-1)</x:f>
        <x:v>46282</x:v>
      </x:c>
      <x:c r="B319" s="311" t="str">
        <x:v>6|4|7</x:v>
      </x:c>
      <x:c r="C319" s="311" t="n">
        <x:v>6</x:v>
      </x:c>
      <x:c r="D319" s="311" t="n">
        <x:v>4</x:v>
      </x:c>
      <x:c r="E319" s="311" t="str">
        <x:v>Intensification</x:v>
      </x:c>
      <x:c r="F319" s="311" t="str">
        <x:v>Push Hypertrophy</x:v>
      </x:c>
      <x:c r="G319" s="311" t="str">
        <x:v>Chest, delts, and triceps volume</x:v>
      </x:c>
      <x:c r="H319" s="311" t="n">
        <x:v>7</x:v>
      </x:c>
      <x:c r="I319" s="311" t="str">
        <x:v>Triceps Pressdown</x:v>
      </x:c>
      <x:c r="J319" s="311" t="str">
        <x:v>Hypertrophy</x:v>
      </x:c>
      <x:c r="K319" s="311" t="str">
        <x:v>Triceps</x:v>
      </x:c>
      <x:c r="L319" s="311" t="str">
        <x:v>Optional final-set drop if readiness is green</x:v>
      </x:c>
      <x:c r="M319" s="311" t="str">
        <x:v>B2</x:v>
      </x:c>
      <x:c r="N319" s="311" t="n">
        <x:v>4</x:v>
      </x:c>
      <x:c r="O319" s="311" t="n">
        <x:v>12</x:v>
      </x:c>
      <x:c r="P319" s="311" t="n">
        <x:v>15</x:v>
      </x:c>
      <x:c r="Q319" s="311" t="n">
        <x:v>2</x:v>
      </x:c>
      <x:c r="R319" s="311" t="n">
        <x:v>45</x:v>
      </x:c>
      <x:c r="S319" s="311" t="str">
        <x:v>2-1-1</x:v>
      </x:c>
      <x:c r="T319" s="330" t="n">
        <x:v>1</x:v>
      </x:c>
      <x:c r="U319" s="330" t="n">
        <x:v>0</x:v>
      </x:c>
      <x:c r="V319" s="331" t="str">
        <x:v>load × reps</x:v>
      </x:c>
      <x:c r="W319" s="332" t="str">
        <x:f>'Readiness'!K40</x:f>
      </x:c>
      <x:c r="X319" s="314" t="n">
        <x:f>'Readiness'!L40</x:f>
        <x:v>1</x:v>
      </x:c>
      <x:c r="Y319" s="315" t="n">
        <x:f>IF(J319="Mobility",N319,MAX(1,ROUND(N319*X319,0)))</x:f>
        <x:v>4</x:v>
      </x:c>
      <x:c r="Z319" s="333" t="n">
        <x:f>ROUND((IF(AU266&gt;0,AU266,IF(Z266&gt;0,Z266,'Setup'!$D$92))*T319)/'Setup'!$B$9,0)*'Setup'!$B$9</x:f>
        <x:v>0</x:v>
      </x:c>
      <x:c r="AA319" s="334"/>
      <x:c r="AB319" s="334"/>
      <x:c r="AC319" s="334"/>
      <x:c r="AD319" s="334"/>
      <x:c r="AE319" s="334"/>
      <x:c r="AF319" s="334"/>
      <x:c r="AG319" s="334"/>
      <x:c r="AH319" s="334"/>
      <x:c r="AI319" s="334"/>
      <x:c r="AJ319" s="312"/>
      <x:c r="AK319" s="312"/>
      <x:c r="AL319" s="312"/>
      <x:c r="AM319" s="312"/>
      <x:c r="AN319" s="312"/>
      <x:c r="AO319" s="315" t="n">
        <x:f>COUNT(AB319,AD319,AF319,AH319,AJ319)</x:f>
        <x:v>0</x:v>
      </x:c>
      <x:c r="AP319" s="315" t="n">
        <x:f>SUM(AB319,AD319,AF319,AH319,AJ319)</x:f>
        <x:v>0</x:v>
      </x:c>
      <x:c r="AQ319" s="333" t="n">
        <x:f>AA319*AB319+AC319*AD319+AE319*AF319+AG319*AH319+AI319*AJ319</x:f>
        <x:v>0</x:v>
      </x:c>
      <x:c r="AR319" s="333" t="n">
        <x:f>IF(OR(J319="Strength",J319="Hypertrophy"),MAX(IF(AB319&gt;0,AA319*(1+AB319/30),0),IF(AD319&gt;0,AC319*(1+AD319/30),0),IF(AF319&gt;0,AE319*(1+AF319/30),0),IF(AH319&gt;0,AG319*(1+AH319/30),0),IF(AJ319&gt;0,AI319*(1+AJ319/30),0)),0)</x:f>
        <x:v>0</x:v>
      </x:c>
      <x:c r="AS319" s="315" t="str">
        <x:f>IF(AN319&lt;&gt;"Yes","Not logged",IF(AL319&gt;='Setup'!$B$14,"STOP / MODIFY",IF(Z319=0,"Complete",IF(OR(AO319=0,AK319=""),"Add set data + RIR",IF(AND(MAX(AB319,AD319,AF319,AH319,AJ319)&gt;=P319,AK319&gt;=Q319+1),"Progress",IF(OR(MAX(AB319,AD319,AF319,AH319,AJ319)&lt;O319,AK319&lt;Q319-1),"Regress","Hold"))))))</x:f>
        <x:v>Not logged</x:v>
      </x:c>
      <x:c r="AT319" s="335" t="n">
        <x:f>IF(OR(Z319=0,AN319&lt;&gt;"Yes",AO319=0,AK319=""),0,IF(AL319&gt;='Setup'!$B$14,-2*'Setup'!$B$11,IF(AND(MAX(AB319,AD319,AF319,AH319,AJ319)&gt;=P319,AK319&gt;=Q319+1),'Setup'!$B$10,IF(OR(MAX(AB319,AD319,AF319,AH319,AJ319)&lt;O319,AK319&lt;Q319-1),-'Setup'!$B$11,0))))</x:f>
        <x:v>0</x:v>
      </x:c>
      <x:c r="AU319" s="333" t="n">
        <x:f>IF(Z319=0,0,IF(AN319&lt;&gt;"Yes",Z319,IF(COUNT(AA319,AC319,AE319,AG319,AI319)=0,Z319,ROUND((MAX(AA319,AC319,AE319,AG319,AI319)*(1+AT319))/'Setup'!$B$9,0)*'Setup'!$B$9)))</x:f>
        <x:v>0</x:v>
      </x:c>
      <x:c r="AV319" s="336"/>
    </x:row>
    <x:row r="320">
      <x:c r="A320" s="310" t="n">
        <x:f>'Setup'!$B$3+(C320-1)*7+(D320-1)</x:f>
        <x:v>46282</x:v>
      </x:c>
      <x:c r="B320" s="311" t="str">
        <x:v>6|4|8</x:v>
      </x:c>
      <x:c r="C320" s="311" t="n">
        <x:v>6</x:v>
      </x:c>
      <x:c r="D320" s="311" t="n">
        <x:v>4</x:v>
      </x:c>
      <x:c r="E320" s="311" t="str">
        <x:v>Intensification</x:v>
      </x:c>
      <x:c r="F320" s="311" t="str">
        <x:v>Push Hypertrophy</x:v>
      </x:c>
      <x:c r="G320" s="311" t="str">
        <x:v>Chest, delts, and triceps volume</x:v>
      </x:c>
      <x:c r="H320" s="311" t="n">
        <x:v>8</x:v>
      </x:c>
      <x:c r="I320" s="311" t="str">
        <x:v>Doorway Pec Stretch</x:v>
      </x:c>
      <x:c r="J320" s="311" t="str">
        <x:v>Mobility</x:v>
      </x:c>
      <x:c r="K320" s="311" t="str">
        <x:v>Chest</x:v>
      </x:c>
      <x:c r="L320" s="311" t="str">
        <x:v>Relaxed breathing</x:v>
      </x:c>
      <x:c r="M320" s="311" t="str"/>
      <x:c r="N320" s="311" t="n">
        <x:v>2</x:v>
      </x:c>
      <x:c r="O320" s="311" t="n">
        <x:v>30</x:v>
      </x:c>
      <x:c r="P320" s="311" t="n">
        <x:v>45</x:v>
      </x:c>
      <x:c r="Q320" s="311" t="str"/>
      <x:c r="R320" s="311" t="n">
        <x:v>20</x:v>
      </x:c>
      <x:c r="S320" s="311" t="str">
        <x:v>Hold</x:v>
      </x:c>
      <x:c r="T320" s="330" t="n">
        <x:v>1</x:v>
      </x:c>
      <x:c r="U320" s="330" t="n">
        <x:v>0</x:v>
      </x:c>
      <x:c r="V320" s="331" t="str">
        <x:v>seconds</x:v>
      </x:c>
      <x:c r="W320" s="332" t="str">
        <x:f>'Readiness'!K40</x:f>
      </x:c>
      <x:c r="X320" s="314" t="n">
        <x:f>'Readiness'!L40</x:f>
        <x:v>1</x:v>
      </x:c>
      <x:c r="Y320" s="315" t="n">
        <x:f>IF(J320="Mobility",N320,MAX(1,ROUND(N320*X320,0)))</x:f>
        <x:v>2</x:v>
      </x:c>
      <x:c r="Z320" s="333" t="n">
        <x:f>0</x:f>
        <x:v>0</x:v>
      </x:c>
      <x:c r="AA320" s="334"/>
      <x:c r="AB320" s="334"/>
      <x:c r="AC320" s="334"/>
      <x:c r="AD320" s="334"/>
      <x:c r="AE320" s="334"/>
      <x:c r="AF320" s="334"/>
      <x:c r="AG320" s="334"/>
      <x:c r="AH320" s="334"/>
      <x:c r="AI320" s="334"/>
      <x:c r="AJ320" s="312"/>
      <x:c r="AK320" s="312"/>
      <x:c r="AL320" s="312"/>
      <x:c r="AM320" s="312"/>
      <x:c r="AN320" s="312"/>
      <x:c r="AO320" s="315" t="n">
        <x:f>COUNT(AB320,AD320,AF320,AH320,AJ320)</x:f>
        <x:v>0</x:v>
      </x:c>
      <x:c r="AP320" s="315" t="n">
        <x:f>SUM(AB320,AD320,AF320,AH320,AJ320)</x:f>
        <x:v>0</x:v>
      </x:c>
      <x:c r="AQ320" s="333" t="n">
        <x:f>AA320*AB320+AC320*AD320+AE320*AF320+AG320*AH320+AI320*AJ320</x:f>
        <x:v>0</x:v>
      </x:c>
      <x:c r="AR320" s="333" t="n">
        <x:f>IF(OR(J320="Strength",J320="Hypertrophy"),MAX(IF(AB320&gt;0,AA320*(1+AB320/30),0),IF(AD320&gt;0,AC320*(1+AD320/30),0),IF(AF320&gt;0,AE320*(1+AF320/30),0),IF(AH320&gt;0,AG320*(1+AH320/30),0),IF(AJ320&gt;0,AI320*(1+AJ320/30),0)),0)</x:f>
        <x:v>0</x:v>
      </x:c>
      <x:c r="AS320" s="315" t="str">
        <x:f>IF(AN320&lt;&gt;"Yes","Not logged",IF(AL320&gt;='Setup'!$B$14,"STOP / MODIFY",IF(Z320=0,"Complete",IF(OR(AO320=0,AK320=""),"Add set data + RIR",IF(AND(MAX(AB320,AD320,AF320,AH320,AJ320)&gt;=P320,AK320&gt;=Q320+1),"Progress",IF(OR(MAX(AB320,AD320,AF320,AH320,AJ320)&lt;O320,AK320&lt;Q320-1),"Regress","Hold"))))))</x:f>
        <x:v>Not logged</x:v>
      </x:c>
      <x:c r="AT320" s="335" t="n">
        <x:f>IF(OR(Z320=0,AN320&lt;&gt;"Yes",AO320=0,AK320=""),0,IF(AL320&gt;='Setup'!$B$14,-2*'Setup'!$B$11,IF(AND(MAX(AB320,AD320,AF320,AH320,AJ320)&gt;=P320,AK320&gt;=Q320+1),'Setup'!$B$10,IF(OR(MAX(AB320,AD320,AF320,AH320,AJ320)&lt;O320,AK320&lt;Q320-1),-'Setup'!$B$11,0))))</x:f>
        <x:v>0</x:v>
      </x:c>
      <x:c r="AU320" s="333" t="n">
        <x:f>IF(Z320=0,0,IF(AN320&lt;&gt;"Yes",Z320,IF(COUNT(AA320,AC320,AE320,AG320,AI320)=0,Z320,ROUND((MAX(AA320,AC320,AE320,AG320,AI320)*(1+AT320))/'Setup'!$B$9,0)*'Setup'!$B$9)))</x:f>
        <x:v>0</x:v>
      </x:c>
      <x:c r="AV320" s="336"/>
    </x:row>
    <x:row r="321">
      <x:c r="A321" s="310" t="n">
        <x:f>'Setup'!$B$3+(C321-1)*7+(D321-1)</x:f>
        <x:v>46283</x:v>
      </x:c>
      <x:c r="B321" s="311" t="str">
        <x:v>6|5|1</x:v>
      </x:c>
      <x:c r="C321" s="311" t="n">
        <x:v>6</x:v>
      </x:c>
      <x:c r="D321" s="311" t="n">
        <x:v>5</x:v>
      </x:c>
      <x:c r="E321" s="311" t="str">
        <x:v>Intensification</x:v>
      </x:c>
      <x:c r="F321" s="311" t="str">
        <x:v>Pull Hypertrophy</x:v>
      </x:c>
      <x:c r="G321" s="311" t="str">
        <x:v>Back, rear delts, and biceps volume</x:v>
      </x:c>
      <x:c r="H321" s="311" t="n">
        <x:v>1</x:v>
      </x:c>
      <x:c r="I321" s="311" t="str">
        <x:v>Lat Pulldown</x:v>
      </x:c>
      <x:c r="J321" s="311" t="str">
        <x:v>Hypertrophy</x:v>
      </x:c>
      <x:c r="K321" s="311" t="str">
        <x:v>Back</x:v>
      </x:c>
      <x:c r="L321" s="311" t="str">
        <x:v>Straight sets</x:v>
      </x:c>
      <x:c r="M321" s="311" t="str"/>
      <x:c r="N321" s="311" t="n">
        <x:v>5</x:v>
      </x:c>
      <x:c r="O321" s="311" t="n">
        <x:v>8</x:v>
      </x:c>
      <x:c r="P321" s="311" t="n">
        <x:v>12</x:v>
      </x:c>
      <x:c r="Q321" s="311" t="n">
        <x:v>2</x:v>
      </x:c>
      <x:c r="R321" s="311" t="n">
        <x:v>90</x:v>
      </x:c>
      <x:c r="S321" s="311" t="str">
        <x:v>2-1-1</x:v>
      </x:c>
      <x:c r="T321" s="330" t="n">
        <x:v>1</x:v>
      </x:c>
      <x:c r="U321" s="330" t="n">
        <x:v>0</x:v>
      </x:c>
      <x:c r="V321" s="331" t="str">
        <x:v>load × reps</x:v>
      </x:c>
      <x:c r="W321" s="332" t="str">
        <x:f>'Readiness'!K41</x:f>
      </x:c>
      <x:c r="X321" s="314" t="n">
        <x:f>'Readiness'!L41</x:f>
        <x:v>1</x:v>
      </x:c>
      <x:c r="Y321" s="315" t="n">
        <x:f>IF(J321="Mobility",N321,MAX(1,ROUND(N321*X321,0)))</x:f>
        <x:v>5</x:v>
      </x:c>
      <x:c r="Z321" s="333" t="n">
        <x:f>ROUND((IF(AU268&gt;0,AU268,IF(Z268&gt;0,Z268,'Setup'!$D$55))*T321)/'Setup'!$B$9,0)*'Setup'!$B$9</x:f>
        <x:v>0</x:v>
      </x:c>
      <x:c r="AA321" s="334"/>
      <x:c r="AB321" s="334"/>
      <x:c r="AC321" s="334"/>
      <x:c r="AD321" s="334"/>
      <x:c r="AE321" s="334"/>
      <x:c r="AF321" s="334"/>
      <x:c r="AG321" s="334"/>
      <x:c r="AH321" s="334"/>
      <x:c r="AI321" s="334"/>
      <x:c r="AJ321" s="312"/>
      <x:c r="AK321" s="312"/>
      <x:c r="AL321" s="312"/>
      <x:c r="AM321" s="312"/>
      <x:c r="AN321" s="312"/>
      <x:c r="AO321" s="315" t="n">
        <x:f>COUNT(AB321,AD321,AF321,AH321,AJ321)</x:f>
        <x:v>0</x:v>
      </x:c>
      <x:c r="AP321" s="315" t="n">
        <x:f>SUM(AB321,AD321,AF321,AH321,AJ321)</x:f>
        <x:v>0</x:v>
      </x:c>
      <x:c r="AQ321" s="333" t="n">
        <x:f>AA321*AB321+AC321*AD321+AE321*AF321+AG321*AH321+AI321*AJ321</x:f>
        <x:v>0</x:v>
      </x:c>
      <x:c r="AR321" s="333" t="n">
        <x:f>IF(OR(J321="Strength",J321="Hypertrophy"),MAX(IF(AB321&gt;0,AA321*(1+AB321/30),0),IF(AD321&gt;0,AC321*(1+AD321/30),0),IF(AF321&gt;0,AE321*(1+AF321/30),0),IF(AH321&gt;0,AG321*(1+AH321/30),0),IF(AJ321&gt;0,AI321*(1+AJ321/30),0)),0)</x:f>
        <x:v>0</x:v>
      </x:c>
      <x:c r="AS321" s="315" t="str">
        <x:f>IF(AN321&lt;&gt;"Yes","Not logged",IF(AL321&gt;='Setup'!$B$14,"STOP / MODIFY",IF(Z321=0,"Complete",IF(OR(AO321=0,AK321=""),"Add set data + RIR",IF(AND(MAX(AB321,AD321,AF321,AH321,AJ321)&gt;=P321,AK321&gt;=Q321+1),"Progress",IF(OR(MAX(AB321,AD321,AF321,AH321,AJ321)&lt;O321,AK321&lt;Q321-1),"Regress","Hold"))))))</x:f>
        <x:v>Not logged</x:v>
      </x:c>
      <x:c r="AT321" s="335" t="n">
        <x:f>IF(OR(Z321=0,AN321&lt;&gt;"Yes",AO321=0,AK321=""),0,IF(AL321&gt;='Setup'!$B$14,-2*'Setup'!$B$11,IF(AND(MAX(AB321,AD321,AF321,AH321,AJ321)&gt;=P321,AK321&gt;=Q321+1),'Setup'!$B$10,IF(OR(MAX(AB321,AD321,AF321,AH321,AJ321)&lt;O321,AK321&lt;Q321-1),-'Setup'!$B$11,0))))</x:f>
        <x:v>0</x:v>
      </x:c>
      <x:c r="AU321" s="333" t="n">
        <x:f>IF(Z321=0,0,IF(AN321&lt;&gt;"Yes",Z321,IF(COUNT(AA321,AC321,AE321,AG321,AI321)=0,Z321,ROUND((MAX(AA321,AC321,AE321,AG321,AI321)*(1+AT321))/'Setup'!$B$9,0)*'Setup'!$B$9)))</x:f>
        <x:v>0</x:v>
      </x:c>
      <x:c r="AV321" s="336"/>
    </x:row>
    <x:row r="322">
      <x:c r="A322" s="310" t="n">
        <x:f>'Setup'!$B$3+(C322-1)*7+(D322-1)</x:f>
        <x:v>46283</x:v>
      </x:c>
      <x:c r="B322" s="311" t="str">
        <x:v>6|5|2</x:v>
      </x:c>
      <x:c r="C322" s="311" t="n">
        <x:v>6</x:v>
      </x:c>
      <x:c r="D322" s="311" t="n">
        <x:v>5</x:v>
      </x:c>
      <x:c r="E322" s="311" t="str">
        <x:v>Intensification</x:v>
      </x:c>
      <x:c r="F322" s="311" t="str">
        <x:v>Pull Hypertrophy</x:v>
      </x:c>
      <x:c r="G322" s="311" t="str">
        <x:v>Back, rear delts, and biceps volume</x:v>
      </x:c>
      <x:c r="H322" s="311" t="n">
        <x:v>2</x:v>
      </x:c>
      <x:c r="I322" s="311" t="str">
        <x:v>Chest-Supported Dumbbell Row</x:v>
      </x:c>
      <x:c r="J322" s="311" t="str">
        <x:v>Hypertrophy</x:v>
      </x:c>
      <x:c r="K322" s="311" t="str">
        <x:v>Back</x:v>
      </x:c>
      <x:c r="L322" s="311" t="str">
        <x:v>Straight sets</x:v>
      </x:c>
      <x:c r="M322" s="311" t="str"/>
      <x:c r="N322" s="311" t="n">
        <x:v>5</x:v>
      </x:c>
      <x:c r="O322" s="311" t="n">
        <x:v>8</x:v>
      </x:c>
      <x:c r="P322" s="311" t="n">
        <x:v>12</x:v>
      </x:c>
      <x:c r="Q322" s="311" t="n">
        <x:v>2</x:v>
      </x:c>
      <x:c r="R322" s="311" t="n">
        <x:v>90</x:v>
      </x:c>
      <x:c r="S322" s="311" t="str">
        <x:v>2-1-1</x:v>
      </x:c>
      <x:c r="T322" s="330" t="n">
        <x:v>1</x:v>
      </x:c>
      <x:c r="U322" s="330" t="n">
        <x:v>0</x:v>
      </x:c>
      <x:c r="V322" s="331" t="str">
        <x:v>load × reps</x:v>
      </x:c>
      <x:c r="W322" s="332" t="str">
        <x:f>'Readiness'!K41</x:f>
      </x:c>
      <x:c r="X322" s="314" t="n">
        <x:f>'Readiness'!L41</x:f>
        <x:v>1</x:v>
      </x:c>
      <x:c r="Y322" s="315" t="n">
        <x:f>IF(J322="Mobility",N322,MAX(1,ROUND(N322*X322,0)))</x:f>
        <x:v>5</x:v>
      </x:c>
      <x:c r="Z322" s="333" t="n">
        <x:f>ROUND((IF(AU302&gt;0,AU302,IF(Z302&gt;0,Z302,'Setup'!$D$34))*T322)/'Setup'!$B$9,0)*'Setup'!$B$9</x:f>
        <x:v>0</x:v>
      </x:c>
      <x:c r="AA322" s="334"/>
      <x:c r="AB322" s="334"/>
      <x:c r="AC322" s="334"/>
      <x:c r="AD322" s="334"/>
      <x:c r="AE322" s="334"/>
      <x:c r="AF322" s="334"/>
      <x:c r="AG322" s="334"/>
      <x:c r="AH322" s="334"/>
      <x:c r="AI322" s="334"/>
      <x:c r="AJ322" s="312"/>
      <x:c r="AK322" s="312"/>
      <x:c r="AL322" s="312"/>
      <x:c r="AM322" s="312"/>
      <x:c r="AN322" s="312"/>
      <x:c r="AO322" s="315" t="n">
        <x:f>COUNT(AB322,AD322,AF322,AH322,AJ322)</x:f>
        <x:v>0</x:v>
      </x:c>
      <x:c r="AP322" s="315" t="n">
        <x:f>SUM(AB322,AD322,AF322,AH322,AJ322)</x:f>
        <x:v>0</x:v>
      </x:c>
      <x:c r="AQ322" s="333" t="n">
        <x:f>AA322*AB322+AC322*AD322+AE322*AF322+AG322*AH322+AI322*AJ322</x:f>
        <x:v>0</x:v>
      </x:c>
      <x:c r="AR322" s="333" t="n">
        <x:f>IF(OR(J322="Strength",J322="Hypertrophy"),MAX(IF(AB322&gt;0,AA322*(1+AB322/30),0),IF(AD322&gt;0,AC322*(1+AD322/30),0),IF(AF322&gt;0,AE322*(1+AF322/30),0),IF(AH322&gt;0,AG322*(1+AH322/30),0),IF(AJ322&gt;0,AI322*(1+AJ322/30),0)),0)</x:f>
        <x:v>0</x:v>
      </x:c>
      <x:c r="AS322" s="315" t="str">
        <x:f>IF(AN322&lt;&gt;"Yes","Not logged",IF(AL322&gt;='Setup'!$B$14,"STOP / MODIFY",IF(Z322=0,"Complete",IF(OR(AO322=0,AK322=""),"Add set data + RIR",IF(AND(MAX(AB322,AD322,AF322,AH322,AJ322)&gt;=P322,AK322&gt;=Q322+1),"Progress",IF(OR(MAX(AB322,AD322,AF322,AH322,AJ322)&lt;O322,AK322&lt;Q322-1),"Regress","Hold"))))))</x:f>
        <x:v>Not logged</x:v>
      </x:c>
      <x:c r="AT322" s="335" t="n">
        <x:f>IF(OR(Z322=0,AN322&lt;&gt;"Yes",AO322=0,AK322=""),0,IF(AL322&gt;='Setup'!$B$14,-2*'Setup'!$B$11,IF(AND(MAX(AB322,AD322,AF322,AH322,AJ322)&gt;=P322,AK322&gt;=Q322+1),'Setup'!$B$10,IF(OR(MAX(AB322,AD322,AF322,AH322,AJ322)&lt;O322,AK322&lt;Q322-1),-'Setup'!$B$11,0))))</x:f>
        <x:v>0</x:v>
      </x:c>
      <x:c r="AU322" s="333" t="n">
        <x:f>IF(Z322=0,0,IF(AN322&lt;&gt;"Yes",Z322,IF(COUNT(AA322,AC322,AE322,AG322,AI322)=0,Z322,ROUND((MAX(AA322,AC322,AE322,AG322,AI322)*(1+AT322))/'Setup'!$B$9,0)*'Setup'!$B$9)))</x:f>
        <x:v>0</x:v>
      </x:c>
      <x:c r="AV322" s="336"/>
    </x:row>
    <x:row r="323">
      <x:c r="A323" s="310" t="n">
        <x:f>'Setup'!$B$3+(C323-1)*7+(D323-1)</x:f>
        <x:v>46283</x:v>
      </x:c>
      <x:c r="B323" s="311" t="str">
        <x:v>6|5|3</x:v>
      </x:c>
      <x:c r="C323" s="311" t="n">
        <x:v>6</x:v>
      </x:c>
      <x:c r="D323" s="311" t="n">
        <x:v>5</x:v>
      </x:c>
      <x:c r="E323" s="311" t="str">
        <x:v>Intensification</x:v>
      </x:c>
      <x:c r="F323" s="311" t="str">
        <x:v>Pull Hypertrophy</x:v>
      </x:c>
      <x:c r="G323" s="311" t="str">
        <x:v>Back, rear delts, and biceps volume</x:v>
      </x:c>
      <x:c r="H323" s="311" t="n">
        <x:v>3</x:v>
      </x:c>
      <x:c r="I323" s="311" t="str">
        <x:v>One-Arm Cable Row</x:v>
      </x:c>
      <x:c r="J323" s="311" t="str">
        <x:v>Hypertrophy</x:v>
      </x:c>
      <x:c r="K323" s="311" t="str">
        <x:v>Back</x:v>
      </x:c>
      <x:c r="L323" s="311" t="str">
        <x:v>Straight sets</x:v>
      </x:c>
      <x:c r="M323" s="311" t="str"/>
      <x:c r="N323" s="311" t="n">
        <x:v>4</x:v>
      </x:c>
      <x:c r="O323" s="311" t="n">
        <x:v>10</x:v>
      </x:c>
      <x:c r="P323" s="311" t="n">
        <x:v>15</x:v>
      </x:c>
      <x:c r="Q323" s="311" t="n">
        <x:v>2</x:v>
      </x:c>
      <x:c r="R323" s="311" t="n">
        <x:v>75</x:v>
      </x:c>
      <x:c r="S323" s="311" t="str">
        <x:v>2-1-1</x:v>
      </x:c>
      <x:c r="T323" s="330" t="n">
        <x:v>1</x:v>
      </x:c>
      <x:c r="U323" s="330" t="n">
        <x:v>0</x:v>
      </x:c>
      <x:c r="V323" s="331" t="str">
        <x:v>load × reps</x:v>
      </x:c>
      <x:c r="W323" s="332" t="str">
        <x:f>'Readiness'!K41</x:f>
      </x:c>
      <x:c r="X323" s="314" t="n">
        <x:f>'Readiness'!L41</x:f>
        <x:v>1</x:v>
      </x:c>
      <x:c r="Y323" s="315" t="n">
        <x:f>IF(J323="Mobility",N323,MAX(1,ROUND(N323*X323,0)))</x:f>
        <x:v>4</x:v>
      </x:c>
      <x:c r="Z323" s="333" t="n">
        <x:f>ROUND((IF(AU270&gt;0,AU270,IF(Z270&gt;0,Z270,'Setup'!$D$67))*T323)/'Setup'!$B$9,0)*'Setup'!$B$9</x:f>
        <x:v>0</x:v>
      </x:c>
      <x:c r="AA323" s="334"/>
      <x:c r="AB323" s="334"/>
      <x:c r="AC323" s="334"/>
      <x:c r="AD323" s="334"/>
      <x:c r="AE323" s="334"/>
      <x:c r="AF323" s="334"/>
      <x:c r="AG323" s="334"/>
      <x:c r="AH323" s="334"/>
      <x:c r="AI323" s="334"/>
      <x:c r="AJ323" s="312"/>
      <x:c r="AK323" s="312"/>
      <x:c r="AL323" s="312"/>
      <x:c r="AM323" s="312"/>
      <x:c r="AN323" s="312"/>
      <x:c r="AO323" s="315" t="n">
        <x:f>COUNT(AB323,AD323,AF323,AH323,AJ323)</x:f>
        <x:v>0</x:v>
      </x:c>
      <x:c r="AP323" s="315" t="n">
        <x:f>SUM(AB323,AD323,AF323,AH323,AJ323)</x:f>
        <x:v>0</x:v>
      </x:c>
      <x:c r="AQ323" s="333" t="n">
        <x:f>AA323*AB323+AC323*AD323+AE323*AF323+AG323*AH323+AI323*AJ323</x:f>
        <x:v>0</x:v>
      </x:c>
      <x:c r="AR323" s="333" t="n">
        <x:f>IF(OR(J323="Strength",J323="Hypertrophy"),MAX(IF(AB323&gt;0,AA323*(1+AB323/30),0),IF(AD323&gt;0,AC323*(1+AD323/30),0),IF(AF323&gt;0,AE323*(1+AF323/30),0),IF(AH323&gt;0,AG323*(1+AH323/30),0),IF(AJ323&gt;0,AI323*(1+AJ323/30),0)),0)</x:f>
        <x:v>0</x:v>
      </x:c>
      <x:c r="AS323" s="315" t="str">
        <x:f>IF(AN323&lt;&gt;"Yes","Not logged",IF(AL323&gt;='Setup'!$B$14,"STOP / MODIFY",IF(Z323=0,"Complete",IF(OR(AO323=0,AK323=""),"Add set data + RIR",IF(AND(MAX(AB323,AD323,AF323,AH323,AJ323)&gt;=P323,AK323&gt;=Q323+1),"Progress",IF(OR(MAX(AB323,AD323,AF323,AH323,AJ323)&lt;O323,AK323&lt;Q323-1),"Regress","Hold"))))))</x:f>
        <x:v>Not logged</x:v>
      </x:c>
      <x:c r="AT323" s="335" t="n">
        <x:f>IF(OR(Z323=0,AN323&lt;&gt;"Yes",AO323=0,AK323=""),0,IF(AL323&gt;='Setup'!$B$14,-2*'Setup'!$B$11,IF(AND(MAX(AB323,AD323,AF323,AH323,AJ323)&gt;=P323,AK323&gt;=Q323+1),'Setup'!$B$10,IF(OR(MAX(AB323,AD323,AF323,AH323,AJ323)&lt;O323,AK323&lt;Q323-1),-'Setup'!$B$11,0))))</x:f>
        <x:v>0</x:v>
      </x:c>
      <x:c r="AU323" s="333" t="n">
        <x:f>IF(Z323=0,0,IF(AN323&lt;&gt;"Yes",Z323,IF(COUNT(AA323,AC323,AE323,AG323,AI323)=0,Z323,ROUND((MAX(AA323,AC323,AE323,AG323,AI323)*(1+AT323))/'Setup'!$B$9,0)*'Setup'!$B$9)))</x:f>
        <x:v>0</x:v>
      </x:c>
      <x:c r="AV323" s="336"/>
    </x:row>
    <x:row r="324">
      <x:c r="A324" s="310" t="n">
        <x:f>'Setup'!$B$3+(C324-1)*7+(D324-1)</x:f>
        <x:v>46283</x:v>
      </x:c>
      <x:c r="B324" s="311" t="str">
        <x:v>6|5|4</x:v>
      </x:c>
      <x:c r="C324" s="311" t="n">
        <x:v>6</x:v>
      </x:c>
      <x:c r="D324" s="311" t="n">
        <x:v>5</x:v>
      </x:c>
      <x:c r="E324" s="311" t="str">
        <x:v>Intensification</x:v>
      </x:c>
      <x:c r="F324" s="311" t="str">
        <x:v>Pull Hypertrophy</x:v>
      </x:c>
      <x:c r="G324" s="311" t="str">
        <x:v>Back, rear delts, and biceps volume</x:v>
      </x:c>
      <x:c r="H324" s="311" t="n">
        <x:v>4</x:v>
      </x:c>
      <x:c r="I324" s="311" t="str">
        <x:v>Straight-Arm Pulldown</x:v>
      </x:c>
      <x:c r="J324" s="311" t="str">
        <x:v>Hypertrophy</x:v>
      </x:c>
      <x:c r="K324" s="311" t="str">
        <x:v>Back</x:v>
      </x:c>
      <x:c r="L324" s="311" t="str">
        <x:v>Straight sets</x:v>
      </x:c>
      <x:c r="M324" s="311" t="str"/>
      <x:c r="N324" s="311" t="n">
        <x:v>4</x:v>
      </x:c>
      <x:c r="O324" s="311" t="n">
        <x:v>12</x:v>
      </x:c>
      <x:c r="P324" s="311" t="n">
        <x:v>15</x:v>
      </x:c>
      <x:c r="Q324" s="311" t="n">
        <x:v>2</x:v>
      </x:c>
      <x:c r="R324" s="311" t="n">
        <x:v>60</x:v>
      </x:c>
      <x:c r="S324" s="311" t="str">
        <x:v>3-1-1</x:v>
      </x:c>
      <x:c r="T324" s="330" t="n">
        <x:v>1</x:v>
      </x:c>
      <x:c r="U324" s="330" t="n">
        <x:v>0</x:v>
      </x:c>
      <x:c r="V324" s="331" t="str">
        <x:v>load × reps</x:v>
      </x:c>
      <x:c r="W324" s="332" t="str">
        <x:f>'Readiness'!K41</x:f>
      </x:c>
      <x:c r="X324" s="314" t="n">
        <x:f>'Readiness'!L41</x:f>
        <x:v>1</x:v>
      </x:c>
      <x:c r="Y324" s="315" t="n">
        <x:f>IF(J324="Mobility",N324,MAX(1,ROUND(N324*X324,0)))</x:f>
        <x:v>4</x:v>
      </x:c>
      <x:c r="Z324" s="333" t="n">
        <x:f>ROUND((IF(AU271&gt;0,AU271,IF(Z271&gt;0,Z271,'Setup'!$D$91))*T324)/'Setup'!$B$9,0)*'Setup'!$B$9</x:f>
        <x:v>0</x:v>
      </x:c>
      <x:c r="AA324" s="334"/>
      <x:c r="AB324" s="334"/>
      <x:c r="AC324" s="334"/>
      <x:c r="AD324" s="334"/>
      <x:c r="AE324" s="334"/>
      <x:c r="AF324" s="334"/>
      <x:c r="AG324" s="334"/>
      <x:c r="AH324" s="334"/>
      <x:c r="AI324" s="334"/>
      <x:c r="AJ324" s="312"/>
      <x:c r="AK324" s="312"/>
      <x:c r="AL324" s="312"/>
      <x:c r="AM324" s="312"/>
      <x:c r="AN324" s="312"/>
      <x:c r="AO324" s="315" t="n">
        <x:f>COUNT(AB324,AD324,AF324,AH324,AJ324)</x:f>
        <x:v>0</x:v>
      </x:c>
      <x:c r="AP324" s="315" t="n">
        <x:f>SUM(AB324,AD324,AF324,AH324,AJ324)</x:f>
        <x:v>0</x:v>
      </x:c>
      <x:c r="AQ324" s="333" t="n">
        <x:f>AA324*AB324+AC324*AD324+AE324*AF324+AG324*AH324+AI324*AJ324</x:f>
        <x:v>0</x:v>
      </x:c>
      <x:c r="AR324" s="333" t="n">
        <x:f>IF(OR(J324="Strength",J324="Hypertrophy"),MAX(IF(AB324&gt;0,AA324*(1+AB324/30),0),IF(AD324&gt;0,AC324*(1+AD324/30),0),IF(AF324&gt;0,AE324*(1+AF324/30),0),IF(AH324&gt;0,AG324*(1+AH324/30),0),IF(AJ324&gt;0,AI324*(1+AJ324/30),0)),0)</x:f>
        <x:v>0</x:v>
      </x:c>
      <x:c r="AS324" s="315" t="str">
        <x:f>IF(AN324&lt;&gt;"Yes","Not logged",IF(AL324&gt;='Setup'!$B$14,"STOP / MODIFY",IF(Z324=0,"Complete",IF(OR(AO324=0,AK324=""),"Add set data + RIR",IF(AND(MAX(AB324,AD324,AF324,AH324,AJ324)&gt;=P324,AK324&gt;=Q324+1),"Progress",IF(OR(MAX(AB324,AD324,AF324,AH324,AJ324)&lt;O324,AK324&lt;Q324-1),"Regress","Hold"))))))</x:f>
        <x:v>Not logged</x:v>
      </x:c>
      <x:c r="AT324" s="335" t="n">
        <x:f>IF(OR(Z324=0,AN324&lt;&gt;"Yes",AO324=0,AK324=""),0,IF(AL324&gt;='Setup'!$B$14,-2*'Setup'!$B$11,IF(AND(MAX(AB324,AD324,AF324,AH324,AJ324)&gt;=P324,AK324&gt;=Q324+1),'Setup'!$B$10,IF(OR(MAX(AB324,AD324,AF324,AH324,AJ324)&lt;O324,AK324&lt;Q324-1),-'Setup'!$B$11,0))))</x:f>
        <x:v>0</x:v>
      </x:c>
      <x:c r="AU324" s="333" t="n">
        <x:f>IF(Z324=0,0,IF(AN324&lt;&gt;"Yes",Z324,IF(COUNT(AA324,AC324,AE324,AG324,AI324)=0,Z324,ROUND((MAX(AA324,AC324,AE324,AG324,AI324)*(1+AT324))/'Setup'!$B$9,0)*'Setup'!$B$9)))</x:f>
        <x:v>0</x:v>
      </x:c>
      <x:c r="AV324" s="336"/>
    </x:row>
    <x:row r="325">
      <x:c r="A325" s="310" t="n">
        <x:f>'Setup'!$B$3+(C325-1)*7+(D325-1)</x:f>
        <x:v>46283</x:v>
      </x:c>
      <x:c r="B325" s="311" t="str">
        <x:v>6|5|5</x:v>
      </x:c>
      <x:c r="C325" s="311" t="n">
        <x:v>6</x:v>
      </x:c>
      <x:c r="D325" s="311" t="n">
        <x:v>5</x:v>
      </x:c>
      <x:c r="E325" s="311" t="str">
        <x:v>Intensification</x:v>
      </x:c>
      <x:c r="F325" s="311" t="str">
        <x:v>Pull Hypertrophy</x:v>
      </x:c>
      <x:c r="G325" s="311" t="str">
        <x:v>Back, rear delts, and biceps volume</x:v>
      </x:c>
      <x:c r="H325" s="311" t="n">
        <x:v>5</x:v>
      </x:c>
      <x:c r="I325" s="311" t="str">
        <x:v>Rear Delt Cable Fly</x:v>
      </x:c>
      <x:c r="J325" s="311" t="str">
        <x:v>Hypertrophy</x:v>
      </x:c>
      <x:c r="K325" s="311" t="str">
        <x:v>Rear Delts</x:v>
      </x:c>
      <x:c r="L325" s="311" t="str">
        <x:v>Straight sets</x:v>
      </x:c>
      <x:c r="M325" s="311" t="str"/>
      <x:c r="N325" s="311" t="n">
        <x:v>5</x:v>
      </x:c>
      <x:c r="O325" s="311" t="n">
        <x:v>15</x:v>
      </x:c>
      <x:c r="P325" s="311" t="n">
        <x:v>20</x:v>
      </x:c>
      <x:c r="Q325" s="311" t="n">
        <x:v>2</x:v>
      </x:c>
      <x:c r="R325" s="311" t="n">
        <x:v>45</x:v>
      </x:c>
      <x:c r="S325" s="311" t="str">
        <x:v>2-1-2</x:v>
      </x:c>
      <x:c r="T325" s="330" t="n">
        <x:v>1</x:v>
      </x:c>
      <x:c r="U325" s="330" t="n">
        <x:v>0</x:v>
      </x:c>
      <x:c r="V325" s="331" t="str">
        <x:v>load × reps</x:v>
      </x:c>
      <x:c r="W325" s="332" t="str">
        <x:f>'Readiness'!K41</x:f>
      </x:c>
      <x:c r="X325" s="314" t="n">
        <x:f>'Readiness'!L41</x:f>
        <x:v>1</x:v>
      </x:c>
      <x:c r="Y325" s="315" t="n">
        <x:f>IF(J325="Mobility",N325,MAX(1,ROUND(N325*X325,0)))</x:f>
        <x:v>5</x:v>
      </x:c>
      <x:c r="Z325" s="333" t="n">
        <x:f>ROUND((IF(AU272&gt;0,AU272,IF(Z272&gt;0,Z272,'Setup'!$D$78))*T325)/'Setup'!$B$9,0)*'Setup'!$B$9</x:f>
        <x:v>0</x:v>
      </x:c>
      <x:c r="AA325" s="334"/>
      <x:c r="AB325" s="334"/>
      <x:c r="AC325" s="334"/>
      <x:c r="AD325" s="334"/>
      <x:c r="AE325" s="334"/>
      <x:c r="AF325" s="334"/>
      <x:c r="AG325" s="334"/>
      <x:c r="AH325" s="334"/>
      <x:c r="AI325" s="334"/>
      <x:c r="AJ325" s="312"/>
      <x:c r="AK325" s="312"/>
      <x:c r="AL325" s="312"/>
      <x:c r="AM325" s="312"/>
      <x:c r="AN325" s="312"/>
      <x:c r="AO325" s="315" t="n">
        <x:f>COUNT(AB325,AD325,AF325,AH325,AJ325)</x:f>
        <x:v>0</x:v>
      </x:c>
      <x:c r="AP325" s="315" t="n">
        <x:f>SUM(AB325,AD325,AF325,AH325,AJ325)</x:f>
        <x:v>0</x:v>
      </x:c>
      <x:c r="AQ325" s="333" t="n">
        <x:f>AA325*AB325+AC325*AD325+AE325*AF325+AG325*AH325+AI325*AJ325</x:f>
        <x:v>0</x:v>
      </x:c>
      <x:c r="AR325" s="333" t="n">
        <x:f>IF(OR(J325="Strength",J325="Hypertrophy"),MAX(IF(AB325&gt;0,AA325*(1+AB325/30),0),IF(AD325&gt;0,AC325*(1+AD325/30),0),IF(AF325&gt;0,AE325*(1+AF325/30),0),IF(AH325&gt;0,AG325*(1+AH325/30),0),IF(AJ325&gt;0,AI325*(1+AJ325/30),0)),0)</x:f>
        <x:v>0</x:v>
      </x:c>
      <x:c r="AS325" s="315" t="str">
        <x:f>IF(AN325&lt;&gt;"Yes","Not logged",IF(AL325&gt;='Setup'!$B$14,"STOP / MODIFY",IF(Z325=0,"Complete",IF(OR(AO325=0,AK325=""),"Add set data + RIR",IF(AND(MAX(AB325,AD325,AF325,AH325,AJ325)&gt;=P325,AK325&gt;=Q325+1),"Progress",IF(OR(MAX(AB325,AD325,AF325,AH325,AJ325)&lt;O325,AK325&lt;Q325-1),"Regress","Hold"))))))</x:f>
        <x:v>Not logged</x:v>
      </x:c>
      <x:c r="AT325" s="335" t="n">
        <x:f>IF(OR(Z325=0,AN325&lt;&gt;"Yes",AO325=0,AK325=""),0,IF(AL325&gt;='Setup'!$B$14,-2*'Setup'!$B$11,IF(AND(MAX(AB325,AD325,AF325,AH325,AJ325)&gt;=P325,AK325&gt;=Q325+1),'Setup'!$B$10,IF(OR(MAX(AB325,AD325,AF325,AH325,AJ325)&lt;O325,AK325&lt;Q325-1),-'Setup'!$B$11,0))))</x:f>
        <x:v>0</x:v>
      </x:c>
      <x:c r="AU325" s="333" t="n">
        <x:f>IF(Z325=0,0,IF(AN325&lt;&gt;"Yes",Z325,IF(COUNT(AA325,AC325,AE325,AG325,AI325)=0,Z325,ROUND((MAX(AA325,AC325,AE325,AG325,AI325)*(1+AT325))/'Setup'!$B$9,0)*'Setup'!$B$9)))</x:f>
        <x:v>0</x:v>
      </x:c>
      <x:c r="AV325" s="336"/>
    </x:row>
    <x:row r="326">
      <x:c r="A326" s="310" t="n">
        <x:f>'Setup'!$B$3+(C326-1)*7+(D326-1)</x:f>
        <x:v>46283</x:v>
      </x:c>
      <x:c r="B326" s="311" t="str">
        <x:v>6|5|6</x:v>
      </x:c>
      <x:c r="C326" s="311" t="n">
        <x:v>6</x:v>
      </x:c>
      <x:c r="D326" s="311" t="n">
        <x:v>5</x:v>
      </x:c>
      <x:c r="E326" s="311" t="str">
        <x:v>Intensification</x:v>
      </x:c>
      <x:c r="F326" s="311" t="str">
        <x:v>Pull Hypertrophy</x:v>
      </x:c>
      <x:c r="G326" s="311" t="str">
        <x:v>Back, rear delts, and biceps volume</x:v>
      </x:c>
      <x:c r="H326" s="311" t="n">
        <x:v>6</x:v>
      </x:c>
      <x:c r="I326" s="311" t="str">
        <x:v>EZ-Bar Curl</x:v>
      </x:c>
      <x:c r="J326" s="311" t="str">
        <x:v>Hypertrophy</x:v>
      </x:c>
      <x:c r="K326" s="311" t="str">
        <x:v>Biceps</x:v>
      </x:c>
      <x:c r="L326" s="311" t="str">
        <x:v>Straight sets</x:v>
      </x:c>
      <x:c r="M326" s="311" t="str"/>
      <x:c r="N326" s="311" t="n">
        <x:v>4</x:v>
      </x:c>
      <x:c r="O326" s="311" t="n">
        <x:v>8</x:v>
      </x:c>
      <x:c r="P326" s="311" t="n">
        <x:v>12</x:v>
      </x:c>
      <x:c r="Q326" s="311" t="n">
        <x:v>2</x:v>
      </x:c>
      <x:c r="R326" s="311" t="n">
        <x:v>60</x:v>
      </x:c>
      <x:c r="S326" s="311" t="str">
        <x:v>3-0-1</x:v>
      </x:c>
      <x:c r="T326" s="330" t="n">
        <x:v>1</x:v>
      </x:c>
      <x:c r="U326" s="330" t="n">
        <x:v>0</x:v>
      </x:c>
      <x:c r="V326" s="331" t="str">
        <x:v>load × reps</x:v>
      </x:c>
      <x:c r="W326" s="332" t="str">
        <x:f>'Readiness'!K41</x:f>
      </x:c>
      <x:c r="X326" s="314" t="n">
        <x:f>'Readiness'!L41</x:f>
        <x:v>1</x:v>
      </x:c>
      <x:c r="Y326" s="315" t="n">
        <x:f>IF(J326="Mobility",N326,MAX(1,ROUND(N326*X326,0)))</x:f>
        <x:v>4</x:v>
      </x:c>
      <x:c r="Z326" s="333" t="n">
        <x:f>ROUND((IF(AU273&gt;0,AU273,IF(Z273&gt;0,Z273,'Setup'!$D$40))*T326)/'Setup'!$B$9,0)*'Setup'!$B$9</x:f>
        <x:v>0</x:v>
      </x:c>
      <x:c r="AA326" s="334"/>
      <x:c r="AB326" s="334"/>
      <x:c r="AC326" s="334"/>
      <x:c r="AD326" s="334"/>
      <x:c r="AE326" s="334"/>
      <x:c r="AF326" s="334"/>
      <x:c r="AG326" s="334"/>
      <x:c r="AH326" s="334"/>
      <x:c r="AI326" s="334"/>
      <x:c r="AJ326" s="312"/>
      <x:c r="AK326" s="312"/>
      <x:c r="AL326" s="312"/>
      <x:c r="AM326" s="312"/>
      <x:c r="AN326" s="312"/>
      <x:c r="AO326" s="315" t="n">
        <x:f>COUNT(AB326,AD326,AF326,AH326,AJ326)</x:f>
        <x:v>0</x:v>
      </x:c>
      <x:c r="AP326" s="315" t="n">
        <x:f>SUM(AB326,AD326,AF326,AH326,AJ326)</x:f>
        <x:v>0</x:v>
      </x:c>
      <x:c r="AQ326" s="333" t="n">
        <x:f>AA326*AB326+AC326*AD326+AE326*AF326+AG326*AH326+AI326*AJ326</x:f>
        <x:v>0</x:v>
      </x:c>
      <x:c r="AR326" s="333" t="n">
        <x:f>IF(OR(J326="Strength",J326="Hypertrophy"),MAX(IF(AB326&gt;0,AA326*(1+AB326/30),0),IF(AD326&gt;0,AC326*(1+AD326/30),0),IF(AF326&gt;0,AE326*(1+AF326/30),0),IF(AH326&gt;0,AG326*(1+AH326/30),0),IF(AJ326&gt;0,AI326*(1+AJ326/30),0)),0)</x:f>
        <x:v>0</x:v>
      </x:c>
      <x:c r="AS326" s="315" t="str">
        <x:f>IF(AN326&lt;&gt;"Yes","Not logged",IF(AL326&gt;='Setup'!$B$14,"STOP / MODIFY",IF(Z326=0,"Complete",IF(OR(AO326=0,AK326=""),"Add set data + RIR",IF(AND(MAX(AB326,AD326,AF326,AH326,AJ326)&gt;=P326,AK326&gt;=Q326+1),"Progress",IF(OR(MAX(AB326,AD326,AF326,AH326,AJ326)&lt;O326,AK326&lt;Q326-1),"Regress","Hold"))))))</x:f>
        <x:v>Not logged</x:v>
      </x:c>
      <x:c r="AT326" s="335" t="n">
        <x:f>IF(OR(Z326=0,AN326&lt;&gt;"Yes",AO326=0,AK326=""),0,IF(AL326&gt;='Setup'!$B$14,-2*'Setup'!$B$11,IF(AND(MAX(AB326,AD326,AF326,AH326,AJ326)&gt;=P326,AK326&gt;=Q326+1),'Setup'!$B$10,IF(OR(MAX(AB326,AD326,AF326,AH326,AJ326)&lt;O326,AK326&lt;Q326-1),-'Setup'!$B$11,0))))</x:f>
        <x:v>0</x:v>
      </x:c>
      <x:c r="AU326" s="333" t="n">
        <x:f>IF(Z326=0,0,IF(AN326&lt;&gt;"Yes",Z326,IF(COUNT(AA326,AC326,AE326,AG326,AI326)=0,Z326,ROUND((MAX(AA326,AC326,AE326,AG326,AI326)*(1+AT326))/'Setup'!$B$9,0)*'Setup'!$B$9)))</x:f>
        <x:v>0</x:v>
      </x:c>
      <x:c r="AV326" s="336"/>
    </x:row>
    <x:row r="327">
      <x:c r="A327" s="310" t="n">
        <x:f>'Setup'!$B$3+(C327-1)*7+(D327-1)</x:f>
        <x:v>46283</x:v>
      </x:c>
      <x:c r="B327" s="311" t="str">
        <x:v>6|5|7</x:v>
      </x:c>
      <x:c r="C327" s="311" t="n">
        <x:v>6</x:v>
      </x:c>
      <x:c r="D327" s="311" t="n">
        <x:v>5</x:v>
      </x:c>
      <x:c r="E327" s="311" t="str">
        <x:v>Intensification</x:v>
      </x:c>
      <x:c r="F327" s="311" t="str">
        <x:v>Pull Hypertrophy</x:v>
      </x:c>
      <x:c r="G327" s="311" t="str">
        <x:v>Back, rear delts, and biceps volume</x:v>
      </x:c>
      <x:c r="H327" s="311" t="n">
        <x:v>7</x:v>
      </x:c>
      <x:c r="I327" s="311" t="str">
        <x:v>Incline Dumbbell Curl</x:v>
      </x:c>
      <x:c r="J327" s="311" t="str">
        <x:v>Hypertrophy</x:v>
      </x:c>
      <x:c r="K327" s="311" t="str">
        <x:v>Biceps</x:v>
      </x:c>
      <x:c r="L327" s="311" t="str">
        <x:v>Optional final-set drop if readiness is green</x:v>
      </x:c>
      <x:c r="M327" s="311" t="str"/>
      <x:c r="N327" s="311" t="n">
        <x:v>4</x:v>
      </x:c>
      <x:c r="O327" s="311" t="n">
        <x:v>10</x:v>
      </x:c>
      <x:c r="P327" s="311" t="n">
        <x:v>15</x:v>
      </x:c>
      <x:c r="Q327" s="311" t="n">
        <x:v>2</x:v>
      </x:c>
      <x:c r="R327" s="311" t="n">
        <x:v>60</x:v>
      </x:c>
      <x:c r="S327" s="311" t="str">
        <x:v>3-1-1</x:v>
      </x:c>
      <x:c r="T327" s="330" t="n">
        <x:v>1</x:v>
      </x:c>
      <x:c r="U327" s="330" t="n">
        <x:v>0</x:v>
      </x:c>
      <x:c r="V327" s="331" t="str">
        <x:v>load × reps</x:v>
      </x:c>
      <x:c r="W327" s="332" t="str">
        <x:f>'Readiness'!K41</x:f>
      </x:c>
      <x:c r="X327" s="314" t="n">
        <x:f>'Readiness'!L41</x:f>
        <x:v>1</x:v>
      </x:c>
      <x:c r="Y327" s="315" t="n">
        <x:f>IF(J327="Mobility",N327,MAX(1,ROUND(N327*X327,0)))</x:f>
        <x:v>4</x:v>
      </x:c>
      <x:c r="Z327" s="333" t="n">
        <x:f>ROUND((IF(AU274&gt;0,AU274,IF(Z274&gt;0,Z274,'Setup'!$D$51))*T327)/'Setup'!$B$9,0)*'Setup'!$B$9</x:f>
        <x:v>0</x:v>
      </x:c>
      <x:c r="AA327" s="334"/>
      <x:c r="AB327" s="334"/>
      <x:c r="AC327" s="334"/>
      <x:c r="AD327" s="334"/>
      <x:c r="AE327" s="334"/>
      <x:c r="AF327" s="334"/>
      <x:c r="AG327" s="334"/>
      <x:c r="AH327" s="334"/>
      <x:c r="AI327" s="334"/>
      <x:c r="AJ327" s="312"/>
      <x:c r="AK327" s="312"/>
      <x:c r="AL327" s="312"/>
      <x:c r="AM327" s="312"/>
      <x:c r="AN327" s="312"/>
      <x:c r="AO327" s="315" t="n">
        <x:f>COUNT(AB327,AD327,AF327,AH327,AJ327)</x:f>
        <x:v>0</x:v>
      </x:c>
      <x:c r="AP327" s="315" t="n">
        <x:f>SUM(AB327,AD327,AF327,AH327,AJ327)</x:f>
        <x:v>0</x:v>
      </x:c>
      <x:c r="AQ327" s="333" t="n">
        <x:f>AA327*AB327+AC327*AD327+AE327*AF327+AG327*AH327+AI327*AJ327</x:f>
        <x:v>0</x:v>
      </x:c>
      <x:c r="AR327" s="333" t="n">
        <x:f>IF(OR(J327="Strength",J327="Hypertrophy"),MAX(IF(AB327&gt;0,AA327*(1+AB327/30),0),IF(AD327&gt;0,AC327*(1+AD327/30),0),IF(AF327&gt;0,AE327*(1+AF327/30),0),IF(AH327&gt;0,AG327*(1+AH327/30),0),IF(AJ327&gt;0,AI327*(1+AJ327/30),0)),0)</x:f>
        <x:v>0</x:v>
      </x:c>
      <x:c r="AS327" s="315" t="str">
        <x:f>IF(AN327&lt;&gt;"Yes","Not logged",IF(AL327&gt;='Setup'!$B$14,"STOP / MODIFY",IF(Z327=0,"Complete",IF(OR(AO327=0,AK327=""),"Add set data + RIR",IF(AND(MAX(AB327,AD327,AF327,AH327,AJ327)&gt;=P327,AK327&gt;=Q327+1),"Progress",IF(OR(MAX(AB327,AD327,AF327,AH327,AJ327)&lt;O327,AK327&lt;Q327-1),"Regress","Hold"))))))</x:f>
        <x:v>Not logged</x:v>
      </x:c>
      <x:c r="AT327" s="335" t="n">
        <x:f>IF(OR(Z327=0,AN327&lt;&gt;"Yes",AO327=0,AK327=""),0,IF(AL327&gt;='Setup'!$B$14,-2*'Setup'!$B$11,IF(AND(MAX(AB327,AD327,AF327,AH327,AJ327)&gt;=P327,AK327&gt;=Q327+1),'Setup'!$B$10,IF(OR(MAX(AB327,AD327,AF327,AH327,AJ327)&lt;O327,AK327&lt;Q327-1),-'Setup'!$B$11,0))))</x:f>
        <x:v>0</x:v>
      </x:c>
      <x:c r="AU327" s="333" t="n">
        <x:f>IF(Z327=0,0,IF(AN327&lt;&gt;"Yes",Z327,IF(COUNT(AA327,AC327,AE327,AG327,AI327)=0,Z327,ROUND((MAX(AA327,AC327,AE327,AG327,AI327)*(1+AT327))/'Setup'!$B$9,0)*'Setup'!$B$9)))</x:f>
        <x:v>0</x:v>
      </x:c>
      <x:c r="AV327" s="336"/>
    </x:row>
    <x:row r="328">
      <x:c r="A328" s="310" t="n">
        <x:f>'Setup'!$B$3+(C328-1)*7+(D328-1)</x:f>
        <x:v>46283</x:v>
      </x:c>
      <x:c r="B328" s="311" t="str">
        <x:v>6|5|8</x:v>
      </x:c>
      <x:c r="C328" s="311" t="n">
        <x:v>6</x:v>
      </x:c>
      <x:c r="D328" s="311" t="n">
        <x:v>5</x:v>
      </x:c>
      <x:c r="E328" s="311" t="str">
        <x:v>Intensification</x:v>
      </x:c>
      <x:c r="F328" s="311" t="str">
        <x:v>Pull Hypertrophy</x:v>
      </x:c>
      <x:c r="G328" s="311" t="str">
        <x:v>Back, rear delts, and biceps volume</x:v>
      </x:c>
      <x:c r="H328" s="311" t="n">
        <x:v>8</x:v>
      </x:c>
      <x:c r="I328" s="311" t="str">
        <x:v>SkiErg Power Intervals</x:v>
      </x:c>
      <x:c r="J328" s="311" t="str">
        <x:v>Athletic</x:v>
      </x:c>
      <x:c r="K328" s="311" t="str">
        <x:v>Full Body</x:v>
      </x:c>
      <x:c r="L328" s="311" t="str">
        <x:v>15 s hard / 45 s easy</x:v>
      </x:c>
      <x:c r="M328" s="311" t="str"/>
      <x:c r="N328" s="311" t="n">
        <x:v>6</x:v>
      </x:c>
      <x:c r="O328" s="311" t="n">
        <x:v>15</x:v>
      </x:c>
      <x:c r="P328" s="311" t="n">
        <x:v>15</x:v>
      </x:c>
      <x:c r="Q328" s="311" t="n">
        <x:v>2</x:v>
      </x:c>
      <x:c r="R328" s="311" t="n">
        <x:v>45</x:v>
      </x:c>
      <x:c r="S328" s="311" t="str">
        <x:v>Powerful</x:v>
      </x:c>
      <x:c r="T328" s="330" t="n">
        <x:v>1</x:v>
      </x:c>
      <x:c r="U328" s="330" t="n">
        <x:v>0</x:v>
      </x:c>
      <x:c r="V328" s="331" t="str">
        <x:v>watts / meters</x:v>
      </x:c>
      <x:c r="W328" s="332" t="str">
        <x:f>'Readiness'!K41</x:f>
      </x:c>
      <x:c r="X328" s="314" t="n">
        <x:f>'Readiness'!L41</x:f>
        <x:v>1</x:v>
      </x:c>
      <x:c r="Y328" s="315" t="n">
        <x:f>IF(J328="Mobility",N328,MAX(1,ROUND(N328*X328,0)))</x:f>
        <x:v>6</x:v>
      </x:c>
      <x:c r="Z328" s="333" t="n">
        <x:f>0</x:f>
        <x:v>0</x:v>
      </x:c>
      <x:c r="AA328" s="334"/>
      <x:c r="AB328" s="334"/>
      <x:c r="AC328" s="334"/>
      <x:c r="AD328" s="334"/>
      <x:c r="AE328" s="334"/>
      <x:c r="AF328" s="334"/>
      <x:c r="AG328" s="334"/>
      <x:c r="AH328" s="334"/>
      <x:c r="AI328" s="334"/>
      <x:c r="AJ328" s="312"/>
      <x:c r="AK328" s="312"/>
      <x:c r="AL328" s="312"/>
      <x:c r="AM328" s="312"/>
      <x:c r="AN328" s="312"/>
      <x:c r="AO328" s="315" t="n">
        <x:f>COUNT(AB328,AD328,AF328,AH328,AJ328)</x:f>
        <x:v>0</x:v>
      </x:c>
      <x:c r="AP328" s="315" t="n">
        <x:f>SUM(AB328,AD328,AF328,AH328,AJ328)</x:f>
        <x:v>0</x:v>
      </x:c>
      <x:c r="AQ328" s="333" t="n">
        <x:f>AA328*AB328+AC328*AD328+AE328*AF328+AG328*AH328+AI328*AJ328</x:f>
        <x:v>0</x:v>
      </x:c>
      <x:c r="AR328" s="333" t="n">
        <x:f>IF(OR(J328="Strength",J328="Hypertrophy"),MAX(IF(AB328&gt;0,AA328*(1+AB328/30),0),IF(AD328&gt;0,AC328*(1+AD328/30),0),IF(AF328&gt;0,AE328*(1+AF328/30),0),IF(AH328&gt;0,AG328*(1+AH328/30),0),IF(AJ328&gt;0,AI328*(1+AJ328/30),0)),0)</x:f>
        <x:v>0</x:v>
      </x:c>
      <x:c r="AS328" s="315" t="str">
        <x:f>IF(AN328&lt;&gt;"Yes","Not logged",IF(AL328&gt;='Setup'!$B$14,"STOP / MODIFY",IF(Z328=0,"Complete",IF(OR(AO328=0,AK328=""),"Add set data + RIR",IF(AND(MAX(AB328,AD328,AF328,AH328,AJ328)&gt;=P328,AK328&gt;=Q328+1),"Progress",IF(OR(MAX(AB328,AD328,AF328,AH328,AJ328)&lt;O328,AK328&lt;Q328-1),"Regress","Hold"))))))</x:f>
        <x:v>Not logged</x:v>
      </x:c>
      <x:c r="AT328" s="335" t="n">
        <x:f>IF(OR(Z328=0,AN328&lt;&gt;"Yes",AO328=0,AK328=""),0,IF(AL328&gt;='Setup'!$B$14,-2*'Setup'!$B$11,IF(AND(MAX(AB328,AD328,AF328,AH328,AJ328)&gt;=P328,AK328&gt;=Q328+1),'Setup'!$B$10,IF(OR(MAX(AB328,AD328,AF328,AH328,AJ328)&lt;O328,AK328&lt;Q328-1),-'Setup'!$B$11,0))))</x:f>
        <x:v>0</x:v>
      </x:c>
      <x:c r="AU328" s="333" t="n">
        <x:f>IF(Z328=0,0,IF(AN328&lt;&gt;"Yes",Z328,IF(COUNT(AA328,AC328,AE328,AG328,AI328)=0,Z328,ROUND((MAX(AA328,AC328,AE328,AG328,AI328)*(1+AT328))/'Setup'!$B$9,0)*'Setup'!$B$9)))</x:f>
        <x:v>0</x:v>
      </x:c>
      <x:c r="AV328" s="336"/>
    </x:row>
    <x:row r="329">
      <x:c r="A329" s="310" t="n">
        <x:f>'Setup'!$B$3+(C329-1)*7+(D329-1)</x:f>
        <x:v>46283</x:v>
      </x:c>
      <x:c r="B329" s="311" t="str">
        <x:v>6|5|9</x:v>
      </x:c>
      <x:c r="C329" s="311" t="n">
        <x:v>6</x:v>
      </x:c>
      <x:c r="D329" s="311" t="n">
        <x:v>5</x:v>
      </x:c>
      <x:c r="E329" s="311" t="str">
        <x:v>Intensification</x:v>
      </x:c>
      <x:c r="F329" s="311" t="str">
        <x:v>Pull Hypertrophy</x:v>
      </x:c>
      <x:c r="G329" s="311" t="str">
        <x:v>Back, rear delts, and biceps volume</x:v>
      </x:c>
      <x:c r="H329" s="311" t="n">
        <x:v>9</x:v>
      </x:c>
      <x:c r="I329" s="311" t="str">
        <x:v>Passive Hang</x:v>
      </x:c>
      <x:c r="J329" s="311" t="str">
        <x:v>Mobility</x:v>
      </x:c>
      <x:c r="K329" s="311" t="str">
        <x:v>Shoulders</x:v>
      </x:c>
      <x:c r="L329" s="311" t="str">
        <x:v>Relaxed breathing</x:v>
      </x:c>
      <x:c r="M329" s="311" t="str"/>
      <x:c r="N329" s="311" t="n">
        <x:v>2</x:v>
      </x:c>
      <x:c r="O329" s="311" t="n">
        <x:v>20</x:v>
      </x:c>
      <x:c r="P329" s="311" t="n">
        <x:v>40</x:v>
      </x:c>
      <x:c r="Q329" s="311" t="str"/>
      <x:c r="R329" s="311" t="n">
        <x:v>30</x:v>
      </x:c>
      <x:c r="S329" s="311" t="str">
        <x:v>Hold</x:v>
      </x:c>
      <x:c r="T329" s="330" t="n">
        <x:v>1</x:v>
      </x:c>
      <x:c r="U329" s="330" t="n">
        <x:v>0</x:v>
      </x:c>
      <x:c r="V329" s="331" t="str">
        <x:v>seconds</x:v>
      </x:c>
      <x:c r="W329" s="332" t="str">
        <x:f>'Readiness'!K41</x:f>
      </x:c>
      <x:c r="X329" s="314" t="n">
        <x:f>'Readiness'!L41</x:f>
        <x:v>1</x:v>
      </x:c>
      <x:c r="Y329" s="315" t="n">
        <x:f>IF(J329="Mobility",N329,MAX(1,ROUND(N329*X329,0)))</x:f>
        <x:v>2</x:v>
      </x:c>
      <x:c r="Z329" s="333" t="n">
        <x:f>0</x:f>
        <x:v>0</x:v>
      </x:c>
      <x:c r="AA329" s="334"/>
      <x:c r="AB329" s="334"/>
      <x:c r="AC329" s="334"/>
      <x:c r="AD329" s="334"/>
      <x:c r="AE329" s="334"/>
      <x:c r="AF329" s="334"/>
      <x:c r="AG329" s="334"/>
      <x:c r="AH329" s="334"/>
      <x:c r="AI329" s="334"/>
      <x:c r="AJ329" s="312"/>
      <x:c r="AK329" s="312"/>
      <x:c r="AL329" s="312"/>
      <x:c r="AM329" s="312"/>
      <x:c r="AN329" s="312"/>
      <x:c r="AO329" s="315" t="n">
        <x:f>COUNT(AB329,AD329,AF329,AH329,AJ329)</x:f>
        <x:v>0</x:v>
      </x:c>
      <x:c r="AP329" s="315" t="n">
        <x:f>SUM(AB329,AD329,AF329,AH329,AJ329)</x:f>
        <x:v>0</x:v>
      </x:c>
      <x:c r="AQ329" s="333" t="n">
        <x:f>AA329*AB329+AC329*AD329+AE329*AF329+AG329*AH329+AI329*AJ329</x:f>
        <x:v>0</x:v>
      </x:c>
      <x:c r="AR329" s="333" t="n">
        <x:f>IF(OR(J329="Strength",J329="Hypertrophy"),MAX(IF(AB329&gt;0,AA329*(1+AB329/30),0),IF(AD329&gt;0,AC329*(1+AD329/30),0),IF(AF329&gt;0,AE329*(1+AF329/30),0),IF(AH329&gt;0,AG329*(1+AH329/30),0),IF(AJ329&gt;0,AI329*(1+AJ329/30),0)),0)</x:f>
        <x:v>0</x:v>
      </x:c>
      <x:c r="AS329" s="315" t="str">
        <x:f>IF(AN329&lt;&gt;"Yes","Not logged",IF(AL329&gt;='Setup'!$B$14,"STOP / MODIFY",IF(Z329=0,"Complete",IF(OR(AO329=0,AK329=""),"Add set data + RIR",IF(AND(MAX(AB329,AD329,AF329,AH329,AJ329)&gt;=P329,AK329&gt;=Q329+1),"Progress",IF(OR(MAX(AB329,AD329,AF329,AH329,AJ329)&lt;O329,AK329&lt;Q329-1),"Regress","Hold"))))))</x:f>
        <x:v>Not logged</x:v>
      </x:c>
      <x:c r="AT329" s="335" t="n">
        <x:f>IF(OR(Z329=0,AN329&lt;&gt;"Yes",AO329=0,AK329=""),0,IF(AL329&gt;='Setup'!$B$14,-2*'Setup'!$B$11,IF(AND(MAX(AB329,AD329,AF329,AH329,AJ329)&gt;=P329,AK329&gt;=Q329+1),'Setup'!$B$10,IF(OR(MAX(AB329,AD329,AF329,AH329,AJ329)&lt;O329,AK329&lt;Q329-1),-'Setup'!$B$11,0))))</x:f>
        <x:v>0</x:v>
      </x:c>
      <x:c r="AU329" s="333" t="n">
        <x:f>IF(Z329=0,0,IF(AN329&lt;&gt;"Yes",Z329,IF(COUNT(AA329,AC329,AE329,AG329,AI329)=0,Z329,ROUND((MAX(AA329,AC329,AE329,AG329,AI329)*(1+AT329))/'Setup'!$B$9,0)*'Setup'!$B$9)))</x:f>
        <x:v>0</x:v>
      </x:c>
      <x:c r="AV329" s="336"/>
    </x:row>
    <x:row r="330">
      <x:c r="A330" s="310" t="n">
        <x:f>'Setup'!$B$3+(C330-1)*7+(D330-1)</x:f>
        <x:v>46284</x:v>
      </x:c>
      <x:c r="B330" s="311" t="str">
        <x:v>6|6|1</x:v>
      </x:c>
      <x:c r="C330" s="311" t="n">
        <x:v>6</x:v>
      </x:c>
      <x:c r="D330" s="311" t="n">
        <x:v>6</x:v>
      </x:c>
      <x:c r="E330" s="311" t="str">
        <x:v>Intensification</x:v>
      </x:c>
      <x:c r="F330" s="311" t="str">
        <x:v>Athletic Full Body</x:v>
      </x:c>
      <x:c r="G330" s="311" t="str">
        <x:v>Speed, elastic power, work capacity</x:v>
      </x:c>
      <x:c r="H330" s="311" t="n">
        <x:v>1</x:v>
      </x:c>
      <x:c r="I330" s="311" t="str">
        <x:v>Acceleration Sprint</x:v>
      </x:c>
      <x:c r="J330" s="311" t="str">
        <x:v>Athletic</x:v>
      </x:c>
      <x:c r="K330" s="311" t="str">
        <x:v>Full Body</x:v>
      </x:c>
      <x:c r="L330" s="311" t="str">
        <x:v>Full recovery, stop on speed drop</x:v>
      </x:c>
      <x:c r="M330" s="311" t="str"/>
      <x:c r="N330" s="311" t="n">
        <x:v>6</x:v>
      </x:c>
      <x:c r="O330" s="311" t="n">
        <x:v>20</x:v>
      </x:c>
      <x:c r="P330" s="311" t="n">
        <x:v>20</x:v>
      </x:c>
      <x:c r="Q330" s="311" t="n">
        <x:v>2</x:v>
      </x:c>
      <x:c r="R330" s="311" t="n">
        <x:v>90</x:v>
      </x:c>
      <x:c r="S330" s="311" t="str">
        <x:v>Max quality</x:v>
      </x:c>
      <x:c r="T330" s="330" t="n">
        <x:v>1</x:v>
      </x:c>
      <x:c r="U330" s="330" t="n">
        <x:v>0</x:v>
      </x:c>
      <x:c r="V330" s="331" t="str">
        <x:v>20 m time</x:v>
      </x:c>
      <x:c r="W330" s="332" t="str">
        <x:f>'Readiness'!K42</x:f>
      </x:c>
      <x:c r="X330" s="314" t="n">
        <x:f>'Readiness'!L42</x:f>
        <x:v>1</x:v>
      </x:c>
      <x:c r="Y330" s="315" t="n">
        <x:f>IF(J330="Mobility",N330,MAX(1,ROUND(N330*X330,0)))</x:f>
        <x:v>6</x:v>
      </x:c>
      <x:c r="Z330" s="333" t="n">
        <x:f>0</x:f>
        <x:v>0</x:v>
      </x:c>
      <x:c r="AA330" s="334"/>
      <x:c r="AB330" s="334"/>
      <x:c r="AC330" s="334"/>
      <x:c r="AD330" s="334"/>
      <x:c r="AE330" s="334"/>
      <x:c r="AF330" s="334"/>
      <x:c r="AG330" s="334"/>
      <x:c r="AH330" s="334"/>
      <x:c r="AI330" s="334"/>
      <x:c r="AJ330" s="312"/>
      <x:c r="AK330" s="312"/>
      <x:c r="AL330" s="312"/>
      <x:c r="AM330" s="312"/>
      <x:c r="AN330" s="312"/>
      <x:c r="AO330" s="315" t="n">
        <x:f>COUNT(AB330,AD330,AF330,AH330,AJ330)</x:f>
        <x:v>0</x:v>
      </x:c>
      <x:c r="AP330" s="315" t="n">
        <x:f>SUM(AB330,AD330,AF330,AH330,AJ330)</x:f>
        <x:v>0</x:v>
      </x:c>
      <x:c r="AQ330" s="333" t="n">
        <x:f>AA330*AB330+AC330*AD330+AE330*AF330+AG330*AH330+AI330*AJ330</x:f>
        <x:v>0</x:v>
      </x:c>
      <x:c r="AR330" s="333" t="n">
        <x:f>IF(OR(J330="Strength",J330="Hypertrophy"),MAX(IF(AB330&gt;0,AA330*(1+AB330/30),0),IF(AD330&gt;0,AC330*(1+AD330/30),0),IF(AF330&gt;0,AE330*(1+AF330/30),0),IF(AH330&gt;0,AG330*(1+AH330/30),0),IF(AJ330&gt;0,AI330*(1+AJ330/30),0)),0)</x:f>
        <x:v>0</x:v>
      </x:c>
      <x:c r="AS330" s="315" t="str">
        <x:f>IF(AN330&lt;&gt;"Yes","Not logged",IF(AL330&gt;='Setup'!$B$14,"STOP / MODIFY",IF(Z330=0,"Complete",IF(OR(AO330=0,AK330=""),"Add set data + RIR",IF(AND(MAX(AB330,AD330,AF330,AH330,AJ330)&gt;=P330,AK330&gt;=Q330+1),"Progress",IF(OR(MAX(AB330,AD330,AF330,AH330,AJ330)&lt;O330,AK330&lt;Q330-1),"Regress","Hold"))))))</x:f>
        <x:v>Not logged</x:v>
      </x:c>
      <x:c r="AT330" s="335" t="n">
        <x:f>IF(OR(Z330=0,AN330&lt;&gt;"Yes",AO330=0,AK330=""),0,IF(AL330&gt;='Setup'!$B$14,-2*'Setup'!$B$11,IF(AND(MAX(AB330,AD330,AF330,AH330,AJ330)&gt;=P330,AK330&gt;=Q330+1),'Setup'!$B$10,IF(OR(MAX(AB330,AD330,AF330,AH330,AJ330)&lt;O330,AK330&lt;Q330-1),-'Setup'!$B$11,0))))</x:f>
        <x:v>0</x:v>
      </x:c>
      <x:c r="AU330" s="333" t="n">
        <x:f>IF(Z330=0,0,IF(AN330&lt;&gt;"Yes",Z330,IF(COUNT(AA330,AC330,AE330,AG330,AI330)=0,Z330,ROUND((MAX(AA330,AC330,AE330,AG330,AI330)*(1+AT330))/'Setup'!$B$9,0)*'Setup'!$B$9)))</x:f>
        <x:v>0</x:v>
      </x:c>
      <x:c r="AV330" s="336"/>
    </x:row>
    <x:row r="331">
      <x:c r="A331" s="310" t="n">
        <x:f>'Setup'!$B$3+(C331-1)*7+(D331-1)</x:f>
        <x:v>46284</x:v>
      </x:c>
      <x:c r="B331" s="311" t="str">
        <x:v>6|6|2</x:v>
      </x:c>
      <x:c r="C331" s="311" t="n">
        <x:v>6</x:v>
      </x:c>
      <x:c r="D331" s="311" t="n">
        <x:v>6</x:v>
      </x:c>
      <x:c r="E331" s="311" t="str">
        <x:v>Intensification</x:v>
      </x:c>
      <x:c r="F331" s="311" t="str">
        <x:v>Athletic Full Body</x:v>
      </x:c>
      <x:c r="G331" s="311" t="str">
        <x:v>Speed, elastic power, work capacity</x:v>
      </x:c>
      <x:c r="H331" s="311" t="n">
        <x:v>2</x:v>
      </x:c>
      <x:c r="I331" s="311" t="str">
        <x:v>Lateral Bound</x:v>
      </x:c>
      <x:c r="J331" s="311" t="str">
        <x:v>Power</x:v>
      </x:c>
      <x:c r="K331" s="311" t="str">
        <x:v>Glutes</x:v>
      </x:c>
      <x:c r="L331" s="311" t="str">
        <x:v>Stick landing</x:v>
      </x:c>
      <x:c r="M331" s="311" t="str"/>
      <x:c r="N331" s="311" t="n">
        <x:v>4</x:v>
      </x:c>
      <x:c r="O331" s="311" t="n">
        <x:v>4</x:v>
      </x:c>
      <x:c r="P331" s="311" t="n">
        <x:v>4</x:v>
      </x:c>
      <x:c r="Q331" s="311" t="n">
        <x:v>2</x:v>
      </x:c>
      <x:c r="R331" s="311" t="n">
        <x:v>60</x:v>
      </x:c>
      <x:c r="S331" s="311" t="str">
        <x:v>Explosive</x:v>
      </x:c>
      <x:c r="T331" s="330" t="n">
        <x:v>1</x:v>
      </x:c>
      <x:c r="U331" s="330" t="n">
        <x:v>0</x:v>
      </x:c>
      <x:c r="V331" s="331" t="str">
        <x:v>distance</x:v>
      </x:c>
      <x:c r="W331" s="332" t="str">
        <x:f>'Readiness'!K42</x:f>
      </x:c>
      <x:c r="X331" s="314" t="n">
        <x:f>'Readiness'!L42</x:f>
        <x:v>1</x:v>
      </x:c>
      <x:c r="Y331" s="315" t="n">
        <x:f>IF(J331="Mobility",N331,MAX(1,ROUND(N331*X331,0)))</x:f>
        <x:v>4</x:v>
      </x:c>
      <x:c r="Z331" s="333" t="n">
        <x:f>0</x:f>
        <x:v>0</x:v>
      </x:c>
      <x:c r="AA331" s="334"/>
      <x:c r="AB331" s="334"/>
      <x:c r="AC331" s="334"/>
      <x:c r="AD331" s="334"/>
      <x:c r="AE331" s="334"/>
      <x:c r="AF331" s="334"/>
      <x:c r="AG331" s="334"/>
      <x:c r="AH331" s="334"/>
      <x:c r="AI331" s="334"/>
      <x:c r="AJ331" s="312"/>
      <x:c r="AK331" s="312"/>
      <x:c r="AL331" s="312"/>
      <x:c r="AM331" s="312"/>
      <x:c r="AN331" s="312"/>
      <x:c r="AO331" s="315" t="n">
        <x:f>COUNT(AB331,AD331,AF331,AH331,AJ331)</x:f>
        <x:v>0</x:v>
      </x:c>
      <x:c r="AP331" s="315" t="n">
        <x:f>SUM(AB331,AD331,AF331,AH331,AJ331)</x:f>
        <x:v>0</x:v>
      </x:c>
      <x:c r="AQ331" s="333" t="n">
        <x:f>AA331*AB331+AC331*AD331+AE331*AF331+AG331*AH331+AI331*AJ331</x:f>
        <x:v>0</x:v>
      </x:c>
      <x:c r="AR331" s="333" t="n">
        <x:f>IF(OR(J331="Strength",J331="Hypertrophy"),MAX(IF(AB331&gt;0,AA331*(1+AB331/30),0),IF(AD331&gt;0,AC331*(1+AD331/30),0),IF(AF331&gt;0,AE331*(1+AF331/30),0),IF(AH331&gt;0,AG331*(1+AH331/30),0),IF(AJ331&gt;0,AI331*(1+AJ331/30),0)),0)</x:f>
        <x:v>0</x:v>
      </x:c>
      <x:c r="AS331" s="315" t="str">
        <x:f>IF(AN331&lt;&gt;"Yes","Not logged",IF(AL331&gt;='Setup'!$B$14,"STOP / MODIFY",IF(Z331=0,"Complete",IF(OR(AO331=0,AK331=""),"Add set data + RIR",IF(AND(MAX(AB331,AD331,AF331,AH331,AJ331)&gt;=P331,AK331&gt;=Q331+1),"Progress",IF(OR(MAX(AB331,AD331,AF331,AH331,AJ331)&lt;O331,AK331&lt;Q331-1),"Regress","Hold"))))))</x:f>
        <x:v>Not logged</x:v>
      </x:c>
      <x:c r="AT331" s="335" t="n">
        <x:f>IF(OR(Z331=0,AN331&lt;&gt;"Yes",AO331=0,AK331=""),0,IF(AL331&gt;='Setup'!$B$14,-2*'Setup'!$B$11,IF(AND(MAX(AB331,AD331,AF331,AH331,AJ331)&gt;=P331,AK331&gt;=Q331+1),'Setup'!$B$10,IF(OR(MAX(AB331,AD331,AF331,AH331,AJ331)&lt;O331,AK331&lt;Q331-1),-'Setup'!$B$11,0))))</x:f>
        <x:v>0</x:v>
      </x:c>
      <x:c r="AU331" s="333" t="n">
        <x:f>IF(Z331=0,0,IF(AN331&lt;&gt;"Yes",Z331,IF(COUNT(AA331,AC331,AE331,AG331,AI331)=0,Z331,ROUND((MAX(AA331,AC331,AE331,AG331,AI331)*(1+AT331))/'Setup'!$B$9,0)*'Setup'!$B$9)))</x:f>
        <x:v>0</x:v>
      </x:c>
      <x:c r="AV331" s="336"/>
    </x:row>
    <x:row r="332">
      <x:c r="A332" s="310" t="n">
        <x:f>'Setup'!$B$3+(C332-1)*7+(D332-1)</x:f>
        <x:v>46284</x:v>
      </x:c>
      <x:c r="B332" s="311" t="str">
        <x:v>6|6|3</x:v>
      </x:c>
      <x:c r="C332" s="311" t="n">
        <x:v>6</x:v>
      </x:c>
      <x:c r="D332" s="311" t="n">
        <x:v>6</x:v>
      </x:c>
      <x:c r="E332" s="311" t="str">
        <x:v>Intensification</x:v>
      </x:c>
      <x:c r="F332" s="311" t="str">
        <x:v>Athletic Full Body</x:v>
      </x:c>
      <x:c r="G332" s="311" t="str">
        <x:v>Speed, elastic power, work capacity</x:v>
      </x:c>
      <x:c r="H332" s="311" t="n">
        <x:v>3</x:v>
      </x:c>
      <x:c r="I332" s="311" t="str">
        <x:v>Plyometric Push-Up</x:v>
      </x:c>
      <x:c r="J332" s="311" t="str">
        <x:v>Power</x:v>
      </x:c>
      <x:c r="K332" s="311" t="str">
        <x:v>Chest</x:v>
      </x:c>
      <x:c r="L332" s="311" t="str">
        <x:v>Full reset, crisp contacts</x:v>
      </x:c>
      <x:c r="M332" s="311" t="str"/>
      <x:c r="N332" s="311" t="n">
        <x:v>4</x:v>
      </x:c>
      <x:c r="O332" s="311" t="n">
        <x:v>4</x:v>
      </x:c>
      <x:c r="P332" s="311" t="n">
        <x:v>4</x:v>
      </x:c>
      <x:c r="Q332" s="311" t="n">
        <x:v>2</x:v>
      </x:c>
      <x:c r="R332" s="311" t="n">
        <x:v>60</x:v>
      </x:c>
      <x:c r="S332" s="311" t="str">
        <x:v>Explosive</x:v>
      </x:c>
      <x:c r="T332" s="330" t="n">
        <x:v>1</x:v>
      </x:c>
      <x:c r="U332" s="330" t="n">
        <x:v>0</x:v>
      </x:c>
      <x:c r="V332" s="331" t="str">
        <x:v>reps</x:v>
      </x:c>
      <x:c r="W332" s="332" t="str">
        <x:f>'Readiness'!K42</x:f>
      </x:c>
      <x:c r="X332" s="314" t="n">
        <x:f>'Readiness'!L42</x:f>
        <x:v>1</x:v>
      </x:c>
      <x:c r="Y332" s="315" t="n">
        <x:f>IF(J332="Mobility",N332,MAX(1,ROUND(N332*X332,0)))</x:f>
        <x:v>4</x:v>
      </x:c>
      <x:c r="Z332" s="333" t="n">
        <x:f>0</x:f>
        <x:v>0</x:v>
      </x:c>
      <x:c r="AA332" s="334"/>
      <x:c r="AB332" s="334"/>
      <x:c r="AC332" s="334"/>
      <x:c r="AD332" s="334"/>
      <x:c r="AE332" s="334"/>
      <x:c r="AF332" s="334"/>
      <x:c r="AG332" s="334"/>
      <x:c r="AH332" s="334"/>
      <x:c r="AI332" s="334"/>
      <x:c r="AJ332" s="312"/>
      <x:c r="AK332" s="312"/>
      <x:c r="AL332" s="312"/>
      <x:c r="AM332" s="312"/>
      <x:c r="AN332" s="312"/>
      <x:c r="AO332" s="315" t="n">
        <x:f>COUNT(AB332,AD332,AF332,AH332,AJ332)</x:f>
        <x:v>0</x:v>
      </x:c>
      <x:c r="AP332" s="315" t="n">
        <x:f>SUM(AB332,AD332,AF332,AH332,AJ332)</x:f>
        <x:v>0</x:v>
      </x:c>
      <x:c r="AQ332" s="333" t="n">
        <x:f>AA332*AB332+AC332*AD332+AE332*AF332+AG332*AH332+AI332*AJ332</x:f>
        <x:v>0</x:v>
      </x:c>
      <x:c r="AR332" s="333" t="n">
        <x:f>IF(OR(J332="Strength",J332="Hypertrophy"),MAX(IF(AB332&gt;0,AA332*(1+AB332/30),0),IF(AD332&gt;0,AC332*(1+AD332/30),0),IF(AF332&gt;0,AE332*(1+AF332/30),0),IF(AH332&gt;0,AG332*(1+AH332/30),0),IF(AJ332&gt;0,AI332*(1+AJ332/30),0)),0)</x:f>
        <x:v>0</x:v>
      </x:c>
      <x:c r="AS332" s="315" t="str">
        <x:f>IF(AN332&lt;&gt;"Yes","Not logged",IF(AL332&gt;='Setup'!$B$14,"STOP / MODIFY",IF(Z332=0,"Complete",IF(OR(AO332=0,AK332=""),"Add set data + RIR",IF(AND(MAX(AB332,AD332,AF332,AH332,AJ332)&gt;=P332,AK332&gt;=Q332+1),"Progress",IF(OR(MAX(AB332,AD332,AF332,AH332,AJ332)&lt;O332,AK332&lt;Q332-1),"Regress","Hold"))))))</x:f>
        <x:v>Not logged</x:v>
      </x:c>
      <x:c r="AT332" s="335" t="n">
        <x:f>IF(OR(Z332=0,AN332&lt;&gt;"Yes",AO332=0,AK332=""),0,IF(AL332&gt;='Setup'!$B$14,-2*'Setup'!$B$11,IF(AND(MAX(AB332,AD332,AF332,AH332,AJ332)&gt;=P332,AK332&gt;=Q332+1),'Setup'!$B$10,IF(OR(MAX(AB332,AD332,AF332,AH332,AJ332)&lt;O332,AK332&lt;Q332-1),-'Setup'!$B$11,0))))</x:f>
        <x:v>0</x:v>
      </x:c>
      <x:c r="AU332" s="333" t="n">
        <x:f>IF(Z332=0,0,IF(AN332&lt;&gt;"Yes",Z332,IF(COUNT(AA332,AC332,AE332,AG332,AI332)=0,Z332,ROUND((MAX(AA332,AC332,AE332,AG332,AI332)*(1+AT332))/'Setup'!$B$9,0)*'Setup'!$B$9)))</x:f>
        <x:v>0</x:v>
      </x:c>
      <x:c r="AV332" s="336"/>
    </x:row>
    <x:row r="333">
      <x:c r="A333" s="310" t="n">
        <x:f>'Setup'!$B$3+(C333-1)*7+(D333-1)</x:f>
        <x:v>46284</x:v>
      </x:c>
      <x:c r="B333" s="311" t="str">
        <x:v>6|6|4</x:v>
      </x:c>
      <x:c r="C333" s="311" t="n">
        <x:v>6</x:v>
      </x:c>
      <x:c r="D333" s="311" t="n">
        <x:v>6</x:v>
      </x:c>
      <x:c r="E333" s="311" t="str">
        <x:v>Intensification</x:v>
      </x:c>
      <x:c r="F333" s="311" t="str">
        <x:v>Athletic Full Body</x:v>
      </x:c>
      <x:c r="G333" s="311" t="str">
        <x:v>Speed, elastic power, work capacity</x:v>
      </x:c>
      <x:c r="H333" s="311" t="n">
        <x:v>4</x:v>
      </x:c>
      <x:c r="I333" s="311" t="str">
        <x:v>Kettlebell Swing</x:v>
      </x:c>
      <x:c r="J333" s="311" t="str">
        <x:v>Power</x:v>
      </x:c>
      <x:c r="K333" s="311" t="str">
        <x:v>Hamstrings</x:v>
      </x:c>
      <x:c r="L333" s="311" t="str">
        <x:v>Ballistic hinge</x:v>
      </x:c>
      <x:c r="M333" s="311" t="str"/>
      <x:c r="N333" s="311" t="n">
        <x:v>5</x:v>
      </x:c>
      <x:c r="O333" s="311" t="n">
        <x:v>5</x:v>
      </x:c>
      <x:c r="P333" s="311" t="n">
        <x:v>5</x:v>
      </x:c>
      <x:c r="Q333" s="311" t="n">
        <x:v>2</x:v>
      </x:c>
      <x:c r="R333" s="311" t="n">
        <x:v>60</x:v>
      </x:c>
      <x:c r="S333" s="311" t="str">
        <x:v>Explosive</x:v>
      </x:c>
      <x:c r="T333" s="330" t="n">
        <x:v>1</x:v>
      </x:c>
      <x:c r="U333" s="330" t="n">
        <x:v>0</x:v>
      </x:c>
      <x:c r="V333" s="331" t="str">
        <x:v>load × reps</x:v>
      </x:c>
      <x:c r="W333" s="332" t="str">
        <x:f>'Readiness'!K42</x:f>
      </x:c>
      <x:c r="X333" s="314" t="n">
        <x:f>'Readiness'!L42</x:f>
        <x:v>1</x:v>
      </x:c>
      <x:c r="Y333" s="315" t="n">
        <x:f>IF(J333="Mobility",N333,MAX(1,ROUND(N333*X333,0)))</x:f>
        <x:v>5</x:v>
      </x:c>
      <x:c r="Z333" s="333" t="n">
        <x:f>ROUND((IF(AU280&gt;0,AU280,IF(Z280&gt;0,Z280,'Setup'!$D$54))*T333)/'Setup'!$B$9,0)*'Setup'!$B$9</x:f>
        <x:v>0</x:v>
      </x:c>
      <x:c r="AA333" s="334"/>
      <x:c r="AB333" s="334"/>
      <x:c r="AC333" s="334"/>
      <x:c r="AD333" s="334"/>
      <x:c r="AE333" s="334"/>
      <x:c r="AF333" s="334"/>
      <x:c r="AG333" s="334"/>
      <x:c r="AH333" s="334"/>
      <x:c r="AI333" s="334"/>
      <x:c r="AJ333" s="312"/>
      <x:c r="AK333" s="312"/>
      <x:c r="AL333" s="312"/>
      <x:c r="AM333" s="312"/>
      <x:c r="AN333" s="312"/>
      <x:c r="AO333" s="315" t="n">
        <x:f>COUNT(AB333,AD333,AF333,AH333,AJ333)</x:f>
        <x:v>0</x:v>
      </x:c>
      <x:c r="AP333" s="315" t="n">
        <x:f>SUM(AB333,AD333,AF333,AH333,AJ333)</x:f>
        <x:v>0</x:v>
      </x:c>
      <x:c r="AQ333" s="333" t="n">
        <x:f>AA333*AB333+AC333*AD333+AE333*AF333+AG333*AH333+AI333*AJ333</x:f>
        <x:v>0</x:v>
      </x:c>
      <x:c r="AR333" s="333" t="n">
        <x:f>IF(OR(J333="Strength",J333="Hypertrophy"),MAX(IF(AB333&gt;0,AA333*(1+AB333/30),0),IF(AD333&gt;0,AC333*(1+AD333/30),0),IF(AF333&gt;0,AE333*(1+AF333/30),0),IF(AH333&gt;0,AG333*(1+AH333/30),0),IF(AJ333&gt;0,AI333*(1+AJ333/30),0)),0)</x:f>
        <x:v>0</x:v>
      </x:c>
      <x:c r="AS333" s="315" t="str">
        <x:f>IF(AN333&lt;&gt;"Yes","Not logged",IF(AL333&gt;='Setup'!$B$14,"STOP / MODIFY",IF(Z333=0,"Complete",IF(OR(AO333=0,AK333=""),"Add set data + RIR",IF(AND(MAX(AB333,AD333,AF333,AH333,AJ333)&gt;=P333,AK333&gt;=Q333+1),"Progress",IF(OR(MAX(AB333,AD333,AF333,AH333,AJ333)&lt;O333,AK333&lt;Q333-1),"Regress","Hold"))))))</x:f>
        <x:v>Not logged</x:v>
      </x:c>
      <x:c r="AT333" s="335" t="n">
        <x:f>IF(OR(Z333=0,AN333&lt;&gt;"Yes",AO333=0,AK333=""),0,IF(AL333&gt;='Setup'!$B$14,-2*'Setup'!$B$11,IF(AND(MAX(AB333,AD333,AF333,AH333,AJ333)&gt;=P333,AK333&gt;=Q333+1),'Setup'!$B$10,IF(OR(MAX(AB333,AD333,AF333,AH333,AJ333)&lt;O333,AK333&lt;Q333-1),-'Setup'!$B$11,0))))</x:f>
        <x:v>0</x:v>
      </x:c>
      <x:c r="AU333" s="333" t="n">
        <x:f>IF(Z333=0,0,IF(AN333&lt;&gt;"Yes",Z333,IF(COUNT(AA333,AC333,AE333,AG333,AI333)=0,Z333,ROUND((MAX(AA333,AC333,AE333,AG333,AI333)*(1+AT333))/'Setup'!$B$9,0)*'Setup'!$B$9)))</x:f>
        <x:v>0</x:v>
      </x:c>
      <x:c r="AV333" s="336"/>
    </x:row>
    <x:row r="334">
      <x:c r="A334" s="310" t="n">
        <x:f>'Setup'!$B$3+(C334-1)*7+(D334-1)</x:f>
        <x:v>46284</x:v>
      </x:c>
      <x:c r="B334" s="311" t="str">
        <x:v>6|6|5</x:v>
      </x:c>
      <x:c r="C334" s="311" t="n">
        <x:v>6</x:v>
      </x:c>
      <x:c r="D334" s="311" t="n">
        <x:v>6</x:v>
      </x:c>
      <x:c r="E334" s="311" t="str">
        <x:v>Intensification</x:v>
      </x:c>
      <x:c r="F334" s="311" t="str">
        <x:v>Athletic Full Body</x:v>
      </x:c>
      <x:c r="G334" s="311" t="str">
        <x:v>Speed, elastic power, work capacity</x:v>
      </x:c>
      <x:c r="H334" s="311" t="n">
        <x:v>5</x:v>
      </x:c>
      <x:c r="I334" s="311" t="str">
        <x:v>Sled Push</x:v>
      </x:c>
      <x:c r="J334" s="311" t="str">
        <x:v>Athletic</x:v>
      </x:c>
      <x:c r="K334" s="311" t="str">
        <x:v>Quads</x:v>
      </x:c>
      <x:c r="L334" s="311" t="str">
        <x:v>Fast, powerful steps</x:v>
      </x:c>
      <x:c r="M334" s="311" t="str"/>
      <x:c r="N334" s="311" t="n">
        <x:v>6</x:v>
      </x:c>
      <x:c r="O334" s="311" t="n">
        <x:v>20</x:v>
      </x:c>
      <x:c r="P334" s="311" t="n">
        <x:v>20</x:v>
      </x:c>
      <x:c r="Q334" s="311" t="n">
        <x:v>2</x:v>
      </x:c>
      <x:c r="R334" s="311" t="n">
        <x:v>75</x:v>
      </x:c>
      <x:c r="S334" s="311" t="str">
        <x:v>Fast</x:v>
      </x:c>
      <x:c r="T334" s="330" t="n">
        <x:v>1</x:v>
      </x:c>
      <x:c r="U334" s="330" t="n">
        <x:v>0</x:v>
      </x:c>
      <x:c r="V334" s="331" t="str">
        <x:v>load + meters</x:v>
      </x:c>
      <x:c r="W334" s="332" t="str">
        <x:f>'Readiness'!K42</x:f>
      </x:c>
      <x:c r="X334" s="314" t="n">
        <x:f>'Readiness'!L42</x:f>
        <x:v>1</x:v>
      </x:c>
      <x:c r="Y334" s="315" t="n">
        <x:f>IF(J334="Mobility",N334,MAX(1,ROUND(N334*X334,0)))</x:f>
        <x:v>6</x:v>
      </x:c>
      <x:c r="Z334" s="333" t="n">
        <x:f>0</x:f>
        <x:v>0</x:v>
      </x:c>
      <x:c r="AA334" s="334"/>
      <x:c r="AB334" s="334"/>
      <x:c r="AC334" s="334"/>
      <x:c r="AD334" s="334"/>
      <x:c r="AE334" s="334"/>
      <x:c r="AF334" s="334"/>
      <x:c r="AG334" s="334"/>
      <x:c r="AH334" s="334"/>
      <x:c r="AI334" s="334"/>
      <x:c r="AJ334" s="312"/>
      <x:c r="AK334" s="312"/>
      <x:c r="AL334" s="312"/>
      <x:c r="AM334" s="312"/>
      <x:c r="AN334" s="312"/>
      <x:c r="AO334" s="315" t="n">
        <x:f>COUNT(AB334,AD334,AF334,AH334,AJ334)</x:f>
        <x:v>0</x:v>
      </x:c>
      <x:c r="AP334" s="315" t="n">
        <x:f>SUM(AB334,AD334,AF334,AH334,AJ334)</x:f>
        <x:v>0</x:v>
      </x:c>
      <x:c r="AQ334" s="333" t="n">
        <x:f>AA334*AB334+AC334*AD334+AE334*AF334+AG334*AH334+AI334*AJ334</x:f>
        <x:v>0</x:v>
      </x:c>
      <x:c r="AR334" s="333" t="n">
        <x:f>IF(OR(J334="Strength",J334="Hypertrophy"),MAX(IF(AB334&gt;0,AA334*(1+AB334/30),0),IF(AD334&gt;0,AC334*(1+AD334/30),0),IF(AF334&gt;0,AE334*(1+AF334/30),0),IF(AH334&gt;0,AG334*(1+AH334/30),0),IF(AJ334&gt;0,AI334*(1+AJ334/30),0)),0)</x:f>
        <x:v>0</x:v>
      </x:c>
      <x:c r="AS334" s="315" t="str">
        <x:f>IF(AN334&lt;&gt;"Yes","Not logged",IF(AL334&gt;='Setup'!$B$14,"STOP / MODIFY",IF(Z334=0,"Complete",IF(OR(AO334=0,AK334=""),"Add set data + RIR",IF(AND(MAX(AB334,AD334,AF334,AH334,AJ334)&gt;=P334,AK334&gt;=Q334+1),"Progress",IF(OR(MAX(AB334,AD334,AF334,AH334,AJ334)&lt;O334,AK334&lt;Q334-1),"Regress","Hold"))))))</x:f>
        <x:v>Not logged</x:v>
      </x:c>
      <x:c r="AT334" s="335" t="n">
        <x:f>IF(OR(Z334=0,AN334&lt;&gt;"Yes",AO334=0,AK334=""),0,IF(AL334&gt;='Setup'!$B$14,-2*'Setup'!$B$11,IF(AND(MAX(AB334,AD334,AF334,AH334,AJ334)&gt;=P334,AK334&gt;=Q334+1),'Setup'!$B$10,IF(OR(MAX(AB334,AD334,AF334,AH334,AJ334)&lt;O334,AK334&lt;Q334-1),-'Setup'!$B$11,0))))</x:f>
        <x:v>0</x:v>
      </x:c>
      <x:c r="AU334" s="333" t="n">
        <x:f>IF(Z334=0,0,IF(AN334&lt;&gt;"Yes",Z334,IF(COUNT(AA334,AC334,AE334,AG334,AI334)=0,Z334,ROUND((MAX(AA334,AC334,AE334,AG334,AI334)*(1+AT334))/'Setup'!$B$9,0)*'Setup'!$B$9)))</x:f>
        <x:v>0</x:v>
      </x:c>
      <x:c r="AV334" s="336"/>
    </x:row>
    <x:row r="335">
      <x:c r="A335" s="310" t="n">
        <x:f>'Setup'!$B$3+(C335-1)*7+(D335-1)</x:f>
        <x:v>46284</x:v>
      </x:c>
      <x:c r="B335" s="311" t="str">
        <x:v>6|6|6</x:v>
      </x:c>
      <x:c r="C335" s="311" t="n">
        <x:v>6</x:v>
      </x:c>
      <x:c r="D335" s="311" t="n">
        <x:v>6</x:v>
      </x:c>
      <x:c r="E335" s="311" t="str">
        <x:v>Intensification</x:v>
      </x:c>
      <x:c r="F335" s="311" t="str">
        <x:v>Athletic Full Body</x:v>
      </x:c>
      <x:c r="G335" s="311" t="str">
        <x:v>Speed, elastic power, work capacity</x:v>
      </x:c>
      <x:c r="H335" s="311" t="n">
        <x:v>6</x:v>
      </x:c>
      <x:c r="I335" s="311" t="str">
        <x:v>Single-Leg Romanian Deadlift</x:v>
      </x:c>
      <x:c r="J335" s="311" t="str">
        <x:v>Hypertrophy</x:v>
      </x:c>
      <x:c r="K335" s="311" t="str">
        <x:v>Hamstrings</x:v>
      </x:c>
      <x:c r="L335" s="311" t="str">
        <x:v>Straight sets</x:v>
      </x:c>
      <x:c r="M335" s="311" t="str"/>
      <x:c r="N335" s="311" t="n">
        <x:v>4</x:v>
      </x:c>
      <x:c r="O335" s="311" t="n">
        <x:v>8</x:v>
      </x:c>
      <x:c r="P335" s="311" t="n">
        <x:v>10</x:v>
      </x:c>
      <x:c r="Q335" s="311" t="n">
        <x:v>2</x:v>
      </x:c>
      <x:c r="R335" s="311" t="n">
        <x:v>75</x:v>
      </x:c>
      <x:c r="S335" s="311" t="str">
        <x:v>3-1-1</x:v>
      </x:c>
      <x:c r="T335" s="330" t="n">
        <x:v>1</x:v>
      </x:c>
      <x:c r="U335" s="330" t="n">
        <x:v>0</x:v>
      </x:c>
      <x:c r="V335" s="331" t="str">
        <x:v>load × reps</x:v>
      </x:c>
      <x:c r="W335" s="332" t="str">
        <x:f>'Readiness'!K42</x:f>
      </x:c>
      <x:c r="X335" s="314" t="n">
        <x:f>'Readiness'!L42</x:f>
        <x:v>1</x:v>
      </x:c>
      <x:c r="Y335" s="315" t="n">
        <x:f>IF(J335="Mobility",N335,MAX(1,ROUND(N335*X335,0)))</x:f>
        <x:v>4</x:v>
      </x:c>
      <x:c r="Z335" s="333" t="n">
        <x:f>ROUND((IF(AU282&gt;0,AU282,IF(Z282&gt;0,Z282,'Setup'!$D$86))*T335)/'Setup'!$B$9,0)*'Setup'!$B$9</x:f>
        <x:v>0</x:v>
      </x:c>
      <x:c r="AA335" s="334"/>
      <x:c r="AB335" s="334"/>
      <x:c r="AC335" s="334"/>
      <x:c r="AD335" s="334"/>
      <x:c r="AE335" s="334"/>
      <x:c r="AF335" s="334"/>
      <x:c r="AG335" s="334"/>
      <x:c r="AH335" s="334"/>
      <x:c r="AI335" s="334"/>
      <x:c r="AJ335" s="312"/>
      <x:c r="AK335" s="312"/>
      <x:c r="AL335" s="312"/>
      <x:c r="AM335" s="312"/>
      <x:c r="AN335" s="312"/>
      <x:c r="AO335" s="315" t="n">
        <x:f>COUNT(AB335,AD335,AF335,AH335,AJ335)</x:f>
        <x:v>0</x:v>
      </x:c>
      <x:c r="AP335" s="315" t="n">
        <x:f>SUM(AB335,AD335,AF335,AH335,AJ335)</x:f>
        <x:v>0</x:v>
      </x:c>
      <x:c r="AQ335" s="333" t="n">
        <x:f>AA335*AB335+AC335*AD335+AE335*AF335+AG335*AH335+AI335*AJ335</x:f>
        <x:v>0</x:v>
      </x:c>
      <x:c r="AR335" s="333" t="n">
        <x:f>IF(OR(J335="Strength",J335="Hypertrophy"),MAX(IF(AB335&gt;0,AA335*(1+AB335/30),0),IF(AD335&gt;0,AC335*(1+AD335/30),0),IF(AF335&gt;0,AE335*(1+AF335/30),0),IF(AH335&gt;0,AG335*(1+AH335/30),0),IF(AJ335&gt;0,AI335*(1+AJ335/30),0)),0)</x:f>
        <x:v>0</x:v>
      </x:c>
      <x:c r="AS335" s="315" t="str">
        <x:f>IF(AN335&lt;&gt;"Yes","Not logged",IF(AL335&gt;='Setup'!$B$14,"STOP / MODIFY",IF(Z335=0,"Complete",IF(OR(AO335=0,AK335=""),"Add set data + RIR",IF(AND(MAX(AB335,AD335,AF335,AH335,AJ335)&gt;=P335,AK335&gt;=Q335+1),"Progress",IF(OR(MAX(AB335,AD335,AF335,AH335,AJ335)&lt;O335,AK335&lt;Q335-1),"Regress","Hold"))))))</x:f>
        <x:v>Not logged</x:v>
      </x:c>
      <x:c r="AT335" s="335" t="n">
        <x:f>IF(OR(Z335=0,AN335&lt;&gt;"Yes",AO335=0,AK335=""),0,IF(AL335&gt;='Setup'!$B$14,-2*'Setup'!$B$11,IF(AND(MAX(AB335,AD335,AF335,AH335,AJ335)&gt;=P335,AK335&gt;=Q335+1),'Setup'!$B$10,IF(OR(MAX(AB335,AD335,AF335,AH335,AJ335)&lt;O335,AK335&lt;Q335-1),-'Setup'!$B$11,0))))</x:f>
        <x:v>0</x:v>
      </x:c>
      <x:c r="AU335" s="333" t="n">
        <x:f>IF(Z335=0,0,IF(AN335&lt;&gt;"Yes",Z335,IF(COUNT(AA335,AC335,AE335,AG335,AI335)=0,Z335,ROUND((MAX(AA335,AC335,AE335,AG335,AI335)*(1+AT335))/'Setup'!$B$9,0)*'Setup'!$B$9)))</x:f>
        <x:v>0</x:v>
      </x:c>
      <x:c r="AV335" s="336"/>
    </x:row>
    <x:row r="336">
      <x:c r="A336" s="310" t="n">
        <x:f>'Setup'!$B$3+(C336-1)*7+(D336-1)</x:f>
        <x:v>46284</x:v>
      </x:c>
      <x:c r="B336" s="311" t="str">
        <x:v>6|6|7</x:v>
      </x:c>
      <x:c r="C336" s="311" t="n">
        <x:v>6</x:v>
      </x:c>
      <x:c r="D336" s="311" t="n">
        <x:v>6</x:v>
      </x:c>
      <x:c r="E336" s="311" t="str">
        <x:v>Intensification</x:v>
      </x:c>
      <x:c r="F336" s="311" t="str">
        <x:v>Athletic Full Body</x:v>
      </x:c>
      <x:c r="G336" s="311" t="str">
        <x:v>Speed, elastic power, work capacity</x:v>
      </x:c>
      <x:c r="H336" s="311" t="n">
        <x:v>7</x:v>
      </x:c>
      <x:c r="I336" s="311" t="str">
        <x:v>Pull-Up</x:v>
      </x:c>
      <x:c r="J336" s="311" t="str">
        <x:v>Hypertrophy</x:v>
      </x:c>
      <x:c r="K336" s="311" t="str">
        <x:v>Back</x:v>
      </x:c>
      <x:c r="L336" s="311" t="str">
        <x:v>Straight sets</x:v>
      </x:c>
      <x:c r="M336" s="311" t="str"/>
      <x:c r="N336" s="311" t="n">
        <x:v>4</x:v>
      </x:c>
      <x:c r="O336" s="311" t="n">
        <x:v>6</x:v>
      </x:c>
      <x:c r="P336" s="311" t="n">
        <x:v>10</x:v>
      </x:c>
      <x:c r="Q336" s="311" t="n">
        <x:v>2</x:v>
      </x:c>
      <x:c r="R336" s="311" t="n">
        <x:v>75</x:v>
      </x:c>
      <x:c r="S336" s="311" t="str">
        <x:v>2-1-1</x:v>
      </x:c>
      <x:c r="T336" s="330" t="n">
        <x:v>1</x:v>
      </x:c>
      <x:c r="U336" s="330" t="n">
        <x:v>0</x:v>
      </x:c>
      <x:c r="V336" s="331" t="str">
        <x:v>reps</x:v>
      </x:c>
      <x:c r="W336" s="332" t="str">
        <x:f>'Readiness'!K42</x:f>
      </x:c>
      <x:c r="X336" s="314" t="n">
        <x:f>'Readiness'!L42</x:f>
        <x:v>1</x:v>
      </x:c>
      <x:c r="Y336" s="315" t="n">
        <x:f>IF(J336="Mobility",N336,MAX(1,ROUND(N336*X336,0)))</x:f>
        <x:v>4</x:v>
      </x:c>
      <x:c r="Z336" s="333" t="n">
        <x:f>0</x:f>
        <x:v>0</x:v>
      </x:c>
      <x:c r="AA336" s="334"/>
      <x:c r="AB336" s="334"/>
      <x:c r="AC336" s="334"/>
      <x:c r="AD336" s="334"/>
      <x:c r="AE336" s="334"/>
      <x:c r="AF336" s="334"/>
      <x:c r="AG336" s="334"/>
      <x:c r="AH336" s="334"/>
      <x:c r="AI336" s="334"/>
      <x:c r="AJ336" s="312"/>
      <x:c r="AK336" s="312"/>
      <x:c r="AL336" s="312"/>
      <x:c r="AM336" s="312"/>
      <x:c r="AN336" s="312"/>
      <x:c r="AO336" s="315" t="n">
        <x:f>COUNT(AB336,AD336,AF336,AH336,AJ336)</x:f>
        <x:v>0</x:v>
      </x:c>
      <x:c r="AP336" s="315" t="n">
        <x:f>SUM(AB336,AD336,AF336,AH336,AJ336)</x:f>
        <x:v>0</x:v>
      </x:c>
      <x:c r="AQ336" s="333" t="n">
        <x:f>AA336*AB336+AC336*AD336+AE336*AF336+AG336*AH336+AI336*AJ336</x:f>
        <x:v>0</x:v>
      </x:c>
      <x:c r="AR336" s="333" t="n">
        <x:f>IF(OR(J336="Strength",J336="Hypertrophy"),MAX(IF(AB336&gt;0,AA336*(1+AB336/30),0),IF(AD336&gt;0,AC336*(1+AD336/30),0),IF(AF336&gt;0,AE336*(1+AF336/30),0),IF(AH336&gt;0,AG336*(1+AH336/30),0),IF(AJ336&gt;0,AI336*(1+AJ336/30),0)),0)</x:f>
        <x:v>0</x:v>
      </x:c>
      <x:c r="AS336" s="315" t="str">
        <x:f>IF(AN336&lt;&gt;"Yes","Not logged",IF(AL336&gt;='Setup'!$B$14,"STOP / MODIFY",IF(Z336=0,"Complete",IF(OR(AO336=0,AK336=""),"Add set data + RIR",IF(AND(MAX(AB336,AD336,AF336,AH336,AJ336)&gt;=P336,AK336&gt;=Q336+1),"Progress",IF(OR(MAX(AB336,AD336,AF336,AH336,AJ336)&lt;O336,AK336&lt;Q336-1),"Regress","Hold"))))))</x:f>
        <x:v>Not logged</x:v>
      </x:c>
      <x:c r="AT336" s="335" t="n">
        <x:f>IF(OR(Z336=0,AN336&lt;&gt;"Yes",AO336=0,AK336=""),0,IF(AL336&gt;='Setup'!$B$14,-2*'Setup'!$B$11,IF(AND(MAX(AB336,AD336,AF336,AH336,AJ336)&gt;=P336,AK336&gt;=Q336+1),'Setup'!$B$10,IF(OR(MAX(AB336,AD336,AF336,AH336,AJ336)&lt;O336,AK336&lt;Q336-1),-'Setup'!$B$11,0))))</x:f>
        <x:v>0</x:v>
      </x:c>
      <x:c r="AU336" s="333" t="n">
        <x:f>IF(Z336=0,0,IF(AN336&lt;&gt;"Yes",Z336,IF(COUNT(AA336,AC336,AE336,AG336,AI336)=0,Z336,ROUND((MAX(AA336,AC336,AE336,AG336,AI336)*(1+AT336))/'Setup'!$B$9,0)*'Setup'!$B$9)))</x:f>
        <x:v>0</x:v>
      </x:c>
      <x:c r="AV336" s="336"/>
    </x:row>
    <x:row r="337">
      <x:c r="A337" s="310" t="n">
        <x:f>'Setup'!$B$3+(C337-1)*7+(D337-1)</x:f>
        <x:v>46284</x:v>
      </x:c>
      <x:c r="B337" s="311" t="str">
        <x:v>6|6|8</x:v>
      </x:c>
      <x:c r="C337" s="311" t="n">
        <x:v>6</x:v>
      </x:c>
      <x:c r="D337" s="311" t="n">
        <x:v>6</x:v>
      </x:c>
      <x:c r="E337" s="311" t="str">
        <x:v>Intensification</x:v>
      </x:c>
      <x:c r="F337" s="311" t="str">
        <x:v>Athletic Full Body</x:v>
      </x:c>
      <x:c r="G337" s="311" t="str">
        <x:v>Speed, elastic power, work capacity</x:v>
      </x:c>
      <x:c r="H337" s="311" t="n">
        <x:v>8</x:v>
      </x:c>
      <x:c r="I337" s="311" t="str">
        <x:v>Pallof Press</x:v>
      </x:c>
      <x:c r="J337" s="311" t="str">
        <x:v>Hypertrophy</x:v>
      </x:c>
      <x:c r="K337" s="311" t="str">
        <x:v>Core</x:v>
      </x:c>
      <x:c r="L337" s="311" t="str">
        <x:v>Anti-rotation control</x:v>
      </x:c>
      <x:c r="M337" s="311" t="str"/>
      <x:c r="N337" s="311" t="n">
        <x:v>4</x:v>
      </x:c>
      <x:c r="O337" s="311" t="n">
        <x:v>10</x:v>
      </x:c>
      <x:c r="P337" s="311" t="n">
        <x:v>12</x:v>
      </x:c>
      <x:c r="Q337" s="311" t="n">
        <x:v>2</x:v>
      </x:c>
      <x:c r="R337" s="311" t="n">
        <x:v>45</x:v>
      </x:c>
      <x:c r="S337" s="311" t="str">
        <x:v>2-1-2</x:v>
      </x:c>
      <x:c r="T337" s="330" t="n">
        <x:v>1</x:v>
      </x:c>
      <x:c r="U337" s="330" t="n">
        <x:v>0</x:v>
      </x:c>
      <x:c r="V337" s="331" t="str">
        <x:v>load × reps</x:v>
      </x:c>
      <x:c r="W337" s="332" t="str">
        <x:f>'Readiness'!K42</x:f>
      </x:c>
      <x:c r="X337" s="314" t="n">
        <x:f>'Readiness'!L42</x:f>
        <x:v>1</x:v>
      </x:c>
      <x:c r="Y337" s="315" t="n">
        <x:f>IF(J337="Mobility",N337,MAX(1,ROUND(N337*X337,0)))</x:f>
        <x:v>4</x:v>
      </x:c>
      <x:c r="Z337" s="333" t="n">
        <x:f>ROUND((IF(AU284&gt;0,AU284,IF(Z284&gt;0,Z284,'Setup'!$D$71))*T337)/'Setup'!$B$9,0)*'Setup'!$B$9</x:f>
        <x:v>0</x:v>
      </x:c>
      <x:c r="AA337" s="334"/>
      <x:c r="AB337" s="334"/>
      <x:c r="AC337" s="334"/>
      <x:c r="AD337" s="334"/>
      <x:c r="AE337" s="334"/>
      <x:c r="AF337" s="334"/>
      <x:c r="AG337" s="334"/>
      <x:c r="AH337" s="334"/>
      <x:c r="AI337" s="334"/>
      <x:c r="AJ337" s="312"/>
      <x:c r="AK337" s="312"/>
      <x:c r="AL337" s="312"/>
      <x:c r="AM337" s="312"/>
      <x:c r="AN337" s="312"/>
      <x:c r="AO337" s="315" t="n">
        <x:f>COUNT(AB337,AD337,AF337,AH337,AJ337)</x:f>
        <x:v>0</x:v>
      </x:c>
      <x:c r="AP337" s="315" t="n">
        <x:f>SUM(AB337,AD337,AF337,AH337,AJ337)</x:f>
        <x:v>0</x:v>
      </x:c>
      <x:c r="AQ337" s="333" t="n">
        <x:f>AA337*AB337+AC337*AD337+AE337*AF337+AG337*AH337+AI337*AJ337</x:f>
        <x:v>0</x:v>
      </x:c>
      <x:c r="AR337" s="333" t="n">
        <x:f>IF(OR(J337="Strength",J337="Hypertrophy"),MAX(IF(AB337&gt;0,AA337*(1+AB337/30),0),IF(AD337&gt;0,AC337*(1+AD337/30),0),IF(AF337&gt;0,AE337*(1+AF337/30),0),IF(AH337&gt;0,AG337*(1+AH337/30),0),IF(AJ337&gt;0,AI337*(1+AJ337/30),0)),0)</x:f>
        <x:v>0</x:v>
      </x:c>
      <x:c r="AS337" s="315" t="str">
        <x:f>IF(AN337&lt;&gt;"Yes","Not logged",IF(AL337&gt;='Setup'!$B$14,"STOP / MODIFY",IF(Z337=0,"Complete",IF(OR(AO337=0,AK337=""),"Add set data + RIR",IF(AND(MAX(AB337,AD337,AF337,AH337,AJ337)&gt;=P337,AK337&gt;=Q337+1),"Progress",IF(OR(MAX(AB337,AD337,AF337,AH337,AJ337)&lt;O337,AK337&lt;Q337-1),"Regress","Hold"))))))</x:f>
        <x:v>Not logged</x:v>
      </x:c>
      <x:c r="AT337" s="335" t="n">
        <x:f>IF(OR(Z337=0,AN337&lt;&gt;"Yes",AO337=0,AK337=""),0,IF(AL337&gt;='Setup'!$B$14,-2*'Setup'!$B$11,IF(AND(MAX(AB337,AD337,AF337,AH337,AJ337)&gt;=P337,AK337&gt;=Q337+1),'Setup'!$B$10,IF(OR(MAX(AB337,AD337,AF337,AH337,AJ337)&lt;O337,AK337&lt;Q337-1),-'Setup'!$B$11,0))))</x:f>
        <x:v>0</x:v>
      </x:c>
      <x:c r="AU337" s="333" t="n">
        <x:f>IF(Z337=0,0,IF(AN337&lt;&gt;"Yes",Z337,IF(COUNT(AA337,AC337,AE337,AG337,AI337)=0,Z337,ROUND((MAX(AA337,AC337,AE337,AG337,AI337)*(1+AT337))/'Setup'!$B$9,0)*'Setup'!$B$9)))</x:f>
        <x:v>0</x:v>
      </x:c>
      <x:c r="AV337" s="336"/>
    </x:row>
    <x:row r="338">
      <x:c r="A338" s="310" t="n">
        <x:f>'Setup'!$B$3+(C338-1)*7+(D338-1)</x:f>
        <x:v>46284</x:v>
      </x:c>
      <x:c r="B338" s="311" t="str">
        <x:v>6|6|9</x:v>
      </x:c>
      <x:c r="C338" s="311" t="n">
        <x:v>6</x:v>
      </x:c>
      <x:c r="D338" s="311" t="n">
        <x:v>6</x:v>
      </x:c>
      <x:c r="E338" s="311" t="str">
        <x:v>Intensification</x:v>
      </x:c>
      <x:c r="F338" s="311" t="str">
        <x:v>Athletic Full Body</x:v>
      </x:c>
      <x:c r="G338" s="311" t="str">
        <x:v>Speed, elastic power, work capacity</x:v>
      </x:c>
      <x:c r="H338" s="311" t="n">
        <x:v>9</x:v>
      </x:c>
      <x:c r="I338" s="311" t="str">
        <x:v>RowErg Sprint Intervals</x:v>
      </x:c>
      <x:c r="J338" s="311" t="str">
        <x:v>Athletic</x:v>
      </x:c>
      <x:c r="K338" s="311" t="str">
        <x:v>Full Body</x:v>
      </x:c>
      <x:c r="L338" s="311" t="str">
        <x:v>20 s hard / 70 s easy</x:v>
      </x:c>
      <x:c r="M338" s="311" t="str"/>
      <x:c r="N338" s="311" t="n">
        <x:v>6</x:v>
      </x:c>
      <x:c r="O338" s="311" t="n">
        <x:v>20</x:v>
      </x:c>
      <x:c r="P338" s="311" t="n">
        <x:v>20</x:v>
      </x:c>
      <x:c r="Q338" s="311" t="n">
        <x:v>2</x:v>
      </x:c>
      <x:c r="R338" s="311" t="n">
        <x:v>70</x:v>
      </x:c>
      <x:c r="S338" s="311" t="str">
        <x:v>Powerful</x:v>
      </x:c>
      <x:c r="T338" s="330" t="n">
        <x:v>1</x:v>
      </x:c>
      <x:c r="U338" s="330" t="n">
        <x:v>0</x:v>
      </x:c>
      <x:c r="V338" s="331" t="str">
        <x:v>watts / meters</x:v>
      </x:c>
      <x:c r="W338" s="332" t="str">
        <x:f>'Readiness'!K42</x:f>
      </x:c>
      <x:c r="X338" s="314" t="n">
        <x:f>'Readiness'!L42</x:f>
        <x:v>1</x:v>
      </x:c>
      <x:c r="Y338" s="315" t="n">
        <x:f>IF(J338="Mobility",N338,MAX(1,ROUND(N338*X338,0)))</x:f>
        <x:v>6</x:v>
      </x:c>
      <x:c r="Z338" s="333" t="n">
        <x:f>0</x:f>
        <x:v>0</x:v>
      </x:c>
      <x:c r="AA338" s="334"/>
      <x:c r="AB338" s="334"/>
      <x:c r="AC338" s="334"/>
      <x:c r="AD338" s="334"/>
      <x:c r="AE338" s="334"/>
      <x:c r="AF338" s="334"/>
      <x:c r="AG338" s="334"/>
      <x:c r="AH338" s="334"/>
      <x:c r="AI338" s="334"/>
      <x:c r="AJ338" s="312"/>
      <x:c r="AK338" s="312"/>
      <x:c r="AL338" s="312"/>
      <x:c r="AM338" s="312"/>
      <x:c r="AN338" s="312"/>
      <x:c r="AO338" s="315" t="n">
        <x:f>COUNT(AB338,AD338,AF338,AH338,AJ338)</x:f>
        <x:v>0</x:v>
      </x:c>
      <x:c r="AP338" s="315" t="n">
        <x:f>SUM(AB338,AD338,AF338,AH338,AJ338)</x:f>
        <x:v>0</x:v>
      </x:c>
      <x:c r="AQ338" s="333" t="n">
        <x:f>AA338*AB338+AC338*AD338+AE338*AF338+AG338*AH338+AI338*AJ338</x:f>
        <x:v>0</x:v>
      </x:c>
      <x:c r="AR338" s="333" t="n">
        <x:f>IF(OR(J338="Strength",J338="Hypertrophy"),MAX(IF(AB338&gt;0,AA338*(1+AB338/30),0),IF(AD338&gt;0,AC338*(1+AD338/30),0),IF(AF338&gt;0,AE338*(1+AF338/30),0),IF(AH338&gt;0,AG338*(1+AH338/30),0),IF(AJ338&gt;0,AI338*(1+AJ338/30),0)),0)</x:f>
        <x:v>0</x:v>
      </x:c>
      <x:c r="AS338" s="315" t="str">
        <x:f>IF(AN338&lt;&gt;"Yes","Not logged",IF(AL338&gt;='Setup'!$B$14,"STOP / MODIFY",IF(Z338=0,"Complete",IF(OR(AO338=0,AK338=""),"Add set data + RIR",IF(AND(MAX(AB338,AD338,AF338,AH338,AJ338)&gt;=P338,AK338&gt;=Q338+1),"Progress",IF(OR(MAX(AB338,AD338,AF338,AH338,AJ338)&lt;O338,AK338&lt;Q338-1),"Regress","Hold"))))))</x:f>
        <x:v>Not logged</x:v>
      </x:c>
      <x:c r="AT338" s="335" t="n">
        <x:f>IF(OR(Z338=0,AN338&lt;&gt;"Yes",AO338=0,AK338=""),0,IF(AL338&gt;='Setup'!$B$14,-2*'Setup'!$B$11,IF(AND(MAX(AB338,AD338,AF338,AH338,AJ338)&gt;=P338,AK338&gt;=Q338+1),'Setup'!$B$10,IF(OR(MAX(AB338,AD338,AF338,AH338,AJ338)&lt;O338,AK338&lt;Q338-1),-'Setup'!$B$11,0))))</x:f>
        <x:v>0</x:v>
      </x:c>
      <x:c r="AU338" s="333" t="n">
        <x:f>IF(Z338=0,0,IF(AN338&lt;&gt;"Yes",Z338,IF(COUNT(AA338,AC338,AE338,AG338,AI338)=0,Z338,ROUND((MAX(AA338,AC338,AE338,AG338,AI338)*(1+AT338))/'Setup'!$B$9,0)*'Setup'!$B$9)))</x:f>
        <x:v>0</x:v>
      </x:c>
      <x:c r="AV338" s="336"/>
    </x:row>
    <x:row r="339">
      <x:c r="A339" s="310" t="n">
        <x:f>'Setup'!$B$3+(C339-1)*7+(D339-1)</x:f>
        <x:v>46284</x:v>
      </x:c>
      <x:c r="B339" s="311" t="str">
        <x:v>6|6|10</x:v>
      </x:c>
      <x:c r="C339" s="311" t="n">
        <x:v>6</x:v>
      </x:c>
      <x:c r="D339" s="311" t="n">
        <x:v>6</x:v>
      </x:c>
      <x:c r="E339" s="311" t="str">
        <x:v>Intensification</x:v>
      </x:c>
      <x:c r="F339" s="311" t="str">
        <x:v>Athletic Full Body</x:v>
      </x:c>
      <x:c r="G339" s="311" t="str">
        <x:v>Speed, elastic power, work capacity</x:v>
      </x:c>
      <x:c r="H339" s="311" t="n">
        <x:v>10</x:v>
      </x:c>
      <x:c r="I339" s="311" t="str">
        <x:v>Full-Body Mobility Flow</x:v>
      </x:c>
      <x:c r="J339" s="311" t="str">
        <x:v>Mobility</x:v>
      </x:c>
      <x:c r="K339" s="311" t="str">
        <x:v>Full Body</x:v>
      </x:c>
      <x:c r="L339" s="311" t="str">
        <x:v>Continuous nasal breathing</x:v>
      </x:c>
      <x:c r="M339" s="311" t="str"/>
      <x:c r="N339" s="311" t="n">
        <x:v>1</x:v>
      </x:c>
      <x:c r="O339" s="311" t="n">
        <x:v>8</x:v>
      </x:c>
      <x:c r="P339" s="311" t="n">
        <x:v>12</x:v>
      </x:c>
      <x:c r="Q339" s="311" t="str"/>
      <x:c r="R339" s="311" t="n">
        <x:v>0</x:v>
      </x:c>
      <x:c r="S339" s="311" t="str">
        <x:v>Easy</x:v>
      </x:c>
      <x:c r="T339" s="330" t="n">
        <x:v>1</x:v>
      </x:c>
      <x:c r="U339" s="330" t="n">
        <x:v>0</x:v>
      </x:c>
      <x:c r="V339" s="331" t="str">
        <x:v>minutes</x:v>
      </x:c>
      <x:c r="W339" s="332" t="str">
        <x:f>'Readiness'!K42</x:f>
      </x:c>
      <x:c r="X339" s="314" t="n">
        <x:f>'Readiness'!L42</x:f>
        <x:v>1</x:v>
      </x:c>
      <x:c r="Y339" s="315" t="n">
        <x:f>IF(J339="Mobility",N339,MAX(1,ROUND(N339*X339,0)))</x:f>
        <x:v>1</x:v>
      </x:c>
      <x:c r="Z339" s="333" t="n">
        <x:f>0</x:f>
        <x:v>0</x:v>
      </x:c>
      <x:c r="AA339" s="334"/>
      <x:c r="AB339" s="334"/>
      <x:c r="AC339" s="334"/>
      <x:c r="AD339" s="334"/>
      <x:c r="AE339" s="334"/>
      <x:c r="AF339" s="334"/>
      <x:c r="AG339" s="334"/>
      <x:c r="AH339" s="334"/>
      <x:c r="AI339" s="334"/>
      <x:c r="AJ339" s="312"/>
      <x:c r="AK339" s="312"/>
      <x:c r="AL339" s="312"/>
      <x:c r="AM339" s="312"/>
      <x:c r="AN339" s="312"/>
      <x:c r="AO339" s="315" t="n">
        <x:f>COUNT(AB339,AD339,AF339,AH339,AJ339)</x:f>
        <x:v>0</x:v>
      </x:c>
      <x:c r="AP339" s="315" t="n">
        <x:f>SUM(AB339,AD339,AF339,AH339,AJ339)</x:f>
        <x:v>0</x:v>
      </x:c>
      <x:c r="AQ339" s="333" t="n">
        <x:f>AA339*AB339+AC339*AD339+AE339*AF339+AG339*AH339+AI339*AJ339</x:f>
        <x:v>0</x:v>
      </x:c>
      <x:c r="AR339" s="333" t="n">
        <x:f>IF(OR(J339="Strength",J339="Hypertrophy"),MAX(IF(AB339&gt;0,AA339*(1+AB339/30),0),IF(AD339&gt;0,AC339*(1+AD339/30),0),IF(AF339&gt;0,AE339*(1+AF339/30),0),IF(AH339&gt;0,AG339*(1+AH339/30),0),IF(AJ339&gt;0,AI339*(1+AJ339/30),0)),0)</x:f>
        <x:v>0</x:v>
      </x:c>
      <x:c r="AS339" s="315" t="str">
        <x:f>IF(AN339&lt;&gt;"Yes","Not logged",IF(AL339&gt;='Setup'!$B$14,"STOP / MODIFY",IF(Z339=0,"Complete",IF(OR(AO339=0,AK339=""),"Add set data + RIR",IF(AND(MAX(AB339,AD339,AF339,AH339,AJ339)&gt;=P339,AK339&gt;=Q339+1),"Progress",IF(OR(MAX(AB339,AD339,AF339,AH339,AJ339)&lt;O339,AK339&lt;Q339-1),"Regress","Hold"))))))</x:f>
        <x:v>Not logged</x:v>
      </x:c>
      <x:c r="AT339" s="335" t="n">
        <x:f>IF(OR(Z339=0,AN339&lt;&gt;"Yes",AO339=0,AK339=""),0,IF(AL339&gt;='Setup'!$B$14,-2*'Setup'!$B$11,IF(AND(MAX(AB339,AD339,AF339,AH339,AJ339)&gt;=P339,AK339&gt;=Q339+1),'Setup'!$B$10,IF(OR(MAX(AB339,AD339,AF339,AH339,AJ339)&lt;O339,AK339&lt;Q339-1),-'Setup'!$B$11,0))))</x:f>
        <x:v>0</x:v>
      </x:c>
      <x:c r="AU339" s="333" t="n">
        <x:f>IF(Z339=0,0,IF(AN339&lt;&gt;"Yes",Z339,IF(COUNT(AA339,AC339,AE339,AG339,AI339)=0,Z339,ROUND((MAX(AA339,AC339,AE339,AG339,AI339)*(1+AT339))/'Setup'!$B$9,0)*'Setup'!$B$9)))</x:f>
        <x:v>0</x:v>
      </x:c>
      <x:c r="AV339" s="336"/>
    </x:row>
    <x:row r="340">
      <x:c r="A340" s="310" t="n">
        <x:f>'Setup'!$B$3+(C340-1)*7+(D340-1)</x:f>
        <x:v>46286</x:v>
      </x:c>
      <x:c r="B340" s="311" t="str">
        <x:v>7|1|1</x:v>
      </x:c>
      <x:c r="C340" s="311" t="n">
        <x:v>7</x:v>
      </x:c>
      <x:c r="D340" s="311" t="n">
        <x:v>1</x:v>
      </x:c>
      <x:c r="E340" s="311" t="str">
        <x:v>Intensification</x:v>
      </x:c>
      <x:c r="F340" s="311" t="str">
        <x:v>Lower Strength</x:v>
      </x:c>
      <x:c r="G340" s="311" t="str">
        <x:v>Squat and hinge strength</x:v>
      </x:c>
      <x:c r="H340" s="311" t="n">
        <x:v>1</x:v>
      </x:c>
      <x:c r="I340" s="311" t="str">
        <x:v>Box Jump</x:v>
      </x:c>
      <x:c r="J340" s="311" t="str">
        <x:v>Power</x:v>
      </x:c>
      <x:c r="K340" s="311" t="str">
        <x:v>Quads</x:v>
      </x:c>
      <x:c r="L340" s="311" t="str">
        <x:v>Full reset, stop if height drops</x:v>
      </x:c>
      <x:c r="M340" s="311" t="str"/>
      <x:c r="N340" s="311" t="n">
        <x:v>4</x:v>
      </x:c>
      <x:c r="O340" s="311" t="n">
        <x:v>3</x:v>
      </x:c>
      <x:c r="P340" s="311" t="n">
        <x:v>3</x:v>
      </x:c>
      <x:c r="Q340" s="311" t="n">
        <x:v>2</x:v>
      </x:c>
      <x:c r="R340" s="311" t="n">
        <x:v>75</x:v>
      </x:c>
      <x:c r="S340" s="311" t="str">
        <x:v>Explosive</x:v>
      </x:c>
      <x:c r="T340" s="330" t="n">
        <x:v>1</x:v>
      </x:c>
      <x:c r="U340" s="330" t="n">
        <x:v>0</x:v>
      </x:c>
      <x:c r="V340" s="331" t="str">
        <x:v>height</x:v>
      </x:c>
      <x:c r="W340" s="332" t="str">
        <x:f>'Readiness'!K43</x:f>
      </x:c>
      <x:c r="X340" s="314" t="n">
        <x:f>'Readiness'!L43</x:f>
        <x:v>1</x:v>
      </x:c>
      <x:c r="Y340" s="315" t="n">
        <x:f>IF(J340="Mobility",N340,MAX(1,ROUND(N340*X340,0)))</x:f>
        <x:v>4</x:v>
      </x:c>
      <x:c r="Z340" s="333" t="n">
        <x:f>0</x:f>
        <x:v>0</x:v>
      </x:c>
      <x:c r="AA340" s="334"/>
      <x:c r="AB340" s="334"/>
      <x:c r="AC340" s="334"/>
      <x:c r="AD340" s="334"/>
      <x:c r="AE340" s="334"/>
      <x:c r="AF340" s="334"/>
      <x:c r="AG340" s="334"/>
      <x:c r="AH340" s="334"/>
      <x:c r="AI340" s="334"/>
      <x:c r="AJ340" s="312"/>
      <x:c r="AK340" s="312"/>
      <x:c r="AL340" s="312"/>
      <x:c r="AM340" s="312"/>
      <x:c r="AN340" s="312"/>
      <x:c r="AO340" s="315" t="n">
        <x:f>COUNT(AB340,AD340,AF340,AH340,AJ340)</x:f>
        <x:v>0</x:v>
      </x:c>
      <x:c r="AP340" s="315" t="n">
        <x:f>SUM(AB340,AD340,AF340,AH340,AJ340)</x:f>
        <x:v>0</x:v>
      </x:c>
      <x:c r="AQ340" s="333" t="n">
        <x:f>AA340*AB340+AC340*AD340+AE340*AF340+AG340*AH340+AI340*AJ340</x:f>
        <x:v>0</x:v>
      </x:c>
      <x:c r="AR340" s="333" t="n">
        <x:f>IF(OR(J340="Strength",J340="Hypertrophy"),MAX(IF(AB340&gt;0,AA340*(1+AB340/30),0),IF(AD340&gt;0,AC340*(1+AD340/30),0),IF(AF340&gt;0,AE340*(1+AF340/30),0),IF(AH340&gt;0,AG340*(1+AH340/30),0),IF(AJ340&gt;0,AI340*(1+AJ340/30),0)),0)</x:f>
        <x:v>0</x:v>
      </x:c>
      <x:c r="AS340" s="315" t="str">
        <x:f>IF(AN340&lt;&gt;"Yes","Not logged",IF(AL340&gt;='Setup'!$B$14,"STOP / MODIFY",IF(Z340=0,"Complete",IF(OR(AO340=0,AK340=""),"Add set data + RIR",IF(AND(MAX(AB340,AD340,AF340,AH340,AJ340)&gt;=P340,AK340&gt;=Q340+1),"Progress",IF(OR(MAX(AB340,AD340,AF340,AH340,AJ340)&lt;O340,AK340&lt;Q340-1),"Regress","Hold"))))))</x:f>
        <x:v>Not logged</x:v>
      </x:c>
      <x:c r="AT340" s="335" t="n">
        <x:f>IF(OR(Z340=0,AN340&lt;&gt;"Yes",AO340=0,AK340=""),0,IF(AL340&gt;='Setup'!$B$14,-2*'Setup'!$B$11,IF(AND(MAX(AB340,AD340,AF340,AH340,AJ340)&gt;=P340,AK340&gt;=Q340+1),'Setup'!$B$10,IF(OR(MAX(AB340,AD340,AF340,AH340,AJ340)&lt;O340,AK340&lt;Q340-1),-'Setup'!$B$11,0))))</x:f>
        <x:v>0</x:v>
      </x:c>
      <x:c r="AU340" s="333" t="n">
        <x:f>IF(Z340=0,0,IF(AN340&lt;&gt;"Yes",Z340,IF(COUNT(AA340,AC340,AE340,AG340,AI340)=0,Z340,ROUND((MAX(AA340,AC340,AE340,AG340,AI340)*(1+AT340))/'Setup'!$B$9,0)*'Setup'!$B$9)))</x:f>
        <x:v>0</x:v>
      </x:c>
      <x:c r="AV340" s="336"/>
    </x:row>
    <x:row r="341">
      <x:c r="A341" s="310" t="n">
        <x:f>'Setup'!$B$3+(C341-1)*7+(D341-1)</x:f>
        <x:v>46286</x:v>
      </x:c>
      <x:c r="B341" s="311" t="str">
        <x:v>7|1|2</x:v>
      </x:c>
      <x:c r="C341" s="311" t="n">
        <x:v>7</x:v>
      </x:c>
      <x:c r="D341" s="311" t="n">
        <x:v>1</x:v>
      </x:c>
      <x:c r="E341" s="311" t="str">
        <x:v>Intensification</x:v>
      </x:c>
      <x:c r="F341" s="311" t="str">
        <x:v>Lower Strength</x:v>
      </x:c>
      <x:c r="G341" s="311" t="str">
        <x:v>Squat and hinge strength</x:v>
      </x:c>
      <x:c r="H341" s="311" t="n">
        <x:v>2</x:v>
      </x:c>
      <x:c r="I341" s="311" t="str">
        <x:v>Back Squat</x:v>
      </x:c>
      <x:c r="J341" s="311" t="str">
        <x:v>Strength</x:v>
      </x:c>
      <x:c r="K341" s="311" t="str">
        <x:v>Quads</x:v>
      </x:c>
      <x:c r="L341" s="311" t="str">
        <x:v>Top set + back-offs</x:v>
      </x:c>
      <x:c r="M341" s="311" t="str"/>
      <x:c r="N341" s="311" t="n">
        <x:v>5</x:v>
      </x:c>
      <x:c r="O341" s="311" t="n">
        <x:v>3</x:v>
      </x:c>
      <x:c r="P341" s="311" t="n">
        <x:v>5</x:v>
      </x:c>
      <x:c r="Q341" s="311" t="n">
        <x:v>1</x:v>
      </x:c>
      <x:c r="R341" s="311" t="n">
        <x:v>180</x:v>
      </x:c>
      <x:c r="S341" s="311" t="str">
        <x:v>3-1-X</x:v>
      </x:c>
      <x:c r="T341" s="330" t="n">
        <x:v>1</x:v>
      </x:c>
      <x:c r="U341" s="330" t="n">
        <x:v>0.8</x:v>
      </x:c>
      <x:c r="V341" s="331" t="str">
        <x:v>load × reps</x:v>
      </x:c>
      <x:c r="W341" s="332" t="str">
        <x:f>'Readiness'!K43</x:f>
      </x:c>
      <x:c r="X341" s="314" t="n">
        <x:f>'Readiness'!L43</x:f>
        <x:v>1</x:v>
      </x:c>
      <x:c r="Y341" s="315" t="n">
        <x:f>IF(J341="Mobility",N341,MAX(1,ROUND(N341*X341,0)))</x:f>
        <x:v>5</x:v>
      </x:c>
      <x:c r="Z341" s="333" t="n">
        <x:f>ROUND((IF(AU288&gt;0,AU288,IF(Z288&gt;0,Z288,'Setup'!$D$23))*T341)/'Setup'!$B$9,0)*'Setup'!$B$9</x:f>
        <x:v>0</x:v>
      </x:c>
      <x:c r="AA341" s="334"/>
      <x:c r="AB341" s="334"/>
      <x:c r="AC341" s="334"/>
      <x:c r="AD341" s="334"/>
      <x:c r="AE341" s="334"/>
      <x:c r="AF341" s="334"/>
      <x:c r="AG341" s="334"/>
      <x:c r="AH341" s="334"/>
      <x:c r="AI341" s="334"/>
      <x:c r="AJ341" s="312"/>
      <x:c r="AK341" s="312"/>
      <x:c r="AL341" s="312"/>
      <x:c r="AM341" s="312"/>
      <x:c r="AN341" s="312"/>
      <x:c r="AO341" s="315" t="n">
        <x:f>COUNT(AB341,AD341,AF341,AH341,AJ341)</x:f>
        <x:v>0</x:v>
      </x:c>
      <x:c r="AP341" s="315" t="n">
        <x:f>SUM(AB341,AD341,AF341,AH341,AJ341)</x:f>
        <x:v>0</x:v>
      </x:c>
      <x:c r="AQ341" s="333" t="n">
        <x:f>AA341*AB341+AC341*AD341+AE341*AF341+AG341*AH341+AI341*AJ341</x:f>
        <x:v>0</x:v>
      </x:c>
      <x:c r="AR341" s="333" t="n">
        <x:f>IF(OR(J341="Strength",J341="Hypertrophy"),MAX(IF(AB341&gt;0,AA341*(1+AB341/30),0),IF(AD341&gt;0,AC341*(1+AD341/30),0),IF(AF341&gt;0,AE341*(1+AF341/30),0),IF(AH341&gt;0,AG341*(1+AH341/30),0),IF(AJ341&gt;0,AI341*(1+AJ341/30),0)),0)</x:f>
        <x:v>0</x:v>
      </x:c>
      <x:c r="AS341" s="315" t="str">
        <x:f>IF(AN341&lt;&gt;"Yes","Not logged",IF(AL341&gt;='Setup'!$B$14,"STOP / MODIFY",IF(Z341=0,"Complete",IF(OR(AO341=0,AK341=""),"Add set data + RIR",IF(AND(MAX(AB341,AD341,AF341,AH341,AJ341)&gt;=P341,AK341&gt;=Q341+1),"Progress",IF(OR(MAX(AB341,AD341,AF341,AH341,AJ341)&lt;O341,AK341&lt;Q341-1),"Regress","Hold"))))))</x:f>
        <x:v>Not logged</x:v>
      </x:c>
      <x:c r="AT341" s="335" t="n">
        <x:f>IF(OR(Z341=0,AN341&lt;&gt;"Yes",AO341=0,AK341=""),0,IF(AL341&gt;='Setup'!$B$14,-2*'Setup'!$B$11,IF(AND(MAX(AB341,AD341,AF341,AH341,AJ341)&gt;=P341,AK341&gt;=Q341+1),'Setup'!$B$10,IF(OR(MAX(AB341,AD341,AF341,AH341,AJ341)&lt;O341,AK341&lt;Q341-1),-'Setup'!$B$11,0))))</x:f>
        <x:v>0</x:v>
      </x:c>
      <x:c r="AU341" s="333" t="n">
        <x:f>IF(Z341=0,0,IF(AN341&lt;&gt;"Yes",Z341,IF(COUNT(AA341,AC341,AE341,AG341,AI341)=0,Z341,ROUND((MAX(AA341,AC341,AE341,AG341,AI341)*(1+AT341))/'Setup'!$B$9,0)*'Setup'!$B$9)))</x:f>
        <x:v>0</x:v>
      </x:c>
      <x:c r="AV341" s="336"/>
    </x:row>
    <x:row r="342">
      <x:c r="A342" s="310" t="n">
        <x:f>'Setup'!$B$3+(C342-1)*7+(D342-1)</x:f>
        <x:v>46286</x:v>
      </x:c>
      <x:c r="B342" s="311" t="str">
        <x:v>7|1|3</x:v>
      </x:c>
      <x:c r="C342" s="311" t="n">
        <x:v>7</x:v>
      </x:c>
      <x:c r="D342" s="311" t="n">
        <x:v>1</x:v>
      </x:c>
      <x:c r="E342" s="311" t="str">
        <x:v>Intensification</x:v>
      </x:c>
      <x:c r="F342" s="311" t="str">
        <x:v>Lower Strength</x:v>
      </x:c>
      <x:c r="G342" s="311" t="str">
        <x:v>Squat and hinge strength</x:v>
      </x:c>
      <x:c r="H342" s="311" t="n">
        <x:v>3</x:v>
      </x:c>
      <x:c r="I342" s="311" t="str">
        <x:v>Conventional Deadlift</x:v>
      </x:c>
      <x:c r="J342" s="311" t="str">
        <x:v>Strength</x:v>
      </x:c>
      <x:c r="K342" s="311" t="str">
        <x:v>Hamstrings</x:v>
      </x:c>
      <x:c r="L342" s="311" t="str">
        <x:v>Straight sets</x:v>
      </x:c>
      <x:c r="M342" s="311" t="str"/>
      <x:c r="N342" s="311" t="n">
        <x:v>3</x:v>
      </x:c>
      <x:c r="O342" s="311" t="n">
        <x:v>3</x:v>
      </x:c>
      <x:c r="P342" s="311" t="n">
        <x:v>5</x:v>
      </x:c>
      <x:c r="Q342" s="311" t="n">
        <x:v>1</x:v>
      </x:c>
      <x:c r="R342" s="311" t="n">
        <x:v>210</x:v>
      </x:c>
      <x:c r="S342" s="311" t="str">
        <x:v>2-1-X</x:v>
      </x:c>
      <x:c r="T342" s="330" t="n">
        <x:v>1</x:v>
      </x:c>
      <x:c r="U342" s="330" t="n">
        <x:v>0.78</x:v>
      </x:c>
      <x:c r="V342" s="331" t="str">
        <x:v>load × reps</x:v>
      </x:c>
      <x:c r="W342" s="332" t="str">
        <x:f>'Readiness'!K43</x:f>
      </x:c>
      <x:c r="X342" s="314" t="n">
        <x:f>'Readiness'!L43</x:f>
        <x:v>1</x:v>
      </x:c>
      <x:c r="Y342" s="315" t="n">
        <x:f>IF(J342="Mobility",N342,MAX(1,ROUND(N342*X342,0)))</x:f>
        <x:v>3</x:v>
      </x:c>
      <x:c r="Z342" s="333" t="n">
        <x:f>ROUND((IF(AU289&gt;0,AU289,IF(Z289&gt;0,Z289,'Setup'!$D$35))*T342)/'Setup'!$B$9,0)*'Setup'!$B$9</x:f>
        <x:v>0</x:v>
      </x:c>
      <x:c r="AA342" s="334"/>
      <x:c r="AB342" s="334"/>
      <x:c r="AC342" s="334"/>
      <x:c r="AD342" s="334"/>
      <x:c r="AE342" s="334"/>
      <x:c r="AF342" s="334"/>
      <x:c r="AG342" s="334"/>
      <x:c r="AH342" s="334"/>
      <x:c r="AI342" s="334"/>
      <x:c r="AJ342" s="312"/>
      <x:c r="AK342" s="312"/>
      <x:c r="AL342" s="312"/>
      <x:c r="AM342" s="312"/>
      <x:c r="AN342" s="312"/>
      <x:c r="AO342" s="315" t="n">
        <x:f>COUNT(AB342,AD342,AF342,AH342,AJ342)</x:f>
        <x:v>0</x:v>
      </x:c>
      <x:c r="AP342" s="315" t="n">
        <x:f>SUM(AB342,AD342,AF342,AH342,AJ342)</x:f>
        <x:v>0</x:v>
      </x:c>
      <x:c r="AQ342" s="333" t="n">
        <x:f>AA342*AB342+AC342*AD342+AE342*AF342+AG342*AH342+AI342*AJ342</x:f>
        <x:v>0</x:v>
      </x:c>
      <x:c r="AR342" s="333" t="n">
        <x:f>IF(OR(J342="Strength",J342="Hypertrophy"),MAX(IF(AB342&gt;0,AA342*(1+AB342/30),0),IF(AD342&gt;0,AC342*(1+AD342/30),0),IF(AF342&gt;0,AE342*(1+AF342/30),0),IF(AH342&gt;0,AG342*(1+AH342/30),0),IF(AJ342&gt;0,AI342*(1+AJ342/30),0)),0)</x:f>
        <x:v>0</x:v>
      </x:c>
      <x:c r="AS342" s="315" t="str">
        <x:f>IF(AN342&lt;&gt;"Yes","Not logged",IF(AL342&gt;='Setup'!$B$14,"STOP / MODIFY",IF(Z342=0,"Complete",IF(OR(AO342=0,AK342=""),"Add set data + RIR",IF(AND(MAX(AB342,AD342,AF342,AH342,AJ342)&gt;=P342,AK342&gt;=Q342+1),"Progress",IF(OR(MAX(AB342,AD342,AF342,AH342,AJ342)&lt;O342,AK342&lt;Q342-1),"Regress","Hold"))))))</x:f>
        <x:v>Not logged</x:v>
      </x:c>
      <x:c r="AT342" s="335" t="n">
        <x:f>IF(OR(Z342=0,AN342&lt;&gt;"Yes",AO342=0,AK342=""),0,IF(AL342&gt;='Setup'!$B$14,-2*'Setup'!$B$11,IF(AND(MAX(AB342,AD342,AF342,AH342,AJ342)&gt;=P342,AK342&gt;=Q342+1),'Setup'!$B$10,IF(OR(MAX(AB342,AD342,AF342,AH342,AJ342)&lt;O342,AK342&lt;Q342-1),-'Setup'!$B$11,0))))</x:f>
        <x:v>0</x:v>
      </x:c>
      <x:c r="AU342" s="333" t="n">
        <x:f>IF(Z342=0,0,IF(AN342&lt;&gt;"Yes",Z342,IF(COUNT(AA342,AC342,AE342,AG342,AI342)=0,Z342,ROUND((MAX(AA342,AC342,AE342,AG342,AI342)*(1+AT342))/'Setup'!$B$9,0)*'Setup'!$B$9)))</x:f>
        <x:v>0</x:v>
      </x:c>
      <x:c r="AV342" s="336"/>
    </x:row>
    <x:row r="343">
      <x:c r="A343" s="310" t="n">
        <x:f>'Setup'!$B$3+(C343-1)*7+(D343-1)</x:f>
        <x:v>46286</x:v>
      </x:c>
      <x:c r="B343" s="311" t="str">
        <x:v>7|1|4</x:v>
      </x:c>
      <x:c r="C343" s="311" t="n">
        <x:v>7</x:v>
      </x:c>
      <x:c r="D343" s="311" t="n">
        <x:v>1</x:v>
      </x:c>
      <x:c r="E343" s="311" t="str">
        <x:v>Intensification</x:v>
      </x:c>
      <x:c r="F343" s="311" t="str">
        <x:v>Lower Strength</x:v>
      </x:c>
      <x:c r="G343" s="311" t="str">
        <x:v>Squat and hinge strength</x:v>
      </x:c>
      <x:c r="H343" s="311" t="n">
        <x:v>4</x:v>
      </x:c>
      <x:c r="I343" s="311" t="str">
        <x:v>Front-Foot Elevated Split Squat</x:v>
      </x:c>
      <x:c r="J343" s="311" t="str">
        <x:v>Hypertrophy</x:v>
      </x:c>
      <x:c r="K343" s="311" t="str">
        <x:v>Quads</x:v>
      </x:c>
      <x:c r="L343" s="311" t="str">
        <x:v>Straight sets</x:v>
      </x:c>
      <x:c r="M343" s="311" t="str"/>
      <x:c r="N343" s="311" t="n">
        <x:v>3</x:v>
      </x:c>
      <x:c r="O343" s="311" t="n">
        <x:v>6</x:v>
      </x:c>
      <x:c r="P343" s="311" t="n">
        <x:v>8</x:v>
      </x:c>
      <x:c r="Q343" s="311" t="n">
        <x:v>1</x:v>
      </x:c>
      <x:c r="R343" s="311" t="n">
        <x:v>90</x:v>
      </x:c>
      <x:c r="S343" s="311" t="str">
        <x:v>3-0-1</x:v>
      </x:c>
      <x:c r="T343" s="330" t="n">
        <x:v>1</x:v>
      </x:c>
      <x:c r="U343" s="330" t="n">
        <x:v>0</x:v>
      </x:c>
      <x:c r="V343" s="331" t="str">
        <x:v>load × reps</x:v>
      </x:c>
      <x:c r="W343" s="332" t="str">
        <x:f>'Readiness'!K43</x:f>
      </x:c>
      <x:c r="X343" s="314" t="n">
        <x:f>'Readiness'!L43</x:f>
        <x:v>1</x:v>
      </x:c>
      <x:c r="Y343" s="315" t="n">
        <x:f>IF(J343="Mobility",N343,MAX(1,ROUND(N343*X343,0)))</x:f>
        <x:v>3</x:v>
      </x:c>
      <x:c r="Z343" s="333" t="n">
        <x:f>ROUND((IF(AU290&gt;0,AU290,IF(Z290&gt;0,Z290,'Setup'!$D$44))*T343)/'Setup'!$B$9,0)*'Setup'!$B$9</x:f>
        <x:v>0</x:v>
      </x:c>
      <x:c r="AA343" s="334"/>
      <x:c r="AB343" s="334"/>
      <x:c r="AC343" s="334"/>
      <x:c r="AD343" s="334"/>
      <x:c r="AE343" s="334"/>
      <x:c r="AF343" s="334"/>
      <x:c r="AG343" s="334"/>
      <x:c r="AH343" s="334"/>
      <x:c r="AI343" s="334"/>
      <x:c r="AJ343" s="312"/>
      <x:c r="AK343" s="312"/>
      <x:c r="AL343" s="312"/>
      <x:c r="AM343" s="312"/>
      <x:c r="AN343" s="312"/>
      <x:c r="AO343" s="315" t="n">
        <x:f>COUNT(AB343,AD343,AF343,AH343,AJ343)</x:f>
        <x:v>0</x:v>
      </x:c>
      <x:c r="AP343" s="315" t="n">
        <x:f>SUM(AB343,AD343,AF343,AH343,AJ343)</x:f>
        <x:v>0</x:v>
      </x:c>
      <x:c r="AQ343" s="333" t="n">
        <x:f>AA343*AB343+AC343*AD343+AE343*AF343+AG343*AH343+AI343*AJ343</x:f>
        <x:v>0</x:v>
      </x:c>
      <x:c r="AR343" s="333" t="n">
        <x:f>IF(OR(J343="Strength",J343="Hypertrophy"),MAX(IF(AB343&gt;0,AA343*(1+AB343/30),0),IF(AD343&gt;0,AC343*(1+AD343/30),0),IF(AF343&gt;0,AE343*(1+AF343/30),0),IF(AH343&gt;0,AG343*(1+AH343/30),0),IF(AJ343&gt;0,AI343*(1+AJ343/30),0)),0)</x:f>
        <x:v>0</x:v>
      </x:c>
      <x:c r="AS343" s="315" t="str">
        <x:f>IF(AN343&lt;&gt;"Yes","Not logged",IF(AL343&gt;='Setup'!$B$14,"STOP / MODIFY",IF(Z343=0,"Complete",IF(OR(AO343=0,AK343=""),"Add set data + RIR",IF(AND(MAX(AB343,AD343,AF343,AH343,AJ343)&gt;=P343,AK343&gt;=Q343+1),"Progress",IF(OR(MAX(AB343,AD343,AF343,AH343,AJ343)&lt;O343,AK343&lt;Q343-1),"Regress","Hold"))))))</x:f>
        <x:v>Not logged</x:v>
      </x:c>
      <x:c r="AT343" s="335" t="n">
        <x:f>IF(OR(Z343=0,AN343&lt;&gt;"Yes",AO343=0,AK343=""),0,IF(AL343&gt;='Setup'!$B$14,-2*'Setup'!$B$11,IF(AND(MAX(AB343,AD343,AF343,AH343,AJ343)&gt;=P343,AK343&gt;=Q343+1),'Setup'!$B$10,IF(OR(MAX(AB343,AD343,AF343,AH343,AJ343)&lt;O343,AK343&lt;Q343-1),-'Setup'!$B$11,0))))</x:f>
        <x:v>0</x:v>
      </x:c>
      <x:c r="AU343" s="333" t="n">
        <x:f>IF(Z343=0,0,IF(AN343&lt;&gt;"Yes",Z343,IF(COUNT(AA343,AC343,AE343,AG343,AI343)=0,Z343,ROUND((MAX(AA343,AC343,AE343,AG343,AI343)*(1+AT343))/'Setup'!$B$9,0)*'Setup'!$B$9)))</x:f>
        <x:v>0</x:v>
      </x:c>
      <x:c r="AV343" s="336"/>
    </x:row>
    <x:row r="344">
      <x:c r="A344" s="310" t="n">
        <x:f>'Setup'!$B$3+(C344-1)*7+(D344-1)</x:f>
        <x:v>46286</x:v>
      </x:c>
      <x:c r="B344" s="311" t="str">
        <x:v>7|1|5</x:v>
      </x:c>
      <x:c r="C344" s="311" t="n">
        <x:v>7</x:v>
      </x:c>
      <x:c r="D344" s="311" t="n">
        <x:v>1</x:v>
      </x:c>
      <x:c r="E344" s="311" t="str">
        <x:v>Intensification</x:v>
      </x:c>
      <x:c r="F344" s="311" t="str">
        <x:v>Lower Strength</x:v>
      </x:c>
      <x:c r="G344" s="311" t="str">
        <x:v>Squat and hinge strength</x:v>
      </x:c>
      <x:c r="H344" s="311" t="n">
        <x:v>5</x:v>
      </x:c>
      <x:c r="I344" s="311" t="str">
        <x:v>Nordic Hamstring Curl</x:v>
      </x:c>
      <x:c r="J344" s="311" t="str">
        <x:v>Strength</x:v>
      </x:c>
      <x:c r="K344" s="311" t="str">
        <x:v>Hamstrings</x:v>
      </x:c>
      <x:c r="L344" s="311" t="str">
        <x:v>Controlled eccentric</x:v>
      </x:c>
      <x:c r="M344" s="311" t="str"/>
      <x:c r="N344" s="311" t="n">
        <x:v>3</x:v>
      </x:c>
      <x:c r="O344" s="311" t="n">
        <x:v>5</x:v>
      </x:c>
      <x:c r="P344" s="311" t="n">
        <x:v>8</x:v>
      </x:c>
      <x:c r="Q344" s="311" t="n">
        <x:v>1</x:v>
      </x:c>
      <x:c r="R344" s="311" t="n">
        <x:v>90</x:v>
      </x:c>
      <x:c r="S344" s="311" t="str">
        <x:v>5-0-X</x:v>
      </x:c>
      <x:c r="T344" s="330" t="n">
        <x:v>1</x:v>
      </x:c>
      <x:c r="U344" s="330" t="n">
        <x:v>0</x:v>
      </x:c>
      <x:c r="V344" s="331" t="str">
        <x:v>reps</x:v>
      </x:c>
      <x:c r="W344" s="332" t="str">
        <x:f>'Readiness'!K43</x:f>
      </x:c>
      <x:c r="X344" s="314" t="n">
        <x:f>'Readiness'!L43</x:f>
        <x:v>1</x:v>
      </x:c>
      <x:c r="Y344" s="315" t="n">
        <x:f>IF(J344="Mobility",N344,MAX(1,ROUND(N344*X344,0)))</x:f>
        <x:v>3</x:v>
      </x:c>
      <x:c r="Z344" s="333" t="n">
        <x:f>0</x:f>
        <x:v>0</x:v>
      </x:c>
      <x:c r="AA344" s="334"/>
      <x:c r="AB344" s="334"/>
      <x:c r="AC344" s="334"/>
      <x:c r="AD344" s="334"/>
      <x:c r="AE344" s="334"/>
      <x:c r="AF344" s="334"/>
      <x:c r="AG344" s="334"/>
      <x:c r="AH344" s="334"/>
      <x:c r="AI344" s="334"/>
      <x:c r="AJ344" s="312"/>
      <x:c r="AK344" s="312"/>
      <x:c r="AL344" s="312"/>
      <x:c r="AM344" s="312"/>
      <x:c r="AN344" s="312"/>
      <x:c r="AO344" s="315" t="n">
        <x:f>COUNT(AB344,AD344,AF344,AH344,AJ344)</x:f>
        <x:v>0</x:v>
      </x:c>
      <x:c r="AP344" s="315" t="n">
        <x:f>SUM(AB344,AD344,AF344,AH344,AJ344)</x:f>
        <x:v>0</x:v>
      </x:c>
      <x:c r="AQ344" s="333" t="n">
        <x:f>AA344*AB344+AC344*AD344+AE344*AF344+AG344*AH344+AI344*AJ344</x:f>
        <x:v>0</x:v>
      </x:c>
      <x:c r="AR344" s="333" t="n">
        <x:f>IF(OR(J344="Strength",J344="Hypertrophy"),MAX(IF(AB344&gt;0,AA344*(1+AB344/30),0),IF(AD344&gt;0,AC344*(1+AD344/30),0),IF(AF344&gt;0,AE344*(1+AF344/30),0),IF(AH344&gt;0,AG344*(1+AH344/30),0),IF(AJ344&gt;0,AI344*(1+AJ344/30),0)),0)</x:f>
        <x:v>0</x:v>
      </x:c>
      <x:c r="AS344" s="315" t="str">
        <x:f>IF(AN344&lt;&gt;"Yes","Not logged",IF(AL344&gt;='Setup'!$B$14,"STOP / MODIFY",IF(Z344=0,"Complete",IF(OR(AO344=0,AK344=""),"Add set data + RIR",IF(AND(MAX(AB344,AD344,AF344,AH344,AJ344)&gt;=P344,AK344&gt;=Q344+1),"Progress",IF(OR(MAX(AB344,AD344,AF344,AH344,AJ344)&lt;O344,AK344&lt;Q344-1),"Regress","Hold"))))))</x:f>
        <x:v>Not logged</x:v>
      </x:c>
      <x:c r="AT344" s="335" t="n">
        <x:f>IF(OR(Z344=0,AN344&lt;&gt;"Yes",AO344=0,AK344=""),0,IF(AL344&gt;='Setup'!$B$14,-2*'Setup'!$B$11,IF(AND(MAX(AB344,AD344,AF344,AH344,AJ344)&gt;=P344,AK344&gt;=Q344+1),'Setup'!$B$10,IF(OR(MAX(AB344,AD344,AF344,AH344,AJ344)&lt;O344,AK344&lt;Q344-1),-'Setup'!$B$11,0))))</x:f>
        <x:v>0</x:v>
      </x:c>
      <x:c r="AU344" s="333" t="n">
        <x:f>IF(Z344=0,0,IF(AN344&lt;&gt;"Yes",Z344,IF(COUNT(AA344,AC344,AE344,AG344,AI344)=0,Z344,ROUND((MAX(AA344,AC344,AE344,AG344,AI344)*(1+AT344))/'Setup'!$B$9,0)*'Setup'!$B$9)))</x:f>
        <x:v>0</x:v>
      </x:c>
      <x:c r="AV344" s="336"/>
    </x:row>
    <x:row r="345">
      <x:c r="A345" s="310" t="n">
        <x:f>'Setup'!$B$3+(C345-1)*7+(D345-1)</x:f>
        <x:v>46286</x:v>
      </x:c>
      <x:c r="B345" s="311" t="str">
        <x:v>7|1|6</x:v>
      </x:c>
      <x:c r="C345" s="311" t="n">
        <x:v>7</x:v>
      </x:c>
      <x:c r="D345" s="311" t="n">
        <x:v>1</x:v>
      </x:c>
      <x:c r="E345" s="311" t="str">
        <x:v>Intensification</x:v>
      </x:c>
      <x:c r="F345" s="311" t="str">
        <x:v>Lower Strength</x:v>
      </x:c>
      <x:c r="G345" s="311" t="str">
        <x:v>Squat and hinge strength</x:v>
      </x:c>
      <x:c r="H345" s="311" t="n">
        <x:v>6</x:v>
      </x:c>
      <x:c r="I345" s="311" t="str">
        <x:v>Standing Calf Raise</x:v>
      </x:c>
      <x:c r="J345" s="311" t="str">
        <x:v>Hypertrophy</x:v>
      </x:c>
      <x:c r="K345" s="311" t="str">
        <x:v>Calves</x:v>
      </x:c>
      <x:c r="L345" s="311" t="str">
        <x:v>Straight sets</x:v>
      </x:c>
      <x:c r="M345" s="311" t="str"/>
      <x:c r="N345" s="311" t="n">
        <x:v>3</x:v>
      </x:c>
      <x:c r="O345" s="311" t="n">
        <x:v>8</x:v>
      </x:c>
      <x:c r="P345" s="311" t="n">
        <x:v>12</x:v>
      </x:c>
      <x:c r="Q345" s="311" t="n">
        <x:v>1</x:v>
      </x:c>
      <x:c r="R345" s="311" t="n">
        <x:v>60</x:v>
      </x:c>
      <x:c r="S345" s="311" t="str">
        <x:v>2-2-1</x:v>
      </x:c>
      <x:c r="T345" s="330" t="n">
        <x:v>1</x:v>
      </x:c>
      <x:c r="U345" s="330" t="n">
        <x:v>0</x:v>
      </x:c>
      <x:c r="V345" s="331" t="str">
        <x:v>load × reps</x:v>
      </x:c>
      <x:c r="W345" s="332" t="str">
        <x:f>'Readiness'!K43</x:f>
      </x:c>
      <x:c r="X345" s="314" t="n">
        <x:f>'Readiness'!L43</x:f>
        <x:v>1</x:v>
      </x:c>
      <x:c r="Y345" s="315" t="n">
        <x:f>IF(J345="Mobility",N345,MAX(1,ROUND(N345*X345,0)))</x:f>
        <x:v>3</x:v>
      </x:c>
      <x:c r="Z345" s="333" t="n">
        <x:f>ROUND((IF(AU292&gt;0,AU292,IF(Z292&gt;0,Z292,'Setup'!$D$90))*T345)/'Setup'!$B$9,0)*'Setup'!$B$9</x:f>
        <x:v>0</x:v>
      </x:c>
      <x:c r="AA345" s="334"/>
      <x:c r="AB345" s="334"/>
      <x:c r="AC345" s="334"/>
      <x:c r="AD345" s="334"/>
      <x:c r="AE345" s="334"/>
      <x:c r="AF345" s="334"/>
      <x:c r="AG345" s="334"/>
      <x:c r="AH345" s="334"/>
      <x:c r="AI345" s="334"/>
      <x:c r="AJ345" s="312"/>
      <x:c r="AK345" s="312"/>
      <x:c r="AL345" s="312"/>
      <x:c r="AM345" s="312"/>
      <x:c r="AN345" s="312"/>
      <x:c r="AO345" s="315" t="n">
        <x:f>COUNT(AB345,AD345,AF345,AH345,AJ345)</x:f>
        <x:v>0</x:v>
      </x:c>
      <x:c r="AP345" s="315" t="n">
        <x:f>SUM(AB345,AD345,AF345,AH345,AJ345)</x:f>
        <x:v>0</x:v>
      </x:c>
      <x:c r="AQ345" s="333" t="n">
        <x:f>AA345*AB345+AC345*AD345+AE345*AF345+AG345*AH345+AI345*AJ345</x:f>
        <x:v>0</x:v>
      </x:c>
      <x:c r="AR345" s="333" t="n">
        <x:f>IF(OR(J345="Strength",J345="Hypertrophy"),MAX(IF(AB345&gt;0,AA345*(1+AB345/30),0),IF(AD345&gt;0,AC345*(1+AD345/30),0),IF(AF345&gt;0,AE345*(1+AF345/30),0),IF(AH345&gt;0,AG345*(1+AH345/30),0),IF(AJ345&gt;0,AI345*(1+AJ345/30),0)),0)</x:f>
        <x:v>0</x:v>
      </x:c>
      <x:c r="AS345" s="315" t="str">
        <x:f>IF(AN345&lt;&gt;"Yes","Not logged",IF(AL345&gt;='Setup'!$B$14,"STOP / MODIFY",IF(Z345=0,"Complete",IF(OR(AO345=0,AK345=""),"Add set data + RIR",IF(AND(MAX(AB345,AD345,AF345,AH345,AJ345)&gt;=P345,AK345&gt;=Q345+1),"Progress",IF(OR(MAX(AB345,AD345,AF345,AH345,AJ345)&lt;O345,AK345&lt;Q345-1),"Regress","Hold"))))))</x:f>
        <x:v>Not logged</x:v>
      </x:c>
      <x:c r="AT345" s="335" t="n">
        <x:f>IF(OR(Z345=0,AN345&lt;&gt;"Yes",AO345=0,AK345=""),0,IF(AL345&gt;='Setup'!$B$14,-2*'Setup'!$B$11,IF(AND(MAX(AB345,AD345,AF345,AH345,AJ345)&gt;=P345,AK345&gt;=Q345+1),'Setup'!$B$10,IF(OR(MAX(AB345,AD345,AF345,AH345,AJ345)&lt;O345,AK345&lt;Q345-1),-'Setup'!$B$11,0))))</x:f>
        <x:v>0</x:v>
      </x:c>
      <x:c r="AU345" s="333" t="n">
        <x:f>IF(Z345=0,0,IF(AN345&lt;&gt;"Yes",Z345,IF(COUNT(AA345,AC345,AE345,AG345,AI345)=0,Z345,ROUND((MAX(AA345,AC345,AE345,AG345,AI345)*(1+AT345))/'Setup'!$B$9,0)*'Setup'!$B$9)))</x:f>
        <x:v>0</x:v>
      </x:c>
      <x:c r="AV345" s="336"/>
    </x:row>
    <x:row r="346">
      <x:c r="A346" s="310" t="n">
        <x:f>'Setup'!$B$3+(C346-1)*7+(D346-1)</x:f>
        <x:v>46286</x:v>
      </x:c>
      <x:c r="B346" s="311" t="str">
        <x:v>7|1|7</x:v>
      </x:c>
      <x:c r="C346" s="311" t="n">
        <x:v>7</x:v>
      </x:c>
      <x:c r="D346" s="311" t="n">
        <x:v>1</x:v>
      </x:c>
      <x:c r="E346" s="311" t="str">
        <x:v>Intensification</x:v>
      </x:c>
      <x:c r="F346" s="311" t="str">
        <x:v>Lower Strength</x:v>
      </x:c>
      <x:c r="G346" s="311" t="str">
        <x:v>Squat and hinge strength</x:v>
      </x:c>
      <x:c r="H346" s="311" t="n">
        <x:v>7</x:v>
      </x:c>
      <x:c r="I346" s="311" t="str">
        <x:v>Ab Wheel Rollout</x:v>
      </x:c>
      <x:c r="J346" s="311" t="str">
        <x:v>Hypertrophy</x:v>
      </x:c>
      <x:c r="K346" s="311" t="str">
        <x:v>Core</x:v>
      </x:c>
      <x:c r="L346" s="311" t="str">
        <x:v>Straight sets</x:v>
      </x:c>
      <x:c r="M346" s="311" t="str"/>
      <x:c r="N346" s="311" t="n">
        <x:v>3</x:v>
      </x:c>
      <x:c r="O346" s="311" t="n">
        <x:v>8</x:v>
      </x:c>
      <x:c r="P346" s="311" t="n">
        <x:v>12</x:v>
      </x:c>
      <x:c r="Q346" s="311" t="n">
        <x:v>1</x:v>
      </x:c>
      <x:c r="R346" s="311" t="n">
        <x:v>60</x:v>
      </x:c>
      <x:c r="S346" s="311" t="str">
        <x:v>3-0-1</x:v>
      </x:c>
      <x:c r="T346" s="330" t="n">
        <x:v>1</x:v>
      </x:c>
      <x:c r="U346" s="330" t="n">
        <x:v>0</x:v>
      </x:c>
      <x:c r="V346" s="331" t="str">
        <x:v>reps</x:v>
      </x:c>
      <x:c r="W346" s="332" t="str">
        <x:f>'Readiness'!K43</x:f>
      </x:c>
      <x:c r="X346" s="314" t="n">
        <x:f>'Readiness'!L43</x:f>
        <x:v>1</x:v>
      </x:c>
      <x:c r="Y346" s="315" t="n">
        <x:f>IF(J346="Mobility",N346,MAX(1,ROUND(N346*X346,0)))</x:f>
        <x:v>3</x:v>
      </x:c>
      <x:c r="Z346" s="333" t="n">
        <x:f>0</x:f>
        <x:v>0</x:v>
      </x:c>
      <x:c r="AA346" s="334"/>
      <x:c r="AB346" s="334"/>
      <x:c r="AC346" s="334"/>
      <x:c r="AD346" s="334"/>
      <x:c r="AE346" s="334"/>
      <x:c r="AF346" s="334"/>
      <x:c r="AG346" s="334"/>
      <x:c r="AH346" s="334"/>
      <x:c r="AI346" s="334"/>
      <x:c r="AJ346" s="312"/>
      <x:c r="AK346" s="312"/>
      <x:c r="AL346" s="312"/>
      <x:c r="AM346" s="312"/>
      <x:c r="AN346" s="312"/>
      <x:c r="AO346" s="315" t="n">
        <x:f>COUNT(AB346,AD346,AF346,AH346,AJ346)</x:f>
        <x:v>0</x:v>
      </x:c>
      <x:c r="AP346" s="315" t="n">
        <x:f>SUM(AB346,AD346,AF346,AH346,AJ346)</x:f>
        <x:v>0</x:v>
      </x:c>
      <x:c r="AQ346" s="333" t="n">
        <x:f>AA346*AB346+AC346*AD346+AE346*AF346+AG346*AH346+AI346*AJ346</x:f>
        <x:v>0</x:v>
      </x:c>
      <x:c r="AR346" s="333" t="n">
        <x:f>IF(OR(J346="Strength",J346="Hypertrophy"),MAX(IF(AB346&gt;0,AA346*(1+AB346/30),0),IF(AD346&gt;0,AC346*(1+AD346/30),0),IF(AF346&gt;0,AE346*(1+AF346/30),0),IF(AH346&gt;0,AG346*(1+AH346/30),0),IF(AJ346&gt;0,AI346*(1+AJ346/30),0)),0)</x:f>
        <x:v>0</x:v>
      </x:c>
      <x:c r="AS346" s="315" t="str">
        <x:f>IF(AN346&lt;&gt;"Yes","Not logged",IF(AL346&gt;='Setup'!$B$14,"STOP / MODIFY",IF(Z346=0,"Complete",IF(OR(AO346=0,AK346=""),"Add set data + RIR",IF(AND(MAX(AB346,AD346,AF346,AH346,AJ346)&gt;=P346,AK346&gt;=Q346+1),"Progress",IF(OR(MAX(AB346,AD346,AF346,AH346,AJ346)&lt;O346,AK346&lt;Q346-1),"Regress","Hold"))))))</x:f>
        <x:v>Not logged</x:v>
      </x:c>
      <x:c r="AT346" s="335" t="n">
        <x:f>IF(OR(Z346=0,AN346&lt;&gt;"Yes",AO346=0,AK346=""),0,IF(AL346&gt;='Setup'!$B$14,-2*'Setup'!$B$11,IF(AND(MAX(AB346,AD346,AF346,AH346,AJ346)&gt;=P346,AK346&gt;=Q346+1),'Setup'!$B$10,IF(OR(MAX(AB346,AD346,AF346,AH346,AJ346)&lt;O346,AK346&lt;Q346-1),-'Setup'!$B$11,0))))</x:f>
        <x:v>0</x:v>
      </x:c>
      <x:c r="AU346" s="333" t="n">
        <x:f>IF(Z346=0,0,IF(AN346&lt;&gt;"Yes",Z346,IF(COUNT(AA346,AC346,AE346,AG346,AI346)=0,Z346,ROUND((MAX(AA346,AC346,AE346,AG346,AI346)*(1+AT346))/'Setup'!$B$9,0)*'Setup'!$B$9)))</x:f>
        <x:v>0</x:v>
      </x:c>
      <x:c r="AV346" s="336"/>
    </x:row>
    <x:row r="347">
      <x:c r="A347" s="310" t="n">
        <x:f>'Setup'!$B$3+(C347-1)*7+(D347-1)</x:f>
        <x:v>46286</x:v>
      </x:c>
      <x:c r="B347" s="311" t="str">
        <x:v>7|1|8</x:v>
      </x:c>
      <x:c r="C347" s="311" t="n">
        <x:v>7</x:v>
      </x:c>
      <x:c r="D347" s="311" t="n">
        <x:v>1</x:v>
      </x:c>
      <x:c r="E347" s="311" t="str">
        <x:v>Intensification</x:v>
      </x:c>
      <x:c r="F347" s="311" t="str">
        <x:v>Lower Strength</x:v>
      </x:c>
      <x:c r="G347" s="311" t="str">
        <x:v>Squat and hinge strength</x:v>
      </x:c>
      <x:c r="H347" s="311" t="n">
        <x:v>8</x:v>
      </x:c>
      <x:c r="I347" s="311" t="str">
        <x:v>Ankle Dorsiflexion Mobilization</x:v>
      </x:c>
      <x:c r="J347" s="311" t="str">
        <x:v>Mobility</x:v>
      </x:c>
      <x:c r="K347" s="311" t="str">
        <x:v>Ankles</x:v>
      </x:c>
      <x:c r="L347" s="311" t="str">
        <x:v>Controlled mobility</x:v>
      </x:c>
      <x:c r="M347" s="311" t="str"/>
      <x:c r="N347" s="311" t="n">
        <x:v>2</x:v>
      </x:c>
      <x:c r="O347" s="311" t="n">
        <x:v>8</x:v>
      </x:c>
      <x:c r="P347" s="311" t="n">
        <x:v>12</x:v>
      </x:c>
      <x:c r="Q347" s="311" t="str"/>
      <x:c r="R347" s="311" t="n">
        <x:v>20</x:v>
      </x:c>
      <x:c r="S347" s="311" t="str">
        <x:v>Slow</x:v>
      </x:c>
      <x:c r="T347" s="330" t="n">
        <x:v>1</x:v>
      </x:c>
      <x:c r="U347" s="330" t="n">
        <x:v>0</x:v>
      </x:c>
      <x:c r="V347" s="331" t="str">
        <x:v>reps</x:v>
      </x:c>
      <x:c r="W347" s="332" t="str">
        <x:f>'Readiness'!K43</x:f>
      </x:c>
      <x:c r="X347" s="314" t="n">
        <x:f>'Readiness'!L43</x:f>
        <x:v>1</x:v>
      </x:c>
      <x:c r="Y347" s="315" t="n">
        <x:f>IF(J347="Mobility",N347,MAX(1,ROUND(N347*X347,0)))</x:f>
        <x:v>2</x:v>
      </x:c>
      <x:c r="Z347" s="333" t="n">
        <x:f>0</x:f>
        <x:v>0</x:v>
      </x:c>
      <x:c r="AA347" s="334"/>
      <x:c r="AB347" s="334"/>
      <x:c r="AC347" s="334"/>
      <x:c r="AD347" s="334"/>
      <x:c r="AE347" s="334"/>
      <x:c r="AF347" s="334"/>
      <x:c r="AG347" s="334"/>
      <x:c r="AH347" s="334"/>
      <x:c r="AI347" s="334"/>
      <x:c r="AJ347" s="312"/>
      <x:c r="AK347" s="312"/>
      <x:c r="AL347" s="312"/>
      <x:c r="AM347" s="312"/>
      <x:c r="AN347" s="312"/>
      <x:c r="AO347" s="315" t="n">
        <x:f>COUNT(AB347,AD347,AF347,AH347,AJ347)</x:f>
        <x:v>0</x:v>
      </x:c>
      <x:c r="AP347" s="315" t="n">
        <x:f>SUM(AB347,AD347,AF347,AH347,AJ347)</x:f>
        <x:v>0</x:v>
      </x:c>
      <x:c r="AQ347" s="333" t="n">
        <x:f>AA347*AB347+AC347*AD347+AE347*AF347+AG347*AH347+AI347*AJ347</x:f>
        <x:v>0</x:v>
      </x:c>
      <x:c r="AR347" s="333" t="n">
        <x:f>IF(OR(J347="Strength",J347="Hypertrophy"),MAX(IF(AB347&gt;0,AA347*(1+AB347/30),0),IF(AD347&gt;0,AC347*(1+AD347/30),0),IF(AF347&gt;0,AE347*(1+AF347/30),0),IF(AH347&gt;0,AG347*(1+AH347/30),0),IF(AJ347&gt;0,AI347*(1+AJ347/30),0)),0)</x:f>
        <x:v>0</x:v>
      </x:c>
      <x:c r="AS347" s="315" t="str">
        <x:f>IF(AN347&lt;&gt;"Yes","Not logged",IF(AL347&gt;='Setup'!$B$14,"STOP / MODIFY",IF(Z347=0,"Complete",IF(OR(AO347=0,AK347=""),"Add set data + RIR",IF(AND(MAX(AB347,AD347,AF347,AH347,AJ347)&gt;=P347,AK347&gt;=Q347+1),"Progress",IF(OR(MAX(AB347,AD347,AF347,AH347,AJ347)&lt;O347,AK347&lt;Q347-1),"Regress","Hold"))))))</x:f>
        <x:v>Not logged</x:v>
      </x:c>
      <x:c r="AT347" s="335" t="n">
        <x:f>IF(OR(Z347=0,AN347&lt;&gt;"Yes",AO347=0,AK347=""),0,IF(AL347&gt;='Setup'!$B$14,-2*'Setup'!$B$11,IF(AND(MAX(AB347,AD347,AF347,AH347,AJ347)&gt;=P347,AK347&gt;=Q347+1),'Setup'!$B$10,IF(OR(MAX(AB347,AD347,AF347,AH347,AJ347)&lt;O347,AK347&lt;Q347-1),-'Setup'!$B$11,0))))</x:f>
        <x:v>0</x:v>
      </x:c>
      <x:c r="AU347" s="333" t="n">
        <x:f>IF(Z347=0,0,IF(AN347&lt;&gt;"Yes",Z347,IF(COUNT(AA347,AC347,AE347,AG347,AI347)=0,Z347,ROUND((MAX(AA347,AC347,AE347,AG347,AI347)*(1+AT347))/'Setup'!$B$9,0)*'Setup'!$B$9)))</x:f>
        <x:v>0</x:v>
      </x:c>
      <x:c r="AV347" s="336"/>
    </x:row>
    <x:row r="348">
      <x:c r="A348" s="310" t="n">
        <x:f>'Setup'!$B$3+(C348-1)*7+(D348-1)</x:f>
        <x:v>46286</x:v>
      </x:c>
      <x:c r="B348" s="311" t="str">
        <x:v>7|1|9</x:v>
      </x:c>
      <x:c r="C348" s="311" t="n">
        <x:v>7</x:v>
      </x:c>
      <x:c r="D348" s="311" t="n">
        <x:v>1</x:v>
      </x:c>
      <x:c r="E348" s="311" t="str">
        <x:v>Intensification</x:v>
      </x:c>
      <x:c r="F348" s="311" t="str">
        <x:v>Lower Strength</x:v>
      </x:c>
      <x:c r="G348" s="311" t="str">
        <x:v>Squat and hinge strength</x:v>
      </x:c>
      <x:c r="H348" s="311" t="n">
        <x:v>9</x:v>
      </x:c>
      <x:c r="I348" s="311" t="str">
        <x:v>90/90 Hip Switch</x:v>
      </x:c>
      <x:c r="J348" s="311" t="str">
        <x:v>Mobility</x:v>
      </x:c>
      <x:c r="K348" s="311" t="str">
        <x:v>Hips</x:v>
      </x:c>
      <x:c r="L348" s="311" t="str">
        <x:v>Controlled mobility</x:v>
      </x:c>
      <x:c r="M348" s="311" t="str"/>
      <x:c r="N348" s="311" t="n">
        <x:v>2</x:v>
      </x:c>
      <x:c r="O348" s="311" t="n">
        <x:v>6</x:v>
      </x:c>
      <x:c r="P348" s="311" t="n">
        <x:v>10</x:v>
      </x:c>
      <x:c r="Q348" s="311" t="str"/>
      <x:c r="R348" s="311" t="n">
        <x:v>20</x:v>
      </x:c>
      <x:c r="S348" s="311" t="str">
        <x:v>Slow</x:v>
      </x:c>
      <x:c r="T348" s="330" t="n">
        <x:v>1</x:v>
      </x:c>
      <x:c r="U348" s="330" t="n">
        <x:v>0</x:v>
      </x:c>
      <x:c r="V348" s="331" t="str">
        <x:v>reps</x:v>
      </x:c>
      <x:c r="W348" s="332" t="str">
        <x:f>'Readiness'!K43</x:f>
      </x:c>
      <x:c r="X348" s="314" t="n">
        <x:f>'Readiness'!L43</x:f>
        <x:v>1</x:v>
      </x:c>
      <x:c r="Y348" s="315" t="n">
        <x:f>IF(J348="Mobility",N348,MAX(1,ROUND(N348*X348,0)))</x:f>
        <x:v>2</x:v>
      </x:c>
      <x:c r="Z348" s="333" t="n">
        <x:f>0</x:f>
        <x:v>0</x:v>
      </x:c>
      <x:c r="AA348" s="334"/>
      <x:c r="AB348" s="334"/>
      <x:c r="AC348" s="334"/>
      <x:c r="AD348" s="334"/>
      <x:c r="AE348" s="334"/>
      <x:c r="AF348" s="334"/>
      <x:c r="AG348" s="334"/>
      <x:c r="AH348" s="334"/>
      <x:c r="AI348" s="334"/>
      <x:c r="AJ348" s="312"/>
      <x:c r="AK348" s="312"/>
      <x:c r="AL348" s="312"/>
      <x:c r="AM348" s="312"/>
      <x:c r="AN348" s="312"/>
      <x:c r="AO348" s="315" t="n">
        <x:f>COUNT(AB348,AD348,AF348,AH348,AJ348)</x:f>
        <x:v>0</x:v>
      </x:c>
      <x:c r="AP348" s="315" t="n">
        <x:f>SUM(AB348,AD348,AF348,AH348,AJ348)</x:f>
        <x:v>0</x:v>
      </x:c>
      <x:c r="AQ348" s="333" t="n">
        <x:f>AA348*AB348+AC348*AD348+AE348*AF348+AG348*AH348+AI348*AJ348</x:f>
        <x:v>0</x:v>
      </x:c>
      <x:c r="AR348" s="333" t="n">
        <x:f>IF(OR(J348="Strength",J348="Hypertrophy"),MAX(IF(AB348&gt;0,AA348*(1+AB348/30),0),IF(AD348&gt;0,AC348*(1+AD348/30),0),IF(AF348&gt;0,AE348*(1+AF348/30),0),IF(AH348&gt;0,AG348*(1+AH348/30),0),IF(AJ348&gt;0,AI348*(1+AJ348/30),0)),0)</x:f>
        <x:v>0</x:v>
      </x:c>
      <x:c r="AS348" s="315" t="str">
        <x:f>IF(AN348&lt;&gt;"Yes","Not logged",IF(AL348&gt;='Setup'!$B$14,"STOP / MODIFY",IF(Z348=0,"Complete",IF(OR(AO348=0,AK348=""),"Add set data + RIR",IF(AND(MAX(AB348,AD348,AF348,AH348,AJ348)&gt;=P348,AK348&gt;=Q348+1),"Progress",IF(OR(MAX(AB348,AD348,AF348,AH348,AJ348)&lt;O348,AK348&lt;Q348-1),"Regress","Hold"))))))</x:f>
        <x:v>Not logged</x:v>
      </x:c>
      <x:c r="AT348" s="335" t="n">
        <x:f>IF(OR(Z348=0,AN348&lt;&gt;"Yes",AO348=0,AK348=""),0,IF(AL348&gt;='Setup'!$B$14,-2*'Setup'!$B$11,IF(AND(MAX(AB348,AD348,AF348,AH348,AJ348)&gt;=P348,AK348&gt;=Q348+1),'Setup'!$B$10,IF(OR(MAX(AB348,AD348,AF348,AH348,AJ348)&lt;O348,AK348&lt;Q348-1),-'Setup'!$B$11,0))))</x:f>
        <x:v>0</x:v>
      </x:c>
      <x:c r="AU348" s="333" t="n">
        <x:f>IF(Z348=0,0,IF(AN348&lt;&gt;"Yes",Z348,IF(COUNT(AA348,AC348,AE348,AG348,AI348)=0,Z348,ROUND((MAX(AA348,AC348,AE348,AG348,AI348)*(1+AT348))/'Setup'!$B$9,0)*'Setup'!$B$9)))</x:f>
        <x:v>0</x:v>
      </x:c>
      <x:c r="AV348" s="336"/>
    </x:row>
    <x:row r="349">
      <x:c r="A349" s="310" t="n">
        <x:f>'Setup'!$B$3+(C349-1)*7+(D349-1)</x:f>
        <x:v>46287</x:v>
      </x:c>
      <x:c r="B349" s="311" t="str">
        <x:v>7|2|1</x:v>
      </x:c>
      <x:c r="C349" s="311" t="n">
        <x:v>7</x:v>
      </x:c>
      <x:c r="D349" s="311" t="n">
        <x:v>2</x:v>
      </x:c>
      <x:c r="E349" s="311" t="str">
        <x:v>Intensification</x:v>
      </x:c>
      <x:c r="F349" s="311" t="str">
        <x:v>Upper Strength</x:v>
      </x:c>
      <x:c r="G349" s="311" t="str">
        <x:v>Heavy press, pull, and carry</x:v>
      </x:c>
      <x:c r="H349" s="311" t="n">
        <x:v>1</x:v>
      </x:c>
      <x:c r="I349" s="311" t="str">
        <x:v>Medicine Ball Chest Pass</x:v>
      </x:c>
      <x:c r="J349" s="311" t="str">
        <x:v>Power</x:v>
      </x:c>
      <x:c r="K349" s="311" t="str">
        <x:v>Chest</x:v>
      </x:c>
      <x:c r="L349" s="311" t="str">
        <x:v>Max intent, full reset</x:v>
      </x:c>
      <x:c r="M349" s="311" t="str"/>
      <x:c r="N349" s="311" t="n">
        <x:v>3</x:v>
      </x:c>
      <x:c r="O349" s="311" t="n">
        <x:v>3</x:v>
      </x:c>
      <x:c r="P349" s="311" t="n">
        <x:v>3</x:v>
      </x:c>
      <x:c r="Q349" s="311" t="n">
        <x:v>2</x:v>
      </x:c>
      <x:c r="R349" s="311" t="n">
        <x:v>60</x:v>
      </x:c>
      <x:c r="S349" s="311" t="str">
        <x:v>Explosive</x:v>
      </x:c>
      <x:c r="T349" s="330" t="n">
        <x:v>1</x:v>
      </x:c>
      <x:c r="U349" s="330" t="n">
        <x:v>0</x:v>
      </x:c>
      <x:c r="V349" s="331" t="str">
        <x:v>throw quality</x:v>
      </x:c>
      <x:c r="W349" s="332" t="str">
        <x:f>'Readiness'!K44</x:f>
      </x:c>
      <x:c r="X349" s="314" t="n">
        <x:f>'Readiness'!L44</x:f>
        <x:v>1</x:v>
      </x:c>
      <x:c r="Y349" s="315" t="n">
        <x:f>IF(J349="Mobility",N349,MAX(1,ROUND(N349*X349,0)))</x:f>
        <x:v>3</x:v>
      </x:c>
      <x:c r="Z349" s="333" t="n">
        <x:f>0</x:f>
        <x:v>0</x:v>
      </x:c>
      <x:c r="AA349" s="334"/>
      <x:c r="AB349" s="334"/>
      <x:c r="AC349" s="334"/>
      <x:c r="AD349" s="334"/>
      <x:c r="AE349" s="334"/>
      <x:c r="AF349" s="334"/>
      <x:c r="AG349" s="334"/>
      <x:c r="AH349" s="334"/>
      <x:c r="AI349" s="334"/>
      <x:c r="AJ349" s="312"/>
      <x:c r="AK349" s="312"/>
      <x:c r="AL349" s="312"/>
      <x:c r="AM349" s="312"/>
      <x:c r="AN349" s="312"/>
      <x:c r="AO349" s="315" t="n">
        <x:f>COUNT(AB349,AD349,AF349,AH349,AJ349)</x:f>
        <x:v>0</x:v>
      </x:c>
      <x:c r="AP349" s="315" t="n">
        <x:f>SUM(AB349,AD349,AF349,AH349,AJ349)</x:f>
        <x:v>0</x:v>
      </x:c>
      <x:c r="AQ349" s="333" t="n">
        <x:f>AA349*AB349+AC349*AD349+AE349*AF349+AG349*AH349+AI349*AJ349</x:f>
        <x:v>0</x:v>
      </x:c>
      <x:c r="AR349" s="333" t="n">
        <x:f>IF(OR(J349="Strength",J349="Hypertrophy"),MAX(IF(AB349&gt;0,AA349*(1+AB349/30),0),IF(AD349&gt;0,AC349*(1+AD349/30),0),IF(AF349&gt;0,AE349*(1+AF349/30),0),IF(AH349&gt;0,AG349*(1+AH349/30),0),IF(AJ349&gt;0,AI349*(1+AJ349/30),0)),0)</x:f>
        <x:v>0</x:v>
      </x:c>
      <x:c r="AS349" s="315" t="str">
        <x:f>IF(AN349&lt;&gt;"Yes","Not logged",IF(AL349&gt;='Setup'!$B$14,"STOP / MODIFY",IF(Z349=0,"Complete",IF(OR(AO349=0,AK349=""),"Add set data + RIR",IF(AND(MAX(AB349,AD349,AF349,AH349,AJ349)&gt;=P349,AK349&gt;=Q349+1),"Progress",IF(OR(MAX(AB349,AD349,AF349,AH349,AJ349)&lt;O349,AK349&lt;Q349-1),"Regress","Hold"))))))</x:f>
        <x:v>Not logged</x:v>
      </x:c>
      <x:c r="AT349" s="335" t="n">
        <x:f>IF(OR(Z349=0,AN349&lt;&gt;"Yes",AO349=0,AK349=""),0,IF(AL349&gt;='Setup'!$B$14,-2*'Setup'!$B$11,IF(AND(MAX(AB349,AD349,AF349,AH349,AJ349)&gt;=P349,AK349&gt;=Q349+1),'Setup'!$B$10,IF(OR(MAX(AB349,AD349,AF349,AH349,AJ349)&lt;O349,AK349&lt;Q349-1),-'Setup'!$B$11,0))))</x:f>
        <x:v>0</x:v>
      </x:c>
      <x:c r="AU349" s="333" t="n">
        <x:f>IF(Z349=0,0,IF(AN349&lt;&gt;"Yes",Z349,IF(COUNT(AA349,AC349,AE349,AG349,AI349)=0,Z349,ROUND((MAX(AA349,AC349,AE349,AG349,AI349)*(1+AT349))/'Setup'!$B$9,0)*'Setup'!$B$9)))</x:f>
        <x:v>0</x:v>
      </x:c>
      <x:c r="AV349" s="336"/>
    </x:row>
    <x:row r="350">
      <x:c r="A350" s="310" t="n">
        <x:f>'Setup'!$B$3+(C350-1)*7+(D350-1)</x:f>
        <x:v>46287</x:v>
      </x:c>
      <x:c r="B350" s="311" t="str">
        <x:v>7|2|2</x:v>
      </x:c>
      <x:c r="C350" s="311" t="n">
        <x:v>7</x:v>
      </x:c>
      <x:c r="D350" s="311" t="n">
        <x:v>2</x:v>
      </x:c>
      <x:c r="E350" s="311" t="str">
        <x:v>Intensification</x:v>
      </x:c>
      <x:c r="F350" s="311" t="str">
        <x:v>Upper Strength</x:v>
      </x:c>
      <x:c r="G350" s="311" t="str">
        <x:v>Heavy press, pull, and carry</x:v>
      </x:c>
      <x:c r="H350" s="311" t="n">
        <x:v>2</x:v>
      </x:c>
      <x:c r="I350" s="311" t="str">
        <x:v>Bench Press</x:v>
      </x:c>
      <x:c r="J350" s="311" t="str">
        <x:v>Strength</x:v>
      </x:c>
      <x:c r="K350" s="311" t="str">
        <x:v>Chest</x:v>
      </x:c>
      <x:c r="L350" s="311" t="str">
        <x:v>Top set + back-offs</x:v>
      </x:c>
      <x:c r="M350" s="311" t="str"/>
      <x:c r="N350" s="311" t="n">
        <x:v>5</x:v>
      </x:c>
      <x:c r="O350" s="311" t="n">
        <x:v>3</x:v>
      </x:c>
      <x:c r="P350" s="311" t="n">
        <x:v>5</x:v>
      </x:c>
      <x:c r="Q350" s="311" t="n">
        <x:v>1</x:v>
      </x:c>
      <x:c r="R350" s="311" t="n">
        <x:v>180</x:v>
      </x:c>
      <x:c r="S350" s="311" t="str">
        <x:v>2-0-X</x:v>
      </x:c>
      <x:c r="T350" s="330" t="n">
        <x:v>1</x:v>
      </x:c>
      <x:c r="U350" s="330" t="n">
        <x:v>0.8</x:v>
      </x:c>
      <x:c r="V350" s="331" t="str">
        <x:v>load × reps</x:v>
      </x:c>
      <x:c r="W350" s="332" t="str">
        <x:f>'Readiness'!K44</x:f>
      </x:c>
      <x:c r="X350" s="314" t="n">
        <x:f>'Readiness'!L44</x:f>
        <x:v>1</x:v>
      </x:c>
      <x:c r="Y350" s="315" t="n">
        <x:f>IF(J350="Mobility",N350,MAX(1,ROUND(N350*X350,0)))</x:f>
        <x:v>5</x:v>
      </x:c>
      <x:c r="Z350" s="333" t="n">
        <x:f>ROUND((IF(AU297&gt;0,AU297,IF(Z297&gt;0,Z297,'Setup'!$D$27))*T350)/'Setup'!$B$9,0)*'Setup'!$B$9</x:f>
        <x:v>0</x:v>
      </x:c>
      <x:c r="AA350" s="334"/>
      <x:c r="AB350" s="334"/>
      <x:c r="AC350" s="334"/>
      <x:c r="AD350" s="334"/>
      <x:c r="AE350" s="334"/>
      <x:c r="AF350" s="334"/>
      <x:c r="AG350" s="334"/>
      <x:c r="AH350" s="334"/>
      <x:c r="AI350" s="334"/>
      <x:c r="AJ350" s="312"/>
      <x:c r="AK350" s="312"/>
      <x:c r="AL350" s="312"/>
      <x:c r="AM350" s="312"/>
      <x:c r="AN350" s="312"/>
      <x:c r="AO350" s="315" t="n">
        <x:f>COUNT(AB350,AD350,AF350,AH350,AJ350)</x:f>
        <x:v>0</x:v>
      </x:c>
      <x:c r="AP350" s="315" t="n">
        <x:f>SUM(AB350,AD350,AF350,AH350,AJ350)</x:f>
        <x:v>0</x:v>
      </x:c>
      <x:c r="AQ350" s="333" t="n">
        <x:f>AA350*AB350+AC350*AD350+AE350*AF350+AG350*AH350+AI350*AJ350</x:f>
        <x:v>0</x:v>
      </x:c>
      <x:c r="AR350" s="333" t="n">
        <x:f>IF(OR(J350="Strength",J350="Hypertrophy"),MAX(IF(AB350&gt;0,AA350*(1+AB350/30),0),IF(AD350&gt;0,AC350*(1+AD350/30),0),IF(AF350&gt;0,AE350*(1+AF350/30),0),IF(AH350&gt;0,AG350*(1+AH350/30),0),IF(AJ350&gt;0,AI350*(1+AJ350/30),0)),0)</x:f>
        <x:v>0</x:v>
      </x:c>
      <x:c r="AS350" s="315" t="str">
        <x:f>IF(AN350&lt;&gt;"Yes","Not logged",IF(AL350&gt;='Setup'!$B$14,"STOP / MODIFY",IF(Z350=0,"Complete",IF(OR(AO350=0,AK350=""),"Add set data + RIR",IF(AND(MAX(AB350,AD350,AF350,AH350,AJ350)&gt;=P350,AK350&gt;=Q350+1),"Progress",IF(OR(MAX(AB350,AD350,AF350,AH350,AJ350)&lt;O350,AK350&lt;Q350-1),"Regress","Hold"))))))</x:f>
        <x:v>Not logged</x:v>
      </x:c>
      <x:c r="AT350" s="335" t="n">
        <x:f>IF(OR(Z350=0,AN350&lt;&gt;"Yes",AO350=0,AK350=""),0,IF(AL350&gt;='Setup'!$B$14,-2*'Setup'!$B$11,IF(AND(MAX(AB350,AD350,AF350,AH350,AJ350)&gt;=P350,AK350&gt;=Q350+1),'Setup'!$B$10,IF(OR(MAX(AB350,AD350,AF350,AH350,AJ350)&lt;O350,AK350&lt;Q350-1),-'Setup'!$B$11,0))))</x:f>
        <x:v>0</x:v>
      </x:c>
      <x:c r="AU350" s="333" t="n">
        <x:f>IF(Z350=0,0,IF(AN350&lt;&gt;"Yes",Z350,IF(COUNT(AA350,AC350,AE350,AG350,AI350)=0,Z350,ROUND((MAX(AA350,AC350,AE350,AG350,AI350)*(1+AT350))/'Setup'!$B$9,0)*'Setup'!$B$9)))</x:f>
        <x:v>0</x:v>
      </x:c>
      <x:c r="AV350" s="336"/>
    </x:row>
    <x:row r="351">
      <x:c r="A351" s="310" t="n">
        <x:f>'Setup'!$B$3+(C351-1)*7+(D351-1)</x:f>
        <x:v>46287</x:v>
      </x:c>
      <x:c r="B351" s="311" t="str">
        <x:v>7|2|3</x:v>
      </x:c>
      <x:c r="C351" s="311" t="n">
        <x:v>7</x:v>
      </x:c>
      <x:c r="D351" s="311" t="n">
        <x:v>2</x:v>
      </x:c>
      <x:c r="E351" s="311" t="str">
        <x:v>Intensification</x:v>
      </x:c>
      <x:c r="F351" s="311" t="str">
        <x:v>Upper Strength</x:v>
      </x:c>
      <x:c r="G351" s="311" t="str">
        <x:v>Heavy press, pull, and carry</x:v>
      </x:c>
      <x:c r="H351" s="311" t="n">
        <x:v>3</x:v>
      </x:c>
      <x:c r="I351" s="311" t="str">
        <x:v>Weighted Pull-Up</x:v>
      </x:c>
      <x:c r="J351" s="311" t="str">
        <x:v>Strength</x:v>
      </x:c>
      <x:c r="K351" s="311" t="str">
        <x:v>Back</x:v>
      </x:c>
      <x:c r="L351" s="311" t="str">
        <x:v>Straight sets</x:v>
      </x:c>
      <x:c r="M351" s="311" t="str"/>
      <x:c r="N351" s="311" t="n">
        <x:v>4</x:v>
      </x:c>
      <x:c r="O351" s="311" t="n">
        <x:v>4</x:v>
      </x:c>
      <x:c r="P351" s="311" t="n">
        <x:v>6</x:v>
      </x:c>
      <x:c r="Q351" s="311" t="n">
        <x:v>1</x:v>
      </x:c>
      <x:c r="R351" s="311" t="n">
        <x:v>150</x:v>
      </x:c>
      <x:c r="S351" s="311" t="str">
        <x:v>2-1-X</x:v>
      </x:c>
      <x:c r="T351" s="330" t="n">
        <x:v>1</x:v>
      </x:c>
      <x:c r="U351" s="330" t="n">
        <x:v>0</x:v>
      </x:c>
      <x:c r="V351" s="331" t="str">
        <x:v>load × reps</x:v>
      </x:c>
      <x:c r="W351" s="332" t="str">
        <x:f>'Readiness'!K44</x:f>
      </x:c>
      <x:c r="X351" s="314" t="n">
        <x:f>'Readiness'!L44</x:f>
        <x:v>1</x:v>
      </x:c>
      <x:c r="Y351" s="315" t="n">
        <x:f>IF(J351="Mobility",N351,MAX(1,ROUND(N351*X351,0)))</x:f>
        <x:v>4</x:v>
      </x:c>
      <x:c r="Z351" s="333" t="n">
        <x:f>ROUND((IF(AU298&gt;0,AU298,IF(Z298&gt;0,Z298,'Setup'!$D$94))*T351)/'Setup'!$B$9,0)*'Setup'!$B$9</x:f>
        <x:v>0</x:v>
      </x:c>
      <x:c r="AA351" s="334"/>
      <x:c r="AB351" s="334"/>
      <x:c r="AC351" s="334"/>
      <x:c r="AD351" s="334"/>
      <x:c r="AE351" s="334"/>
      <x:c r="AF351" s="334"/>
      <x:c r="AG351" s="334"/>
      <x:c r="AH351" s="334"/>
      <x:c r="AI351" s="334"/>
      <x:c r="AJ351" s="312"/>
      <x:c r="AK351" s="312"/>
      <x:c r="AL351" s="312"/>
      <x:c r="AM351" s="312"/>
      <x:c r="AN351" s="312"/>
      <x:c r="AO351" s="315" t="n">
        <x:f>COUNT(AB351,AD351,AF351,AH351,AJ351)</x:f>
        <x:v>0</x:v>
      </x:c>
      <x:c r="AP351" s="315" t="n">
        <x:f>SUM(AB351,AD351,AF351,AH351,AJ351)</x:f>
        <x:v>0</x:v>
      </x:c>
      <x:c r="AQ351" s="333" t="n">
        <x:f>AA351*AB351+AC351*AD351+AE351*AF351+AG351*AH351+AI351*AJ351</x:f>
        <x:v>0</x:v>
      </x:c>
      <x:c r="AR351" s="333" t="n">
        <x:f>IF(OR(J351="Strength",J351="Hypertrophy"),MAX(IF(AB351&gt;0,AA351*(1+AB351/30),0),IF(AD351&gt;0,AC351*(1+AD351/30),0),IF(AF351&gt;0,AE351*(1+AF351/30),0),IF(AH351&gt;0,AG351*(1+AH351/30),0),IF(AJ351&gt;0,AI351*(1+AJ351/30),0)),0)</x:f>
        <x:v>0</x:v>
      </x:c>
      <x:c r="AS351" s="315" t="str">
        <x:f>IF(AN351&lt;&gt;"Yes","Not logged",IF(AL351&gt;='Setup'!$B$14,"STOP / MODIFY",IF(Z351=0,"Complete",IF(OR(AO351=0,AK351=""),"Add set data + RIR",IF(AND(MAX(AB351,AD351,AF351,AH351,AJ351)&gt;=P351,AK351&gt;=Q351+1),"Progress",IF(OR(MAX(AB351,AD351,AF351,AH351,AJ351)&lt;O351,AK351&lt;Q351-1),"Regress","Hold"))))))</x:f>
        <x:v>Not logged</x:v>
      </x:c>
      <x:c r="AT351" s="335" t="n">
        <x:f>IF(OR(Z351=0,AN351&lt;&gt;"Yes",AO351=0,AK351=""),0,IF(AL351&gt;='Setup'!$B$14,-2*'Setup'!$B$11,IF(AND(MAX(AB351,AD351,AF351,AH351,AJ351)&gt;=P351,AK351&gt;=Q351+1),'Setup'!$B$10,IF(OR(MAX(AB351,AD351,AF351,AH351,AJ351)&lt;O351,AK351&lt;Q351-1),-'Setup'!$B$11,0))))</x:f>
        <x:v>0</x:v>
      </x:c>
      <x:c r="AU351" s="333" t="n">
        <x:f>IF(Z351=0,0,IF(AN351&lt;&gt;"Yes",Z351,IF(COUNT(AA351,AC351,AE351,AG351,AI351)=0,Z351,ROUND((MAX(AA351,AC351,AE351,AG351,AI351)*(1+AT351))/'Setup'!$B$9,0)*'Setup'!$B$9)))</x:f>
        <x:v>0</x:v>
      </x:c>
      <x:c r="AV351" s="336"/>
    </x:row>
    <x:row r="352">
      <x:c r="A352" s="310" t="n">
        <x:f>'Setup'!$B$3+(C352-1)*7+(D352-1)</x:f>
        <x:v>46287</x:v>
      </x:c>
      <x:c r="B352" s="311" t="str">
        <x:v>7|2|4</x:v>
      </x:c>
      <x:c r="C352" s="311" t="n">
        <x:v>7</x:v>
      </x:c>
      <x:c r="D352" s="311" t="n">
        <x:v>2</x:v>
      </x:c>
      <x:c r="E352" s="311" t="str">
        <x:v>Intensification</x:v>
      </x:c>
      <x:c r="F352" s="311" t="str">
        <x:v>Upper Strength</x:v>
      </x:c>
      <x:c r="G352" s="311" t="str">
        <x:v>Heavy press, pull, and carry</x:v>
      </x:c>
      <x:c r="H352" s="311" t="n">
        <x:v>4</x:v>
      </x:c>
      <x:c r="I352" s="311" t="str">
        <x:v>Overhead Press</x:v>
      </x:c>
      <x:c r="J352" s="311" t="str">
        <x:v>Strength</x:v>
      </x:c>
      <x:c r="K352" s="311" t="str">
        <x:v>Shoulders</x:v>
      </x:c>
      <x:c r="L352" s="311" t="str">
        <x:v>Straight sets</x:v>
      </x:c>
      <x:c r="M352" s="311" t="str"/>
      <x:c r="N352" s="311" t="n">
        <x:v>4</x:v>
      </x:c>
      <x:c r="O352" s="311" t="n">
        <x:v>4</x:v>
      </x:c>
      <x:c r="P352" s="311" t="n">
        <x:v>6</x:v>
      </x:c>
      <x:c r="Q352" s="311" t="n">
        <x:v>1</x:v>
      </x:c>
      <x:c r="R352" s="311" t="n">
        <x:v>150</x:v>
      </x:c>
      <x:c r="S352" s="311" t="str">
        <x:v>2-0-X</x:v>
      </x:c>
      <x:c r="T352" s="330" t="n">
        <x:v>1</x:v>
      </x:c>
      <x:c r="U352" s="330" t="n">
        <x:v>0.76</x:v>
      </x:c>
      <x:c r="V352" s="331" t="str">
        <x:v>load × reps</x:v>
      </x:c>
      <x:c r="W352" s="332" t="str">
        <x:f>'Readiness'!K44</x:f>
      </x:c>
      <x:c r="X352" s="314" t="n">
        <x:f>'Readiness'!L44</x:f>
        <x:v>1</x:v>
      </x:c>
      <x:c r="Y352" s="315" t="n">
        <x:f>IF(J352="Mobility",N352,MAX(1,ROUND(N352*X352,0)))</x:f>
        <x:v>4</x:v>
      </x:c>
      <x:c r="Z352" s="333" t="n">
        <x:f>ROUND((IF(AU299&gt;0,AU299,IF(Z299&gt;0,Z299,'Setup'!$D$70))*T352)/'Setup'!$B$9,0)*'Setup'!$B$9</x:f>
        <x:v>0</x:v>
      </x:c>
      <x:c r="AA352" s="334"/>
      <x:c r="AB352" s="334"/>
      <x:c r="AC352" s="334"/>
      <x:c r="AD352" s="334"/>
      <x:c r="AE352" s="334"/>
      <x:c r="AF352" s="334"/>
      <x:c r="AG352" s="334"/>
      <x:c r="AH352" s="334"/>
      <x:c r="AI352" s="334"/>
      <x:c r="AJ352" s="312"/>
      <x:c r="AK352" s="312"/>
      <x:c r="AL352" s="312"/>
      <x:c r="AM352" s="312"/>
      <x:c r="AN352" s="312"/>
      <x:c r="AO352" s="315" t="n">
        <x:f>COUNT(AB352,AD352,AF352,AH352,AJ352)</x:f>
        <x:v>0</x:v>
      </x:c>
      <x:c r="AP352" s="315" t="n">
        <x:f>SUM(AB352,AD352,AF352,AH352,AJ352)</x:f>
        <x:v>0</x:v>
      </x:c>
      <x:c r="AQ352" s="333" t="n">
        <x:f>AA352*AB352+AC352*AD352+AE352*AF352+AG352*AH352+AI352*AJ352</x:f>
        <x:v>0</x:v>
      </x:c>
      <x:c r="AR352" s="333" t="n">
        <x:f>IF(OR(J352="Strength",J352="Hypertrophy"),MAX(IF(AB352&gt;0,AA352*(1+AB352/30),0),IF(AD352&gt;0,AC352*(1+AD352/30),0),IF(AF352&gt;0,AE352*(1+AF352/30),0),IF(AH352&gt;0,AG352*(1+AH352/30),0),IF(AJ352&gt;0,AI352*(1+AJ352/30),0)),0)</x:f>
        <x:v>0</x:v>
      </x:c>
      <x:c r="AS352" s="315" t="str">
        <x:f>IF(AN352&lt;&gt;"Yes","Not logged",IF(AL352&gt;='Setup'!$B$14,"STOP / MODIFY",IF(Z352=0,"Complete",IF(OR(AO352=0,AK352=""),"Add set data + RIR",IF(AND(MAX(AB352,AD352,AF352,AH352,AJ352)&gt;=P352,AK352&gt;=Q352+1),"Progress",IF(OR(MAX(AB352,AD352,AF352,AH352,AJ352)&lt;O352,AK352&lt;Q352-1),"Regress","Hold"))))))</x:f>
        <x:v>Not logged</x:v>
      </x:c>
      <x:c r="AT352" s="335" t="n">
        <x:f>IF(OR(Z352=0,AN352&lt;&gt;"Yes",AO352=0,AK352=""),0,IF(AL352&gt;='Setup'!$B$14,-2*'Setup'!$B$11,IF(AND(MAX(AB352,AD352,AF352,AH352,AJ352)&gt;=P352,AK352&gt;=Q352+1),'Setup'!$B$10,IF(OR(MAX(AB352,AD352,AF352,AH352,AJ352)&lt;O352,AK352&lt;Q352-1),-'Setup'!$B$11,0))))</x:f>
        <x:v>0</x:v>
      </x:c>
      <x:c r="AU352" s="333" t="n">
        <x:f>IF(Z352=0,0,IF(AN352&lt;&gt;"Yes",Z352,IF(COUNT(AA352,AC352,AE352,AG352,AI352)=0,Z352,ROUND((MAX(AA352,AC352,AE352,AG352,AI352)*(1+AT352))/'Setup'!$B$9,0)*'Setup'!$B$9)))</x:f>
        <x:v>0</x:v>
      </x:c>
      <x:c r="AV352" s="336"/>
    </x:row>
    <x:row r="353">
      <x:c r="A353" s="310" t="n">
        <x:f>'Setup'!$B$3+(C353-1)*7+(D353-1)</x:f>
        <x:v>46287</x:v>
      </x:c>
      <x:c r="B353" s="311" t="str">
        <x:v>7|2|5</x:v>
      </x:c>
      <x:c r="C353" s="311" t="n">
        <x:v>7</x:v>
      </x:c>
      <x:c r="D353" s="311" t="n">
        <x:v>2</x:v>
      </x:c>
      <x:c r="E353" s="311" t="str">
        <x:v>Intensification</x:v>
      </x:c>
      <x:c r="F353" s="311" t="str">
        <x:v>Upper Strength</x:v>
      </x:c>
      <x:c r="G353" s="311" t="str">
        <x:v>Heavy press, pull, and carry</x:v>
      </x:c>
      <x:c r="H353" s="311" t="n">
        <x:v>5</x:v>
      </x:c>
      <x:c r="I353" s="311" t="str">
        <x:v>Barbell Row</x:v>
      </x:c>
      <x:c r="J353" s="311" t="str">
        <x:v>Strength</x:v>
      </x:c>
      <x:c r="K353" s="311" t="str">
        <x:v>Back</x:v>
      </x:c>
      <x:c r="L353" s="311" t="str">
        <x:v>Straight sets</x:v>
      </x:c>
      <x:c r="M353" s="311" t="str"/>
      <x:c r="N353" s="311" t="n">
        <x:v>4</x:v>
      </x:c>
      <x:c r="O353" s="311" t="n">
        <x:v>5</x:v>
      </x:c>
      <x:c r="P353" s="311" t="n">
        <x:v>7</x:v>
      </x:c>
      <x:c r="Q353" s="311" t="n">
        <x:v>1</x:v>
      </x:c>
      <x:c r="R353" s="311" t="n">
        <x:v>120</x:v>
      </x:c>
      <x:c r="S353" s="311" t="str">
        <x:v>2-1-1</x:v>
      </x:c>
      <x:c r="T353" s="330" t="n">
        <x:v>1</x:v>
      </x:c>
      <x:c r="U353" s="330" t="n">
        <x:v>0</x:v>
      </x:c>
      <x:c r="V353" s="331" t="str">
        <x:v>load × reps</x:v>
      </x:c>
      <x:c r="W353" s="332" t="str">
        <x:f>'Readiness'!K44</x:f>
      </x:c>
      <x:c r="X353" s="314" t="n">
        <x:f>'Readiness'!L44</x:f>
        <x:v>1</x:v>
      </x:c>
      <x:c r="Y353" s="315" t="n">
        <x:f>IF(J353="Mobility",N353,MAX(1,ROUND(N353*X353,0)))</x:f>
        <x:v>4</x:v>
      </x:c>
      <x:c r="Z353" s="333" t="n">
        <x:f>ROUND((IF(AU300&gt;0,AU300,IF(Z300&gt;0,Z300,'Setup'!$D$26))*T353)/'Setup'!$B$9,0)*'Setup'!$B$9</x:f>
        <x:v>0</x:v>
      </x:c>
      <x:c r="AA353" s="334"/>
      <x:c r="AB353" s="334"/>
      <x:c r="AC353" s="334"/>
      <x:c r="AD353" s="334"/>
      <x:c r="AE353" s="334"/>
      <x:c r="AF353" s="334"/>
      <x:c r="AG353" s="334"/>
      <x:c r="AH353" s="334"/>
      <x:c r="AI353" s="334"/>
      <x:c r="AJ353" s="312"/>
      <x:c r="AK353" s="312"/>
      <x:c r="AL353" s="312"/>
      <x:c r="AM353" s="312"/>
      <x:c r="AN353" s="312"/>
      <x:c r="AO353" s="315" t="n">
        <x:f>COUNT(AB353,AD353,AF353,AH353,AJ353)</x:f>
        <x:v>0</x:v>
      </x:c>
      <x:c r="AP353" s="315" t="n">
        <x:f>SUM(AB353,AD353,AF353,AH353,AJ353)</x:f>
        <x:v>0</x:v>
      </x:c>
      <x:c r="AQ353" s="333" t="n">
        <x:f>AA353*AB353+AC353*AD353+AE353*AF353+AG353*AH353+AI353*AJ353</x:f>
        <x:v>0</x:v>
      </x:c>
      <x:c r="AR353" s="333" t="n">
        <x:f>IF(OR(J353="Strength",J353="Hypertrophy"),MAX(IF(AB353&gt;0,AA353*(1+AB353/30),0),IF(AD353&gt;0,AC353*(1+AD353/30),0),IF(AF353&gt;0,AE353*(1+AF353/30),0),IF(AH353&gt;0,AG353*(1+AH353/30),0),IF(AJ353&gt;0,AI353*(1+AJ353/30),0)),0)</x:f>
        <x:v>0</x:v>
      </x:c>
      <x:c r="AS353" s="315" t="str">
        <x:f>IF(AN353&lt;&gt;"Yes","Not logged",IF(AL353&gt;='Setup'!$B$14,"STOP / MODIFY",IF(Z353=0,"Complete",IF(OR(AO353=0,AK353=""),"Add set data + RIR",IF(AND(MAX(AB353,AD353,AF353,AH353,AJ353)&gt;=P353,AK353&gt;=Q353+1),"Progress",IF(OR(MAX(AB353,AD353,AF353,AH353,AJ353)&lt;O353,AK353&lt;Q353-1),"Regress","Hold"))))))</x:f>
        <x:v>Not logged</x:v>
      </x:c>
      <x:c r="AT353" s="335" t="n">
        <x:f>IF(OR(Z353=0,AN353&lt;&gt;"Yes",AO353=0,AK353=""),0,IF(AL353&gt;='Setup'!$B$14,-2*'Setup'!$B$11,IF(AND(MAX(AB353,AD353,AF353,AH353,AJ353)&gt;=P353,AK353&gt;=Q353+1),'Setup'!$B$10,IF(OR(MAX(AB353,AD353,AF353,AH353,AJ353)&lt;O353,AK353&lt;Q353-1),-'Setup'!$B$11,0))))</x:f>
        <x:v>0</x:v>
      </x:c>
      <x:c r="AU353" s="333" t="n">
        <x:f>IF(Z353=0,0,IF(AN353&lt;&gt;"Yes",Z353,IF(COUNT(AA353,AC353,AE353,AG353,AI353)=0,Z353,ROUND((MAX(AA353,AC353,AE353,AG353,AI353)*(1+AT353))/'Setup'!$B$9,0)*'Setup'!$B$9)))</x:f>
        <x:v>0</x:v>
      </x:c>
      <x:c r="AV353" s="336"/>
    </x:row>
    <x:row r="354">
      <x:c r="A354" s="310" t="n">
        <x:f>'Setup'!$B$3+(C354-1)*7+(D354-1)</x:f>
        <x:v>46287</x:v>
      </x:c>
      <x:c r="B354" s="311" t="str">
        <x:v>7|2|6</x:v>
      </x:c>
      <x:c r="C354" s="311" t="n">
        <x:v>7</x:v>
      </x:c>
      <x:c r="D354" s="311" t="n">
        <x:v>2</x:v>
      </x:c>
      <x:c r="E354" s="311" t="str">
        <x:v>Intensification</x:v>
      </x:c>
      <x:c r="F354" s="311" t="str">
        <x:v>Upper Strength</x:v>
      </x:c>
      <x:c r="G354" s="311" t="str">
        <x:v>Heavy press, pull, and carry</x:v>
      </x:c>
      <x:c r="H354" s="311" t="n">
        <x:v>6</x:v>
      </x:c>
      <x:c r="I354" s="311" t="str">
        <x:v>Kettlebell Bottom-Up Carry</x:v>
      </x:c>
      <x:c r="J354" s="311" t="str">
        <x:v>Athletic</x:v>
      </x:c>
      <x:c r="K354" s="311" t="str">
        <x:v>Shoulders</x:v>
      </x:c>
      <x:c r="L354" s="311" t="str">
        <x:v>Stable wrist and stacked ribs</x:v>
      </x:c>
      <x:c r="M354" s="311" t="str"/>
      <x:c r="N354" s="311" t="n">
        <x:v>3</x:v>
      </x:c>
      <x:c r="O354" s="311" t="n">
        <x:v>20</x:v>
      </x:c>
      <x:c r="P354" s="311" t="n">
        <x:v>30</x:v>
      </x:c>
      <x:c r="Q354" s="311" t="n">
        <x:v>2</x:v>
      </x:c>
      <x:c r="R354" s="311" t="n">
        <x:v>60</x:v>
      </x:c>
      <x:c r="S354" s="311" t="str">
        <x:v>Controlled</x:v>
      </x:c>
      <x:c r="T354" s="330" t="n">
        <x:v>1</x:v>
      </x:c>
      <x:c r="U354" s="330" t="n">
        <x:v>0</x:v>
      </x:c>
      <x:c r="V354" s="331" t="str">
        <x:v>load + meters</x:v>
      </x:c>
      <x:c r="W354" s="332" t="str">
        <x:f>'Readiness'!K44</x:f>
      </x:c>
      <x:c r="X354" s="314" t="n">
        <x:f>'Readiness'!L44</x:f>
        <x:v>1</x:v>
      </x:c>
      <x:c r="Y354" s="315" t="n">
        <x:f>IF(J354="Mobility",N354,MAX(1,ROUND(N354*X354,0)))</x:f>
        <x:v>3</x:v>
      </x:c>
      <x:c r="Z354" s="333" t="n">
        <x:f>0</x:f>
        <x:v>0</x:v>
      </x:c>
      <x:c r="AA354" s="334"/>
      <x:c r="AB354" s="334"/>
      <x:c r="AC354" s="334"/>
      <x:c r="AD354" s="334"/>
      <x:c r="AE354" s="334"/>
      <x:c r="AF354" s="334"/>
      <x:c r="AG354" s="334"/>
      <x:c r="AH354" s="334"/>
      <x:c r="AI354" s="334"/>
      <x:c r="AJ354" s="312"/>
      <x:c r="AK354" s="312"/>
      <x:c r="AL354" s="312"/>
      <x:c r="AM354" s="312"/>
      <x:c r="AN354" s="312"/>
      <x:c r="AO354" s="315" t="n">
        <x:f>COUNT(AB354,AD354,AF354,AH354,AJ354)</x:f>
        <x:v>0</x:v>
      </x:c>
      <x:c r="AP354" s="315" t="n">
        <x:f>SUM(AB354,AD354,AF354,AH354,AJ354)</x:f>
        <x:v>0</x:v>
      </x:c>
      <x:c r="AQ354" s="333" t="n">
        <x:f>AA354*AB354+AC354*AD354+AE354*AF354+AG354*AH354+AI354*AJ354</x:f>
        <x:v>0</x:v>
      </x:c>
      <x:c r="AR354" s="333" t="n">
        <x:f>IF(OR(J354="Strength",J354="Hypertrophy"),MAX(IF(AB354&gt;0,AA354*(1+AB354/30),0),IF(AD354&gt;0,AC354*(1+AD354/30),0),IF(AF354&gt;0,AE354*(1+AF354/30),0),IF(AH354&gt;0,AG354*(1+AH354/30),0),IF(AJ354&gt;0,AI354*(1+AJ354/30),0)),0)</x:f>
        <x:v>0</x:v>
      </x:c>
      <x:c r="AS354" s="315" t="str">
        <x:f>IF(AN354&lt;&gt;"Yes","Not logged",IF(AL354&gt;='Setup'!$B$14,"STOP / MODIFY",IF(Z354=0,"Complete",IF(OR(AO354=0,AK354=""),"Add set data + RIR",IF(AND(MAX(AB354,AD354,AF354,AH354,AJ354)&gt;=P354,AK354&gt;=Q354+1),"Progress",IF(OR(MAX(AB354,AD354,AF354,AH354,AJ354)&lt;O354,AK354&lt;Q354-1),"Regress","Hold"))))))</x:f>
        <x:v>Not logged</x:v>
      </x:c>
      <x:c r="AT354" s="335" t="n">
        <x:f>IF(OR(Z354=0,AN354&lt;&gt;"Yes",AO354=0,AK354=""),0,IF(AL354&gt;='Setup'!$B$14,-2*'Setup'!$B$11,IF(AND(MAX(AB354,AD354,AF354,AH354,AJ354)&gt;=P354,AK354&gt;=Q354+1),'Setup'!$B$10,IF(OR(MAX(AB354,AD354,AF354,AH354,AJ354)&lt;O354,AK354&lt;Q354-1),-'Setup'!$B$11,0))))</x:f>
        <x:v>0</x:v>
      </x:c>
      <x:c r="AU354" s="333" t="n">
        <x:f>IF(Z354=0,0,IF(AN354&lt;&gt;"Yes",Z354,IF(COUNT(AA354,AC354,AE354,AG354,AI354)=0,Z354,ROUND((MAX(AA354,AC354,AE354,AG354,AI354)*(1+AT354))/'Setup'!$B$9,0)*'Setup'!$B$9)))</x:f>
        <x:v>0</x:v>
      </x:c>
      <x:c r="AV354" s="336"/>
    </x:row>
    <x:row r="355">
      <x:c r="A355" s="310" t="n">
        <x:f>'Setup'!$B$3+(C355-1)*7+(D355-1)</x:f>
        <x:v>46287</x:v>
      </x:c>
      <x:c r="B355" s="311" t="str">
        <x:v>7|2|7</x:v>
      </x:c>
      <x:c r="C355" s="311" t="n">
        <x:v>7</x:v>
      </x:c>
      <x:c r="D355" s="311" t="n">
        <x:v>2</x:v>
      </x:c>
      <x:c r="E355" s="311" t="str">
        <x:v>Intensification</x:v>
      </x:c>
      <x:c r="F355" s="311" t="str">
        <x:v>Upper Strength</x:v>
      </x:c>
      <x:c r="G355" s="311" t="str">
        <x:v>Heavy press, pull, and carry</x:v>
      </x:c>
      <x:c r="H355" s="311" t="n">
        <x:v>7</x:v>
      </x:c>
      <x:c r="I355" s="311" t="str">
        <x:v>Chest-Supported Dumbbell Row</x:v>
      </x:c>
      <x:c r="J355" s="311" t="str">
        <x:v>Hypertrophy</x:v>
      </x:c>
      <x:c r="K355" s="311" t="str">
        <x:v>Back</x:v>
      </x:c>
      <x:c r="L355" s="311" t="str">
        <x:v>Straight sets</x:v>
      </x:c>
      <x:c r="M355" s="311" t="str"/>
      <x:c r="N355" s="311" t="n">
        <x:v>3</x:v>
      </x:c>
      <x:c r="O355" s="311" t="n">
        <x:v>6</x:v>
      </x:c>
      <x:c r="P355" s="311" t="n">
        <x:v>8</x:v>
      </x:c>
      <x:c r="Q355" s="311" t="n">
        <x:v>1</x:v>
      </x:c>
      <x:c r="R355" s="311" t="n">
        <x:v>90</x:v>
      </x:c>
      <x:c r="S355" s="311" t="str">
        <x:v>2-1-1</x:v>
      </x:c>
      <x:c r="T355" s="330" t="n">
        <x:v>1</x:v>
      </x:c>
      <x:c r="U355" s="330" t="n">
        <x:v>0</x:v>
      </x:c>
      <x:c r="V355" s="331" t="str">
        <x:v>load × reps</x:v>
      </x:c>
      <x:c r="W355" s="332" t="str">
        <x:f>'Readiness'!K44</x:f>
      </x:c>
      <x:c r="X355" s="314" t="n">
        <x:f>'Readiness'!L44</x:f>
        <x:v>1</x:v>
      </x:c>
      <x:c r="Y355" s="315" t="n">
        <x:f>IF(J355="Mobility",N355,MAX(1,ROUND(N355*X355,0)))</x:f>
        <x:v>3</x:v>
      </x:c>
      <x:c r="Z355" s="333" t="n">
        <x:f>ROUND((IF(AU322&gt;0,AU322,IF(Z322&gt;0,Z322,'Setup'!$D$34))*T355)/'Setup'!$B$9,0)*'Setup'!$B$9</x:f>
        <x:v>0</x:v>
      </x:c>
      <x:c r="AA355" s="334"/>
      <x:c r="AB355" s="334"/>
      <x:c r="AC355" s="334"/>
      <x:c r="AD355" s="334"/>
      <x:c r="AE355" s="334"/>
      <x:c r="AF355" s="334"/>
      <x:c r="AG355" s="334"/>
      <x:c r="AH355" s="334"/>
      <x:c r="AI355" s="334"/>
      <x:c r="AJ355" s="312"/>
      <x:c r="AK355" s="312"/>
      <x:c r="AL355" s="312"/>
      <x:c r="AM355" s="312"/>
      <x:c r="AN355" s="312"/>
      <x:c r="AO355" s="315" t="n">
        <x:f>COUNT(AB355,AD355,AF355,AH355,AJ355)</x:f>
        <x:v>0</x:v>
      </x:c>
      <x:c r="AP355" s="315" t="n">
        <x:f>SUM(AB355,AD355,AF355,AH355,AJ355)</x:f>
        <x:v>0</x:v>
      </x:c>
      <x:c r="AQ355" s="333" t="n">
        <x:f>AA355*AB355+AC355*AD355+AE355*AF355+AG355*AH355+AI355*AJ355</x:f>
        <x:v>0</x:v>
      </x:c>
      <x:c r="AR355" s="333" t="n">
        <x:f>IF(OR(J355="Strength",J355="Hypertrophy"),MAX(IF(AB355&gt;0,AA355*(1+AB355/30),0),IF(AD355&gt;0,AC355*(1+AD355/30),0),IF(AF355&gt;0,AE355*(1+AF355/30),0),IF(AH355&gt;0,AG355*(1+AH355/30),0),IF(AJ355&gt;0,AI355*(1+AJ355/30),0)),0)</x:f>
        <x:v>0</x:v>
      </x:c>
      <x:c r="AS355" s="315" t="str">
        <x:f>IF(AN355&lt;&gt;"Yes","Not logged",IF(AL355&gt;='Setup'!$B$14,"STOP / MODIFY",IF(Z355=0,"Complete",IF(OR(AO355=0,AK355=""),"Add set data + RIR",IF(AND(MAX(AB355,AD355,AF355,AH355,AJ355)&gt;=P355,AK355&gt;=Q355+1),"Progress",IF(OR(MAX(AB355,AD355,AF355,AH355,AJ355)&lt;O355,AK355&lt;Q355-1),"Regress","Hold"))))))</x:f>
        <x:v>Not logged</x:v>
      </x:c>
      <x:c r="AT355" s="335" t="n">
        <x:f>IF(OR(Z355=0,AN355&lt;&gt;"Yes",AO355=0,AK355=""),0,IF(AL355&gt;='Setup'!$B$14,-2*'Setup'!$B$11,IF(AND(MAX(AB355,AD355,AF355,AH355,AJ355)&gt;=P355,AK355&gt;=Q355+1),'Setup'!$B$10,IF(OR(MAX(AB355,AD355,AF355,AH355,AJ355)&lt;O355,AK355&lt;Q355-1),-'Setup'!$B$11,0))))</x:f>
        <x:v>0</x:v>
      </x:c>
      <x:c r="AU355" s="333" t="n">
        <x:f>IF(Z355=0,0,IF(AN355&lt;&gt;"Yes",Z355,IF(COUNT(AA355,AC355,AE355,AG355,AI355)=0,Z355,ROUND((MAX(AA355,AC355,AE355,AG355,AI355)*(1+AT355))/'Setup'!$B$9,0)*'Setup'!$B$9)))</x:f>
        <x:v>0</x:v>
      </x:c>
      <x:c r="AV355" s="336"/>
    </x:row>
    <x:row r="356">
      <x:c r="A356" s="310" t="n">
        <x:f>'Setup'!$B$3+(C356-1)*7+(D356-1)</x:f>
        <x:v>46287</x:v>
      </x:c>
      <x:c r="B356" s="311" t="str">
        <x:v>7|2|8</x:v>
      </x:c>
      <x:c r="C356" s="311" t="n">
        <x:v>7</x:v>
      </x:c>
      <x:c r="D356" s="311" t="n">
        <x:v>2</x:v>
      </x:c>
      <x:c r="E356" s="311" t="str">
        <x:v>Intensification</x:v>
      </x:c>
      <x:c r="F356" s="311" t="str">
        <x:v>Upper Strength</x:v>
      </x:c>
      <x:c r="G356" s="311" t="str">
        <x:v>Heavy press, pull, and carry</x:v>
      </x:c>
      <x:c r="H356" s="311" t="n">
        <x:v>8</x:v>
      </x:c>
      <x:c r="I356" s="311" t="str">
        <x:v>Farmer Carry</x:v>
      </x:c>
      <x:c r="J356" s="311" t="str">
        <x:v>Athletic</x:v>
      </x:c>
      <x:c r="K356" s="311" t="str">
        <x:v>Full Body</x:v>
      </x:c>
      <x:c r="L356" s="311" t="str">
        <x:v>Tall posture, fast feet</x:v>
      </x:c>
      <x:c r="M356" s="311" t="str"/>
      <x:c r="N356" s="311" t="n">
        <x:v>4</x:v>
      </x:c>
      <x:c r="O356" s="311" t="n">
        <x:v>30</x:v>
      </x:c>
      <x:c r="P356" s="311" t="n">
        <x:v>40</x:v>
      </x:c>
      <x:c r="Q356" s="311" t="n">
        <x:v>2</x:v>
      </x:c>
      <x:c r="R356" s="311" t="n">
        <x:v>75</x:v>
      </x:c>
      <x:c r="S356" s="311" t="str">
        <x:v>Controlled</x:v>
      </x:c>
      <x:c r="T356" s="330" t="n">
        <x:v>1</x:v>
      </x:c>
      <x:c r="U356" s="330" t="n">
        <x:v>0</x:v>
      </x:c>
      <x:c r="V356" s="331" t="str">
        <x:v>load + meters</x:v>
      </x:c>
      <x:c r="W356" s="332" t="str">
        <x:f>'Readiness'!K44</x:f>
      </x:c>
      <x:c r="X356" s="314" t="n">
        <x:f>'Readiness'!L44</x:f>
        <x:v>1</x:v>
      </x:c>
      <x:c r="Y356" s="315" t="n">
        <x:f>IF(J356="Mobility",N356,MAX(1,ROUND(N356*X356,0)))</x:f>
        <x:v>4</x:v>
      </x:c>
      <x:c r="Z356" s="333" t="n">
        <x:f>0</x:f>
        <x:v>0</x:v>
      </x:c>
      <x:c r="AA356" s="334"/>
      <x:c r="AB356" s="334"/>
      <x:c r="AC356" s="334"/>
      <x:c r="AD356" s="334"/>
      <x:c r="AE356" s="334"/>
      <x:c r="AF356" s="334"/>
      <x:c r="AG356" s="334"/>
      <x:c r="AH356" s="334"/>
      <x:c r="AI356" s="334"/>
      <x:c r="AJ356" s="312"/>
      <x:c r="AK356" s="312"/>
      <x:c r="AL356" s="312"/>
      <x:c r="AM356" s="312"/>
      <x:c r="AN356" s="312"/>
      <x:c r="AO356" s="315" t="n">
        <x:f>COUNT(AB356,AD356,AF356,AH356,AJ356)</x:f>
        <x:v>0</x:v>
      </x:c>
      <x:c r="AP356" s="315" t="n">
        <x:f>SUM(AB356,AD356,AF356,AH356,AJ356)</x:f>
        <x:v>0</x:v>
      </x:c>
      <x:c r="AQ356" s="333" t="n">
        <x:f>AA356*AB356+AC356*AD356+AE356*AF356+AG356*AH356+AI356*AJ356</x:f>
        <x:v>0</x:v>
      </x:c>
      <x:c r="AR356" s="333" t="n">
        <x:f>IF(OR(J356="Strength",J356="Hypertrophy"),MAX(IF(AB356&gt;0,AA356*(1+AB356/30),0),IF(AD356&gt;0,AC356*(1+AD356/30),0),IF(AF356&gt;0,AE356*(1+AF356/30),0),IF(AH356&gt;0,AG356*(1+AH356/30),0),IF(AJ356&gt;0,AI356*(1+AJ356/30),0)),0)</x:f>
        <x:v>0</x:v>
      </x:c>
      <x:c r="AS356" s="315" t="str">
        <x:f>IF(AN356&lt;&gt;"Yes","Not logged",IF(AL356&gt;='Setup'!$B$14,"STOP / MODIFY",IF(Z356=0,"Complete",IF(OR(AO356=0,AK356=""),"Add set data + RIR",IF(AND(MAX(AB356,AD356,AF356,AH356,AJ356)&gt;=P356,AK356&gt;=Q356+1),"Progress",IF(OR(MAX(AB356,AD356,AF356,AH356,AJ356)&lt;O356,AK356&lt;Q356-1),"Regress","Hold"))))))</x:f>
        <x:v>Not logged</x:v>
      </x:c>
      <x:c r="AT356" s="335" t="n">
        <x:f>IF(OR(Z356=0,AN356&lt;&gt;"Yes",AO356=0,AK356=""),0,IF(AL356&gt;='Setup'!$B$14,-2*'Setup'!$B$11,IF(AND(MAX(AB356,AD356,AF356,AH356,AJ356)&gt;=P356,AK356&gt;=Q356+1),'Setup'!$B$10,IF(OR(MAX(AB356,AD356,AF356,AH356,AJ356)&lt;O356,AK356&lt;Q356-1),-'Setup'!$B$11,0))))</x:f>
        <x:v>0</x:v>
      </x:c>
      <x:c r="AU356" s="333" t="n">
        <x:f>IF(Z356=0,0,IF(AN356&lt;&gt;"Yes",Z356,IF(COUNT(AA356,AC356,AE356,AG356,AI356)=0,Z356,ROUND((MAX(AA356,AC356,AE356,AG356,AI356)*(1+AT356))/'Setup'!$B$9,0)*'Setup'!$B$9)))</x:f>
        <x:v>0</x:v>
      </x:c>
      <x:c r="AV356" s="336"/>
    </x:row>
    <x:row r="357">
      <x:c r="A357" s="310" t="n">
        <x:f>'Setup'!$B$3+(C357-1)*7+(D357-1)</x:f>
        <x:v>46287</x:v>
      </x:c>
      <x:c r="B357" s="311" t="str">
        <x:v>7|2|9</x:v>
      </x:c>
      <x:c r="C357" s="311" t="n">
        <x:v>7</x:v>
      </x:c>
      <x:c r="D357" s="311" t="n">
        <x:v>2</x:v>
      </x:c>
      <x:c r="E357" s="311" t="str">
        <x:v>Intensification</x:v>
      </x:c>
      <x:c r="F357" s="311" t="str">
        <x:v>Upper Strength</x:v>
      </x:c>
      <x:c r="G357" s="311" t="str">
        <x:v>Heavy press, pull, and carry</x:v>
      </x:c>
      <x:c r="H357" s="311" t="n">
        <x:v>9</x:v>
      </x:c>
      <x:c r="I357" s="311" t="str">
        <x:v>Shoulder CARs</x:v>
      </x:c>
      <x:c r="J357" s="311" t="str">
        <x:v>Mobility</x:v>
      </x:c>
      <x:c r="K357" s="311" t="str">
        <x:v>Shoulders</x:v>
      </x:c>
      <x:c r="L357" s="311" t="str">
        <x:v>Controlled articular rotation</x:v>
      </x:c>
      <x:c r="M357" s="311" t="str"/>
      <x:c r="N357" s="311" t="n">
        <x:v>2</x:v>
      </x:c>
      <x:c r="O357" s="311" t="n">
        <x:v>3</x:v>
      </x:c>
      <x:c r="P357" s="311" t="n">
        <x:v>5</x:v>
      </x:c>
      <x:c r="Q357" s="311" t="str"/>
      <x:c r="R357" s="311" t="n">
        <x:v>20</x:v>
      </x:c>
      <x:c r="S357" s="311" t="str">
        <x:v>Slow</x:v>
      </x:c>
      <x:c r="T357" s="330" t="n">
        <x:v>1</x:v>
      </x:c>
      <x:c r="U357" s="330" t="n">
        <x:v>0</x:v>
      </x:c>
      <x:c r="V357" s="331" t="str">
        <x:v>reps</x:v>
      </x:c>
      <x:c r="W357" s="332" t="str">
        <x:f>'Readiness'!K44</x:f>
      </x:c>
      <x:c r="X357" s="314" t="n">
        <x:f>'Readiness'!L44</x:f>
        <x:v>1</x:v>
      </x:c>
      <x:c r="Y357" s="315" t="n">
        <x:f>IF(J357="Mobility",N357,MAX(1,ROUND(N357*X357,0)))</x:f>
        <x:v>2</x:v>
      </x:c>
      <x:c r="Z357" s="333" t="n">
        <x:f>0</x:f>
        <x:v>0</x:v>
      </x:c>
      <x:c r="AA357" s="334"/>
      <x:c r="AB357" s="334"/>
      <x:c r="AC357" s="334"/>
      <x:c r="AD357" s="334"/>
      <x:c r="AE357" s="334"/>
      <x:c r="AF357" s="334"/>
      <x:c r="AG357" s="334"/>
      <x:c r="AH357" s="334"/>
      <x:c r="AI357" s="334"/>
      <x:c r="AJ357" s="312"/>
      <x:c r="AK357" s="312"/>
      <x:c r="AL357" s="312"/>
      <x:c r="AM357" s="312"/>
      <x:c r="AN357" s="312"/>
      <x:c r="AO357" s="315" t="n">
        <x:f>COUNT(AB357,AD357,AF357,AH357,AJ357)</x:f>
        <x:v>0</x:v>
      </x:c>
      <x:c r="AP357" s="315" t="n">
        <x:f>SUM(AB357,AD357,AF357,AH357,AJ357)</x:f>
        <x:v>0</x:v>
      </x:c>
      <x:c r="AQ357" s="333" t="n">
        <x:f>AA357*AB357+AC357*AD357+AE357*AF357+AG357*AH357+AI357*AJ357</x:f>
        <x:v>0</x:v>
      </x:c>
      <x:c r="AR357" s="333" t="n">
        <x:f>IF(OR(J357="Strength",J357="Hypertrophy"),MAX(IF(AB357&gt;0,AA357*(1+AB357/30),0),IF(AD357&gt;0,AC357*(1+AD357/30),0),IF(AF357&gt;0,AE357*(1+AF357/30),0),IF(AH357&gt;0,AG357*(1+AH357/30),0),IF(AJ357&gt;0,AI357*(1+AJ357/30),0)),0)</x:f>
        <x:v>0</x:v>
      </x:c>
      <x:c r="AS357" s="315" t="str">
        <x:f>IF(AN357&lt;&gt;"Yes","Not logged",IF(AL357&gt;='Setup'!$B$14,"STOP / MODIFY",IF(Z357=0,"Complete",IF(OR(AO357=0,AK357=""),"Add set data + RIR",IF(AND(MAX(AB357,AD357,AF357,AH357,AJ357)&gt;=P357,AK357&gt;=Q357+1),"Progress",IF(OR(MAX(AB357,AD357,AF357,AH357,AJ357)&lt;O357,AK357&lt;Q357-1),"Regress","Hold"))))))</x:f>
        <x:v>Not logged</x:v>
      </x:c>
      <x:c r="AT357" s="335" t="n">
        <x:f>IF(OR(Z357=0,AN357&lt;&gt;"Yes",AO357=0,AK357=""),0,IF(AL357&gt;='Setup'!$B$14,-2*'Setup'!$B$11,IF(AND(MAX(AB357,AD357,AF357,AH357,AJ357)&gt;=P357,AK357&gt;=Q357+1),'Setup'!$B$10,IF(OR(MAX(AB357,AD357,AF357,AH357,AJ357)&lt;O357,AK357&lt;Q357-1),-'Setup'!$B$11,0))))</x:f>
        <x:v>0</x:v>
      </x:c>
      <x:c r="AU357" s="333" t="n">
        <x:f>IF(Z357=0,0,IF(AN357&lt;&gt;"Yes",Z357,IF(COUNT(AA357,AC357,AE357,AG357,AI357)=0,Z357,ROUND((MAX(AA357,AC357,AE357,AG357,AI357)*(1+AT357))/'Setup'!$B$9,0)*'Setup'!$B$9)))</x:f>
        <x:v>0</x:v>
      </x:c>
      <x:c r="AV357" s="336"/>
    </x:row>
    <x:row r="358">
      <x:c r="A358" s="310" t="n">
        <x:f>'Setup'!$B$3+(C358-1)*7+(D358-1)</x:f>
        <x:v>46288</x:v>
      </x:c>
      <x:c r="B358" s="311" t="str">
        <x:v>7|3|1</x:v>
      </x:c>
      <x:c r="C358" s="311" t="n">
        <x:v>7</x:v>
      </x:c>
      <x:c r="D358" s="311" t="n">
        <x:v>3</x:v>
      </x:c>
      <x:c r="E358" s="311" t="str">
        <x:v>Intensification</x:v>
      </x:c>
      <x:c r="F358" s="311" t="str">
        <x:v>Legs Hypertrophy</x:v>
      </x:c>
      <x:c r="G358" s="311" t="str">
        <x:v>Quad, hamstring, and calf volume</x:v>
      </x:c>
      <x:c r="H358" s="311" t="n">
        <x:v>1</x:v>
      </x:c>
      <x:c r="I358" s="311" t="str">
        <x:v>Hack Squat</x:v>
      </x:c>
      <x:c r="J358" s="311" t="str">
        <x:v>Hypertrophy</x:v>
      </x:c>
      <x:c r="K358" s="311" t="str">
        <x:v>Quads</x:v>
      </x:c>
      <x:c r="L358" s="311" t="str">
        <x:v>Straight sets</x:v>
      </x:c>
      <x:c r="M358" s="311" t="str"/>
      <x:c r="N358" s="311" t="n">
        <x:v>4</x:v>
      </x:c>
      <x:c r="O358" s="311" t="n">
        <x:v>8</x:v>
      </x:c>
      <x:c r="P358" s="311" t="n">
        <x:v>12</x:v>
      </x:c>
      <x:c r="Q358" s="311" t="n">
        <x:v>1</x:v>
      </x:c>
      <x:c r="R358" s="311" t="n">
        <x:v>120</x:v>
      </x:c>
      <x:c r="S358" s="311" t="str">
        <x:v>3-1-1</x:v>
      </x:c>
      <x:c r="T358" s="330" t="n">
        <x:v>1</x:v>
      </x:c>
      <x:c r="U358" s="330" t="n">
        <x:v>0</x:v>
      </x:c>
      <x:c r="V358" s="331" t="str">
        <x:v>load × reps</x:v>
      </x:c>
      <x:c r="W358" s="332" t="str">
        <x:f>'Readiness'!K45</x:f>
      </x:c>
      <x:c r="X358" s="314" t="n">
        <x:f>'Readiness'!L45</x:f>
        <x:v>1</x:v>
      </x:c>
      <x:c r="Y358" s="315" t="n">
        <x:f>IF(J358="Mobility",N358,MAX(1,ROUND(N358*X358,0)))</x:f>
        <x:v>4</x:v>
      </x:c>
      <x:c r="Z358" s="333" t="n">
        <x:f>ROUND((IF(AU305&gt;0,AU305,IF(Z305&gt;0,Z305,'Setup'!$D$46))*T358)/'Setup'!$B$9,0)*'Setup'!$B$9</x:f>
        <x:v>0</x:v>
      </x:c>
      <x:c r="AA358" s="334"/>
      <x:c r="AB358" s="334"/>
      <x:c r="AC358" s="334"/>
      <x:c r="AD358" s="334"/>
      <x:c r="AE358" s="334"/>
      <x:c r="AF358" s="334"/>
      <x:c r="AG358" s="334"/>
      <x:c r="AH358" s="334"/>
      <x:c r="AI358" s="334"/>
      <x:c r="AJ358" s="312"/>
      <x:c r="AK358" s="312"/>
      <x:c r="AL358" s="312"/>
      <x:c r="AM358" s="312"/>
      <x:c r="AN358" s="312"/>
      <x:c r="AO358" s="315" t="n">
        <x:f>COUNT(AB358,AD358,AF358,AH358,AJ358)</x:f>
        <x:v>0</x:v>
      </x:c>
      <x:c r="AP358" s="315" t="n">
        <x:f>SUM(AB358,AD358,AF358,AH358,AJ358)</x:f>
        <x:v>0</x:v>
      </x:c>
      <x:c r="AQ358" s="333" t="n">
        <x:f>AA358*AB358+AC358*AD358+AE358*AF358+AG358*AH358+AI358*AJ358</x:f>
        <x:v>0</x:v>
      </x:c>
      <x:c r="AR358" s="333" t="n">
        <x:f>IF(OR(J358="Strength",J358="Hypertrophy"),MAX(IF(AB358&gt;0,AA358*(1+AB358/30),0),IF(AD358&gt;0,AC358*(1+AD358/30),0),IF(AF358&gt;0,AE358*(1+AF358/30),0),IF(AH358&gt;0,AG358*(1+AH358/30),0),IF(AJ358&gt;0,AI358*(1+AJ358/30),0)),0)</x:f>
        <x:v>0</x:v>
      </x:c>
      <x:c r="AS358" s="315" t="str">
        <x:f>IF(AN358&lt;&gt;"Yes","Not logged",IF(AL358&gt;='Setup'!$B$14,"STOP / MODIFY",IF(Z358=0,"Complete",IF(OR(AO358=0,AK358=""),"Add set data + RIR",IF(AND(MAX(AB358,AD358,AF358,AH358,AJ358)&gt;=P358,AK358&gt;=Q358+1),"Progress",IF(OR(MAX(AB358,AD358,AF358,AH358,AJ358)&lt;O358,AK358&lt;Q358-1),"Regress","Hold"))))))</x:f>
        <x:v>Not logged</x:v>
      </x:c>
      <x:c r="AT358" s="335" t="n">
        <x:f>IF(OR(Z358=0,AN358&lt;&gt;"Yes",AO358=0,AK358=""),0,IF(AL358&gt;='Setup'!$B$14,-2*'Setup'!$B$11,IF(AND(MAX(AB358,AD358,AF358,AH358,AJ358)&gt;=P358,AK358&gt;=Q358+1),'Setup'!$B$10,IF(OR(MAX(AB358,AD358,AF358,AH358,AJ358)&lt;O358,AK358&lt;Q358-1),-'Setup'!$B$11,0))))</x:f>
        <x:v>0</x:v>
      </x:c>
      <x:c r="AU358" s="333" t="n">
        <x:f>IF(Z358=0,0,IF(AN358&lt;&gt;"Yes",Z358,IF(COUNT(AA358,AC358,AE358,AG358,AI358)=0,Z358,ROUND((MAX(AA358,AC358,AE358,AG358,AI358)*(1+AT358))/'Setup'!$B$9,0)*'Setup'!$B$9)))</x:f>
        <x:v>0</x:v>
      </x:c>
      <x:c r="AV358" s="336"/>
    </x:row>
    <x:row r="359">
      <x:c r="A359" s="310" t="n">
        <x:f>'Setup'!$B$3+(C359-1)*7+(D359-1)</x:f>
        <x:v>46288</x:v>
      </x:c>
      <x:c r="B359" s="311" t="str">
        <x:v>7|3|2</x:v>
      </x:c>
      <x:c r="C359" s="311" t="n">
        <x:v>7</x:v>
      </x:c>
      <x:c r="D359" s="311" t="n">
        <x:v>3</x:v>
      </x:c>
      <x:c r="E359" s="311" t="str">
        <x:v>Intensification</x:v>
      </x:c>
      <x:c r="F359" s="311" t="str">
        <x:v>Legs Hypertrophy</x:v>
      </x:c>
      <x:c r="G359" s="311" t="str">
        <x:v>Quad, hamstring, and calf volume</x:v>
      </x:c>
      <x:c r="H359" s="311" t="n">
        <x:v>2</x:v>
      </x:c>
      <x:c r="I359" s="311" t="str">
        <x:v>Romanian Deadlift</x:v>
      </x:c>
      <x:c r="J359" s="311" t="str">
        <x:v>Hypertrophy</x:v>
      </x:c>
      <x:c r="K359" s="311" t="str">
        <x:v>Hamstrings</x:v>
      </x:c>
      <x:c r="L359" s="311" t="str">
        <x:v>Straight sets</x:v>
      </x:c>
      <x:c r="M359" s="311" t="str"/>
      <x:c r="N359" s="311" t="n">
        <x:v>4</x:v>
      </x:c>
      <x:c r="O359" s="311" t="n">
        <x:v>8</x:v>
      </x:c>
      <x:c r="P359" s="311" t="n">
        <x:v>10</x:v>
      </x:c>
      <x:c r="Q359" s="311" t="n">
        <x:v>1</x:v>
      </x:c>
      <x:c r="R359" s="311" t="n">
        <x:v>120</x:v>
      </x:c>
      <x:c r="S359" s="311" t="str">
        <x:v>3-1-1</x:v>
      </x:c>
      <x:c r="T359" s="330" t="n">
        <x:v>1</x:v>
      </x:c>
      <x:c r="U359" s="330" t="n">
        <x:v>0.58</x:v>
      </x:c>
      <x:c r="V359" s="331" t="str">
        <x:v>load × reps</x:v>
      </x:c>
      <x:c r="W359" s="332" t="str">
        <x:f>'Readiness'!K45</x:f>
      </x:c>
      <x:c r="X359" s="314" t="n">
        <x:f>'Readiness'!L45</x:f>
        <x:v>1</x:v>
      </x:c>
      <x:c r="Y359" s="315" t="n">
        <x:f>IF(J359="Mobility",N359,MAX(1,ROUND(N359*X359,0)))</x:f>
        <x:v>4</x:v>
      </x:c>
      <x:c r="Z359" s="333" t="n">
        <x:f>ROUND((IF(AU306&gt;0,AU306,IF(Z306&gt;0,Z306,'Setup'!$D$79))*T359)/'Setup'!$B$9,0)*'Setup'!$B$9</x:f>
        <x:v>0</x:v>
      </x:c>
      <x:c r="AA359" s="334"/>
      <x:c r="AB359" s="334"/>
      <x:c r="AC359" s="334"/>
      <x:c r="AD359" s="334"/>
      <x:c r="AE359" s="334"/>
      <x:c r="AF359" s="334"/>
      <x:c r="AG359" s="334"/>
      <x:c r="AH359" s="334"/>
      <x:c r="AI359" s="334"/>
      <x:c r="AJ359" s="312"/>
      <x:c r="AK359" s="312"/>
      <x:c r="AL359" s="312"/>
      <x:c r="AM359" s="312"/>
      <x:c r="AN359" s="312"/>
      <x:c r="AO359" s="315" t="n">
        <x:f>COUNT(AB359,AD359,AF359,AH359,AJ359)</x:f>
        <x:v>0</x:v>
      </x:c>
      <x:c r="AP359" s="315" t="n">
        <x:f>SUM(AB359,AD359,AF359,AH359,AJ359)</x:f>
        <x:v>0</x:v>
      </x:c>
      <x:c r="AQ359" s="333" t="n">
        <x:f>AA359*AB359+AC359*AD359+AE359*AF359+AG359*AH359+AI359*AJ359</x:f>
        <x:v>0</x:v>
      </x:c>
      <x:c r="AR359" s="333" t="n">
        <x:f>IF(OR(J359="Strength",J359="Hypertrophy"),MAX(IF(AB359&gt;0,AA359*(1+AB359/30),0),IF(AD359&gt;0,AC359*(1+AD359/30),0),IF(AF359&gt;0,AE359*(1+AF359/30),0),IF(AH359&gt;0,AG359*(1+AH359/30),0),IF(AJ359&gt;0,AI359*(1+AJ359/30),0)),0)</x:f>
        <x:v>0</x:v>
      </x:c>
      <x:c r="AS359" s="315" t="str">
        <x:f>IF(AN359&lt;&gt;"Yes","Not logged",IF(AL359&gt;='Setup'!$B$14,"STOP / MODIFY",IF(Z359=0,"Complete",IF(OR(AO359=0,AK359=""),"Add set data + RIR",IF(AND(MAX(AB359,AD359,AF359,AH359,AJ359)&gt;=P359,AK359&gt;=Q359+1),"Progress",IF(OR(MAX(AB359,AD359,AF359,AH359,AJ359)&lt;O359,AK359&lt;Q359-1),"Regress","Hold"))))))</x:f>
        <x:v>Not logged</x:v>
      </x:c>
      <x:c r="AT359" s="335" t="n">
        <x:f>IF(OR(Z359=0,AN359&lt;&gt;"Yes",AO359=0,AK359=""),0,IF(AL359&gt;='Setup'!$B$14,-2*'Setup'!$B$11,IF(AND(MAX(AB359,AD359,AF359,AH359,AJ359)&gt;=P359,AK359&gt;=Q359+1),'Setup'!$B$10,IF(OR(MAX(AB359,AD359,AF359,AH359,AJ359)&lt;O359,AK359&lt;Q359-1),-'Setup'!$B$11,0))))</x:f>
        <x:v>0</x:v>
      </x:c>
      <x:c r="AU359" s="333" t="n">
        <x:f>IF(Z359=0,0,IF(AN359&lt;&gt;"Yes",Z359,IF(COUNT(AA359,AC359,AE359,AG359,AI359)=0,Z359,ROUND((MAX(AA359,AC359,AE359,AG359,AI359)*(1+AT359))/'Setup'!$B$9,0)*'Setup'!$B$9)))</x:f>
        <x:v>0</x:v>
      </x:c>
      <x:c r="AV359" s="336"/>
    </x:row>
    <x:row r="360">
      <x:c r="A360" s="310" t="n">
        <x:f>'Setup'!$B$3+(C360-1)*7+(D360-1)</x:f>
        <x:v>46288</x:v>
      </x:c>
      <x:c r="B360" s="311" t="str">
        <x:v>7|3|3</x:v>
      </x:c>
      <x:c r="C360" s="311" t="n">
        <x:v>7</x:v>
      </x:c>
      <x:c r="D360" s="311" t="n">
        <x:v>3</x:v>
      </x:c>
      <x:c r="E360" s="311" t="str">
        <x:v>Intensification</x:v>
      </x:c>
      <x:c r="F360" s="311" t="str">
        <x:v>Legs Hypertrophy</x:v>
      </x:c>
      <x:c r="G360" s="311" t="str">
        <x:v>Quad, hamstring, and calf volume</x:v>
      </x:c>
      <x:c r="H360" s="311" t="n">
        <x:v>3</x:v>
      </x:c>
      <x:c r="I360" s="311" t="str">
        <x:v>Bulgarian Split Squat</x:v>
      </x:c>
      <x:c r="J360" s="311" t="str">
        <x:v>Hypertrophy</x:v>
      </x:c>
      <x:c r="K360" s="311" t="str">
        <x:v>Quads</x:v>
      </x:c>
      <x:c r="L360" s="311" t="str">
        <x:v>Straight sets</x:v>
      </x:c>
      <x:c r="M360" s="311" t="str"/>
      <x:c r="N360" s="311" t="n">
        <x:v>3</x:v>
      </x:c>
      <x:c r="O360" s="311" t="n">
        <x:v>10</x:v>
      </x:c>
      <x:c r="P360" s="311" t="n">
        <x:v>12</x:v>
      </x:c>
      <x:c r="Q360" s="311" t="n">
        <x:v>1</x:v>
      </x:c>
      <x:c r="R360" s="311" t="n">
        <x:v>90</x:v>
      </x:c>
      <x:c r="S360" s="311" t="str">
        <x:v>3-0-1</x:v>
      </x:c>
      <x:c r="T360" s="330" t="n">
        <x:v>1</x:v>
      </x:c>
      <x:c r="U360" s="330" t="n">
        <x:v>0</x:v>
      </x:c>
      <x:c r="V360" s="331" t="str">
        <x:v>load × reps</x:v>
      </x:c>
      <x:c r="W360" s="332" t="str">
        <x:f>'Readiness'!K45</x:f>
      </x:c>
      <x:c r="X360" s="314" t="n">
        <x:f>'Readiness'!L45</x:f>
        <x:v>1</x:v>
      </x:c>
      <x:c r="Y360" s="315" t="n">
        <x:f>IF(J360="Mobility",N360,MAX(1,ROUND(N360*X360,0)))</x:f>
        <x:v>3</x:v>
      </x:c>
      <x:c r="Z360" s="333" t="n">
        <x:f>ROUND((IF(AU307&gt;0,AU307,IF(Z307&gt;0,Z307,'Setup'!$D$30))*T360)/'Setup'!$B$9,0)*'Setup'!$B$9</x:f>
        <x:v>0</x:v>
      </x:c>
      <x:c r="AA360" s="334"/>
      <x:c r="AB360" s="334"/>
      <x:c r="AC360" s="334"/>
      <x:c r="AD360" s="334"/>
      <x:c r="AE360" s="334"/>
      <x:c r="AF360" s="334"/>
      <x:c r="AG360" s="334"/>
      <x:c r="AH360" s="334"/>
      <x:c r="AI360" s="334"/>
      <x:c r="AJ360" s="312"/>
      <x:c r="AK360" s="312"/>
      <x:c r="AL360" s="312"/>
      <x:c r="AM360" s="312"/>
      <x:c r="AN360" s="312"/>
      <x:c r="AO360" s="315" t="n">
        <x:f>COUNT(AB360,AD360,AF360,AH360,AJ360)</x:f>
        <x:v>0</x:v>
      </x:c>
      <x:c r="AP360" s="315" t="n">
        <x:f>SUM(AB360,AD360,AF360,AH360,AJ360)</x:f>
        <x:v>0</x:v>
      </x:c>
      <x:c r="AQ360" s="333" t="n">
        <x:f>AA360*AB360+AC360*AD360+AE360*AF360+AG360*AH360+AI360*AJ360</x:f>
        <x:v>0</x:v>
      </x:c>
      <x:c r="AR360" s="333" t="n">
        <x:f>IF(OR(J360="Strength",J360="Hypertrophy"),MAX(IF(AB360&gt;0,AA360*(1+AB360/30),0),IF(AD360&gt;0,AC360*(1+AD360/30),0),IF(AF360&gt;0,AE360*(1+AF360/30),0),IF(AH360&gt;0,AG360*(1+AH360/30),0),IF(AJ360&gt;0,AI360*(1+AJ360/30),0)),0)</x:f>
        <x:v>0</x:v>
      </x:c>
      <x:c r="AS360" s="315" t="str">
        <x:f>IF(AN360&lt;&gt;"Yes","Not logged",IF(AL360&gt;='Setup'!$B$14,"STOP / MODIFY",IF(Z360=0,"Complete",IF(OR(AO360=0,AK360=""),"Add set data + RIR",IF(AND(MAX(AB360,AD360,AF360,AH360,AJ360)&gt;=P360,AK360&gt;=Q360+1),"Progress",IF(OR(MAX(AB360,AD360,AF360,AH360,AJ360)&lt;O360,AK360&lt;Q360-1),"Regress","Hold"))))))</x:f>
        <x:v>Not logged</x:v>
      </x:c>
      <x:c r="AT360" s="335" t="n">
        <x:f>IF(OR(Z360=0,AN360&lt;&gt;"Yes",AO360=0,AK360=""),0,IF(AL360&gt;='Setup'!$B$14,-2*'Setup'!$B$11,IF(AND(MAX(AB360,AD360,AF360,AH360,AJ360)&gt;=P360,AK360&gt;=Q360+1),'Setup'!$B$10,IF(OR(MAX(AB360,AD360,AF360,AH360,AJ360)&lt;O360,AK360&lt;Q360-1),-'Setup'!$B$11,0))))</x:f>
        <x:v>0</x:v>
      </x:c>
      <x:c r="AU360" s="333" t="n">
        <x:f>IF(Z360=0,0,IF(AN360&lt;&gt;"Yes",Z360,IF(COUNT(AA360,AC360,AE360,AG360,AI360)=0,Z360,ROUND((MAX(AA360,AC360,AE360,AG360,AI360)*(1+AT360))/'Setup'!$B$9,0)*'Setup'!$B$9)))</x:f>
        <x:v>0</x:v>
      </x:c>
      <x:c r="AV360" s="336"/>
    </x:row>
    <x:row r="361">
      <x:c r="A361" s="310" t="n">
        <x:f>'Setup'!$B$3+(C361-1)*7+(D361-1)</x:f>
        <x:v>46288</x:v>
      </x:c>
      <x:c r="B361" s="311" t="str">
        <x:v>7|3|4</x:v>
      </x:c>
      <x:c r="C361" s="311" t="n">
        <x:v>7</x:v>
      </x:c>
      <x:c r="D361" s="311" t="n">
        <x:v>3</x:v>
      </x:c>
      <x:c r="E361" s="311" t="str">
        <x:v>Intensification</x:v>
      </x:c>
      <x:c r="F361" s="311" t="str">
        <x:v>Legs Hypertrophy</x:v>
      </x:c>
      <x:c r="G361" s="311" t="str">
        <x:v>Quad, hamstring, and calf volume</x:v>
      </x:c>
      <x:c r="H361" s="311" t="n">
        <x:v>4</x:v>
      </x:c>
      <x:c r="I361" s="311" t="str">
        <x:v>Lying Leg Curl</x:v>
      </x:c>
      <x:c r="J361" s="311" t="str">
        <x:v>Hypertrophy</x:v>
      </x:c>
      <x:c r="K361" s="311" t="str">
        <x:v>Hamstrings</x:v>
      </x:c>
      <x:c r="L361" s="311" t="str">
        <x:v>Straight sets</x:v>
      </x:c>
      <x:c r="M361" s="311" t="str"/>
      <x:c r="N361" s="311" t="n">
        <x:v>3</x:v>
      </x:c>
      <x:c r="O361" s="311" t="n">
        <x:v>10</x:v>
      </x:c>
      <x:c r="P361" s="311" t="n">
        <x:v>15</x:v>
      </x:c>
      <x:c r="Q361" s="311" t="n">
        <x:v>1</x:v>
      </x:c>
      <x:c r="R361" s="311" t="n">
        <x:v>60</x:v>
      </x:c>
      <x:c r="S361" s="311" t="str">
        <x:v>2-1-2</x:v>
      </x:c>
      <x:c r="T361" s="330" t="n">
        <x:v>1</x:v>
      </x:c>
      <x:c r="U361" s="330" t="n">
        <x:v>0</x:v>
      </x:c>
      <x:c r="V361" s="331" t="str">
        <x:v>load × reps</x:v>
      </x:c>
      <x:c r="W361" s="332" t="str">
        <x:f>'Readiness'!K45</x:f>
      </x:c>
      <x:c r="X361" s="314" t="n">
        <x:f>'Readiness'!L45</x:f>
        <x:v>1</x:v>
      </x:c>
      <x:c r="Y361" s="315" t="n">
        <x:f>IF(J361="Mobility",N361,MAX(1,ROUND(N361*X361,0)))</x:f>
        <x:v>3</x:v>
      </x:c>
      <x:c r="Z361" s="333" t="n">
        <x:f>ROUND((IF(AU308&gt;0,AU308,IF(Z308&gt;0,Z308,'Setup'!$D$59))*T361)/'Setup'!$B$9,0)*'Setup'!$B$9</x:f>
        <x:v>0</x:v>
      </x:c>
      <x:c r="AA361" s="334"/>
      <x:c r="AB361" s="334"/>
      <x:c r="AC361" s="334"/>
      <x:c r="AD361" s="334"/>
      <x:c r="AE361" s="334"/>
      <x:c r="AF361" s="334"/>
      <x:c r="AG361" s="334"/>
      <x:c r="AH361" s="334"/>
      <x:c r="AI361" s="334"/>
      <x:c r="AJ361" s="312"/>
      <x:c r="AK361" s="312"/>
      <x:c r="AL361" s="312"/>
      <x:c r="AM361" s="312"/>
      <x:c r="AN361" s="312"/>
      <x:c r="AO361" s="315" t="n">
        <x:f>COUNT(AB361,AD361,AF361,AH361,AJ361)</x:f>
        <x:v>0</x:v>
      </x:c>
      <x:c r="AP361" s="315" t="n">
        <x:f>SUM(AB361,AD361,AF361,AH361,AJ361)</x:f>
        <x:v>0</x:v>
      </x:c>
      <x:c r="AQ361" s="333" t="n">
        <x:f>AA361*AB361+AC361*AD361+AE361*AF361+AG361*AH361+AI361*AJ361</x:f>
        <x:v>0</x:v>
      </x:c>
      <x:c r="AR361" s="333" t="n">
        <x:f>IF(OR(J361="Strength",J361="Hypertrophy"),MAX(IF(AB361&gt;0,AA361*(1+AB361/30),0),IF(AD361&gt;0,AC361*(1+AD361/30),0),IF(AF361&gt;0,AE361*(1+AF361/30),0),IF(AH361&gt;0,AG361*(1+AH361/30),0),IF(AJ361&gt;0,AI361*(1+AJ361/30),0)),0)</x:f>
        <x:v>0</x:v>
      </x:c>
      <x:c r="AS361" s="315" t="str">
        <x:f>IF(AN361&lt;&gt;"Yes","Not logged",IF(AL361&gt;='Setup'!$B$14,"STOP / MODIFY",IF(Z361=0,"Complete",IF(OR(AO361=0,AK361=""),"Add set data + RIR",IF(AND(MAX(AB361,AD361,AF361,AH361,AJ361)&gt;=P361,AK361&gt;=Q361+1),"Progress",IF(OR(MAX(AB361,AD361,AF361,AH361,AJ361)&lt;O361,AK361&lt;Q361-1),"Regress","Hold"))))))</x:f>
        <x:v>Not logged</x:v>
      </x:c>
      <x:c r="AT361" s="335" t="n">
        <x:f>IF(OR(Z361=0,AN361&lt;&gt;"Yes",AO361=0,AK361=""),0,IF(AL361&gt;='Setup'!$B$14,-2*'Setup'!$B$11,IF(AND(MAX(AB361,AD361,AF361,AH361,AJ361)&gt;=P361,AK361&gt;=Q361+1),'Setup'!$B$10,IF(OR(MAX(AB361,AD361,AF361,AH361,AJ361)&lt;O361,AK361&lt;Q361-1),-'Setup'!$B$11,0))))</x:f>
        <x:v>0</x:v>
      </x:c>
      <x:c r="AU361" s="333" t="n">
        <x:f>IF(Z361=0,0,IF(AN361&lt;&gt;"Yes",Z361,IF(COUNT(AA361,AC361,AE361,AG361,AI361)=0,Z361,ROUND((MAX(AA361,AC361,AE361,AG361,AI361)*(1+AT361))/'Setup'!$B$9,0)*'Setup'!$B$9)))</x:f>
        <x:v>0</x:v>
      </x:c>
      <x:c r="AV361" s="336"/>
    </x:row>
    <x:row r="362">
      <x:c r="A362" s="310" t="n">
        <x:f>'Setup'!$B$3+(C362-1)*7+(D362-1)</x:f>
        <x:v>46288</x:v>
      </x:c>
      <x:c r="B362" s="311" t="str">
        <x:v>7|3|5</x:v>
      </x:c>
      <x:c r="C362" s="311" t="n">
        <x:v>7</x:v>
      </x:c>
      <x:c r="D362" s="311" t="n">
        <x:v>3</x:v>
      </x:c>
      <x:c r="E362" s="311" t="str">
        <x:v>Intensification</x:v>
      </x:c>
      <x:c r="F362" s="311" t="str">
        <x:v>Legs Hypertrophy</x:v>
      </x:c>
      <x:c r="G362" s="311" t="str">
        <x:v>Quad, hamstring, and calf volume</x:v>
      </x:c>
      <x:c r="H362" s="311" t="n">
        <x:v>5</x:v>
      </x:c>
      <x:c r="I362" s="311" t="str">
        <x:v>Leg Extension</x:v>
      </x:c>
      <x:c r="J362" s="311" t="str">
        <x:v>Hypertrophy</x:v>
      </x:c>
      <x:c r="K362" s="311" t="str">
        <x:v>Quads</x:v>
      </x:c>
      <x:c r="L362" s="311" t="str">
        <x:v>Final-set drop, reduce 20–25% once</x:v>
      </x:c>
      <x:c r="M362" s="311" t="str"/>
      <x:c r="N362" s="311" t="n">
        <x:v>3</x:v>
      </x:c>
      <x:c r="O362" s="311" t="n">
        <x:v>12</x:v>
      </x:c>
      <x:c r="P362" s="311" t="n">
        <x:v>20</x:v>
      </x:c>
      <x:c r="Q362" s="311" t="n">
        <x:v>1</x:v>
      </x:c>
      <x:c r="R362" s="311" t="n">
        <x:v>60</x:v>
      </x:c>
      <x:c r="S362" s="311" t="str">
        <x:v>2-1-2</x:v>
      </x:c>
      <x:c r="T362" s="330" t="n">
        <x:v>1</x:v>
      </x:c>
      <x:c r="U362" s="330" t="n">
        <x:v>0</x:v>
      </x:c>
      <x:c r="V362" s="331" t="str">
        <x:v>load × reps</x:v>
      </x:c>
      <x:c r="W362" s="332" t="str">
        <x:f>'Readiness'!K45</x:f>
      </x:c>
      <x:c r="X362" s="314" t="n">
        <x:f>'Readiness'!L45</x:f>
        <x:v>1</x:v>
      </x:c>
      <x:c r="Y362" s="315" t="n">
        <x:f>IF(J362="Mobility",N362,MAX(1,ROUND(N362*X362,0)))</x:f>
        <x:v>3</x:v>
      </x:c>
      <x:c r="Z362" s="333" t="n">
        <x:f>ROUND((IF(AU309&gt;0,AU309,IF(Z309&gt;0,Z309,'Setup'!$D$57))*T362)/'Setup'!$B$9,0)*'Setup'!$B$9</x:f>
        <x:v>0</x:v>
      </x:c>
      <x:c r="AA362" s="334"/>
      <x:c r="AB362" s="334"/>
      <x:c r="AC362" s="334"/>
      <x:c r="AD362" s="334"/>
      <x:c r="AE362" s="334"/>
      <x:c r="AF362" s="334"/>
      <x:c r="AG362" s="334"/>
      <x:c r="AH362" s="334"/>
      <x:c r="AI362" s="334"/>
      <x:c r="AJ362" s="312"/>
      <x:c r="AK362" s="312"/>
      <x:c r="AL362" s="312"/>
      <x:c r="AM362" s="312"/>
      <x:c r="AN362" s="312"/>
      <x:c r="AO362" s="315" t="n">
        <x:f>COUNT(AB362,AD362,AF362,AH362,AJ362)</x:f>
        <x:v>0</x:v>
      </x:c>
      <x:c r="AP362" s="315" t="n">
        <x:f>SUM(AB362,AD362,AF362,AH362,AJ362)</x:f>
        <x:v>0</x:v>
      </x:c>
      <x:c r="AQ362" s="333" t="n">
        <x:f>AA362*AB362+AC362*AD362+AE362*AF362+AG362*AH362+AI362*AJ362</x:f>
        <x:v>0</x:v>
      </x:c>
      <x:c r="AR362" s="333" t="n">
        <x:f>IF(OR(J362="Strength",J362="Hypertrophy"),MAX(IF(AB362&gt;0,AA362*(1+AB362/30),0),IF(AD362&gt;0,AC362*(1+AD362/30),0),IF(AF362&gt;0,AE362*(1+AF362/30),0),IF(AH362&gt;0,AG362*(1+AH362/30),0),IF(AJ362&gt;0,AI362*(1+AJ362/30),0)),0)</x:f>
        <x:v>0</x:v>
      </x:c>
      <x:c r="AS362" s="315" t="str">
        <x:f>IF(AN362&lt;&gt;"Yes","Not logged",IF(AL362&gt;='Setup'!$B$14,"STOP / MODIFY",IF(Z362=0,"Complete",IF(OR(AO362=0,AK362=""),"Add set data + RIR",IF(AND(MAX(AB362,AD362,AF362,AH362,AJ362)&gt;=P362,AK362&gt;=Q362+1),"Progress",IF(OR(MAX(AB362,AD362,AF362,AH362,AJ362)&lt;O362,AK362&lt;Q362-1),"Regress","Hold"))))))</x:f>
        <x:v>Not logged</x:v>
      </x:c>
      <x:c r="AT362" s="335" t="n">
        <x:f>IF(OR(Z362=0,AN362&lt;&gt;"Yes",AO362=0,AK362=""),0,IF(AL362&gt;='Setup'!$B$14,-2*'Setup'!$B$11,IF(AND(MAX(AB362,AD362,AF362,AH362,AJ362)&gt;=P362,AK362&gt;=Q362+1),'Setup'!$B$10,IF(OR(MAX(AB362,AD362,AF362,AH362,AJ362)&lt;O362,AK362&lt;Q362-1),-'Setup'!$B$11,0))))</x:f>
        <x:v>0</x:v>
      </x:c>
      <x:c r="AU362" s="333" t="n">
        <x:f>IF(Z362=0,0,IF(AN362&lt;&gt;"Yes",Z362,IF(COUNT(AA362,AC362,AE362,AG362,AI362)=0,Z362,ROUND((MAX(AA362,AC362,AE362,AG362,AI362)*(1+AT362))/'Setup'!$B$9,0)*'Setup'!$B$9)))</x:f>
        <x:v>0</x:v>
      </x:c>
      <x:c r="AV362" s="336"/>
    </x:row>
    <x:row r="363">
      <x:c r="A363" s="310" t="n">
        <x:f>'Setup'!$B$3+(C363-1)*7+(D363-1)</x:f>
        <x:v>46288</x:v>
      </x:c>
      <x:c r="B363" s="311" t="str">
        <x:v>7|3|6</x:v>
      </x:c>
      <x:c r="C363" s="311" t="n">
        <x:v>7</x:v>
      </x:c>
      <x:c r="D363" s="311" t="n">
        <x:v>3</x:v>
      </x:c>
      <x:c r="E363" s="311" t="str">
        <x:v>Intensification</x:v>
      </x:c>
      <x:c r="F363" s="311" t="str">
        <x:v>Legs Hypertrophy</x:v>
      </x:c>
      <x:c r="G363" s="311" t="str">
        <x:v>Quad, hamstring, and calf volume</x:v>
      </x:c>
      <x:c r="H363" s="311" t="n">
        <x:v>6</x:v>
      </x:c>
      <x:c r="I363" s="311" t="str">
        <x:v>Seated Calf Raise</x:v>
      </x:c>
      <x:c r="J363" s="311" t="str">
        <x:v>Hypertrophy</x:v>
      </x:c>
      <x:c r="K363" s="311" t="str">
        <x:v>Calves</x:v>
      </x:c>
      <x:c r="L363" s="311" t="str">
        <x:v>Myo-rep: activation set + 3 mini-sets</x:v>
      </x:c>
      <x:c r="M363" s="311" t="str"/>
      <x:c r="N363" s="311" t="n">
        <x:v>4</x:v>
      </x:c>
      <x:c r="O363" s="311" t="n">
        <x:v>12</x:v>
      </x:c>
      <x:c r="P363" s="311" t="n">
        <x:v>20</x:v>
      </x:c>
      <x:c r="Q363" s="311" t="n">
        <x:v>1</x:v>
      </x:c>
      <x:c r="R363" s="311" t="n">
        <x:v>60</x:v>
      </x:c>
      <x:c r="S363" s="311" t="str">
        <x:v>2-2-1</x:v>
      </x:c>
      <x:c r="T363" s="330" t="n">
        <x:v>1</x:v>
      </x:c>
      <x:c r="U363" s="330" t="n">
        <x:v>0</x:v>
      </x:c>
      <x:c r="V363" s="331" t="str">
        <x:v>load × reps</x:v>
      </x:c>
      <x:c r="W363" s="332" t="str">
        <x:f>'Readiness'!K45</x:f>
      </x:c>
      <x:c r="X363" s="314" t="n">
        <x:f>'Readiness'!L45</x:f>
        <x:v>1</x:v>
      </x:c>
      <x:c r="Y363" s="315" t="n">
        <x:f>IF(J363="Mobility",N363,MAX(1,ROUND(N363*X363,0)))</x:f>
        <x:v>4</x:v>
      </x:c>
      <x:c r="Z363" s="333" t="n">
        <x:f>ROUND((IF(AU310&gt;0,AU310,IF(Z310&gt;0,Z310,'Setup'!$D$82))*T363)/'Setup'!$B$9,0)*'Setup'!$B$9</x:f>
        <x:v>0</x:v>
      </x:c>
      <x:c r="AA363" s="334"/>
      <x:c r="AB363" s="334"/>
      <x:c r="AC363" s="334"/>
      <x:c r="AD363" s="334"/>
      <x:c r="AE363" s="334"/>
      <x:c r="AF363" s="334"/>
      <x:c r="AG363" s="334"/>
      <x:c r="AH363" s="334"/>
      <x:c r="AI363" s="334"/>
      <x:c r="AJ363" s="312"/>
      <x:c r="AK363" s="312"/>
      <x:c r="AL363" s="312"/>
      <x:c r="AM363" s="312"/>
      <x:c r="AN363" s="312"/>
      <x:c r="AO363" s="315" t="n">
        <x:f>COUNT(AB363,AD363,AF363,AH363,AJ363)</x:f>
        <x:v>0</x:v>
      </x:c>
      <x:c r="AP363" s="315" t="n">
        <x:f>SUM(AB363,AD363,AF363,AH363,AJ363)</x:f>
        <x:v>0</x:v>
      </x:c>
      <x:c r="AQ363" s="333" t="n">
        <x:f>AA363*AB363+AC363*AD363+AE363*AF363+AG363*AH363+AI363*AJ363</x:f>
        <x:v>0</x:v>
      </x:c>
      <x:c r="AR363" s="333" t="n">
        <x:f>IF(OR(J363="Strength",J363="Hypertrophy"),MAX(IF(AB363&gt;0,AA363*(1+AB363/30),0),IF(AD363&gt;0,AC363*(1+AD363/30),0),IF(AF363&gt;0,AE363*(1+AF363/30),0),IF(AH363&gt;0,AG363*(1+AH363/30),0),IF(AJ363&gt;0,AI363*(1+AJ363/30),0)),0)</x:f>
        <x:v>0</x:v>
      </x:c>
      <x:c r="AS363" s="315" t="str">
        <x:f>IF(AN363&lt;&gt;"Yes","Not logged",IF(AL363&gt;='Setup'!$B$14,"STOP / MODIFY",IF(Z363=0,"Complete",IF(OR(AO363=0,AK363=""),"Add set data + RIR",IF(AND(MAX(AB363,AD363,AF363,AH363,AJ363)&gt;=P363,AK363&gt;=Q363+1),"Progress",IF(OR(MAX(AB363,AD363,AF363,AH363,AJ363)&lt;O363,AK363&lt;Q363-1),"Regress","Hold"))))))</x:f>
        <x:v>Not logged</x:v>
      </x:c>
      <x:c r="AT363" s="335" t="n">
        <x:f>IF(OR(Z363=0,AN363&lt;&gt;"Yes",AO363=0,AK363=""),0,IF(AL363&gt;='Setup'!$B$14,-2*'Setup'!$B$11,IF(AND(MAX(AB363,AD363,AF363,AH363,AJ363)&gt;=P363,AK363&gt;=Q363+1),'Setup'!$B$10,IF(OR(MAX(AB363,AD363,AF363,AH363,AJ363)&lt;O363,AK363&lt;Q363-1),-'Setup'!$B$11,0))))</x:f>
        <x:v>0</x:v>
      </x:c>
      <x:c r="AU363" s="333" t="n">
        <x:f>IF(Z363=0,0,IF(AN363&lt;&gt;"Yes",Z363,IF(COUNT(AA363,AC363,AE363,AG363,AI363)=0,Z363,ROUND((MAX(AA363,AC363,AE363,AG363,AI363)*(1+AT363))/'Setup'!$B$9,0)*'Setup'!$B$9)))</x:f>
        <x:v>0</x:v>
      </x:c>
      <x:c r="AV363" s="336"/>
    </x:row>
    <x:row r="364">
      <x:c r="A364" s="310" t="n">
        <x:f>'Setup'!$B$3+(C364-1)*7+(D364-1)</x:f>
        <x:v>46288</x:v>
      </x:c>
      <x:c r="B364" s="311" t="str">
        <x:v>7|3|7</x:v>
      </x:c>
      <x:c r="C364" s="311" t="n">
        <x:v>7</x:v>
      </x:c>
      <x:c r="D364" s="311" t="n">
        <x:v>3</x:v>
      </x:c>
      <x:c r="E364" s="311" t="str">
        <x:v>Intensification</x:v>
      </x:c>
      <x:c r="F364" s="311" t="str">
        <x:v>Legs Hypertrophy</x:v>
      </x:c>
      <x:c r="G364" s="311" t="str">
        <x:v>Quad, hamstring, and calf volume</x:v>
      </x:c>
      <x:c r="H364" s="311" t="n">
        <x:v>7</x:v>
      </x:c>
      <x:c r="I364" s="311" t="str">
        <x:v>Cable Hip Adduction</x:v>
      </x:c>
      <x:c r="J364" s="311" t="str">
        <x:v>Hypertrophy</x:v>
      </x:c>
      <x:c r="K364" s="311" t="str">
        <x:v>Adductors</x:v>
      </x:c>
      <x:c r="L364" s="311" t="str">
        <x:v>Straight sets</x:v>
      </x:c>
      <x:c r="M364" s="311" t="str"/>
      <x:c r="N364" s="311" t="n">
        <x:v>3</x:v>
      </x:c>
      <x:c r="O364" s="311" t="n">
        <x:v>12</x:v>
      </x:c>
      <x:c r="P364" s="311" t="n">
        <x:v>20</x:v>
      </x:c>
      <x:c r="Q364" s="311" t="n">
        <x:v>1</x:v>
      </x:c>
      <x:c r="R364" s="311" t="n">
        <x:v>45</x:v>
      </x:c>
      <x:c r="S364" s="311" t="str">
        <x:v>2-1-2</x:v>
      </x:c>
      <x:c r="T364" s="330" t="n">
        <x:v>1</x:v>
      </x:c>
      <x:c r="U364" s="330" t="n">
        <x:v>0</x:v>
      </x:c>
      <x:c r="V364" s="331" t="str">
        <x:v>load × reps</x:v>
      </x:c>
      <x:c r="W364" s="332" t="str">
        <x:f>'Readiness'!K45</x:f>
      </x:c>
      <x:c r="X364" s="314" t="n">
        <x:f>'Readiness'!L45</x:f>
        <x:v>1</x:v>
      </x:c>
      <x:c r="Y364" s="315" t="n">
        <x:f>IF(J364="Mobility",N364,MAX(1,ROUND(N364*X364,0)))</x:f>
        <x:v>3</x:v>
      </x:c>
      <x:c r="Z364" s="333" t="n">
        <x:f>ROUND((IF(AU311&gt;0,AU311,IF(Z311&gt;0,Z311,'Setup'!$D$32))*T364)/'Setup'!$B$9,0)*'Setup'!$B$9</x:f>
        <x:v>0</x:v>
      </x:c>
      <x:c r="AA364" s="334"/>
      <x:c r="AB364" s="334"/>
      <x:c r="AC364" s="334"/>
      <x:c r="AD364" s="334"/>
      <x:c r="AE364" s="334"/>
      <x:c r="AF364" s="334"/>
      <x:c r="AG364" s="334"/>
      <x:c r="AH364" s="334"/>
      <x:c r="AI364" s="334"/>
      <x:c r="AJ364" s="312"/>
      <x:c r="AK364" s="312"/>
      <x:c r="AL364" s="312"/>
      <x:c r="AM364" s="312"/>
      <x:c r="AN364" s="312"/>
      <x:c r="AO364" s="315" t="n">
        <x:f>COUNT(AB364,AD364,AF364,AH364,AJ364)</x:f>
        <x:v>0</x:v>
      </x:c>
      <x:c r="AP364" s="315" t="n">
        <x:f>SUM(AB364,AD364,AF364,AH364,AJ364)</x:f>
        <x:v>0</x:v>
      </x:c>
      <x:c r="AQ364" s="333" t="n">
        <x:f>AA364*AB364+AC364*AD364+AE364*AF364+AG364*AH364+AI364*AJ364</x:f>
        <x:v>0</x:v>
      </x:c>
      <x:c r="AR364" s="333" t="n">
        <x:f>IF(OR(J364="Strength",J364="Hypertrophy"),MAX(IF(AB364&gt;0,AA364*(1+AB364/30),0),IF(AD364&gt;0,AC364*(1+AD364/30),0),IF(AF364&gt;0,AE364*(1+AF364/30),0),IF(AH364&gt;0,AG364*(1+AH364/30),0),IF(AJ364&gt;0,AI364*(1+AJ364/30),0)),0)</x:f>
        <x:v>0</x:v>
      </x:c>
      <x:c r="AS364" s="315" t="str">
        <x:f>IF(AN364&lt;&gt;"Yes","Not logged",IF(AL364&gt;='Setup'!$B$14,"STOP / MODIFY",IF(Z364=0,"Complete",IF(OR(AO364=0,AK364=""),"Add set data + RIR",IF(AND(MAX(AB364,AD364,AF364,AH364,AJ364)&gt;=P364,AK364&gt;=Q364+1),"Progress",IF(OR(MAX(AB364,AD364,AF364,AH364,AJ364)&lt;O364,AK364&lt;Q364-1),"Regress","Hold"))))))</x:f>
        <x:v>Not logged</x:v>
      </x:c>
      <x:c r="AT364" s="335" t="n">
        <x:f>IF(OR(Z364=0,AN364&lt;&gt;"Yes",AO364=0,AK364=""),0,IF(AL364&gt;='Setup'!$B$14,-2*'Setup'!$B$11,IF(AND(MAX(AB364,AD364,AF364,AH364,AJ364)&gt;=P364,AK364&gt;=Q364+1),'Setup'!$B$10,IF(OR(MAX(AB364,AD364,AF364,AH364,AJ364)&lt;O364,AK364&lt;Q364-1),-'Setup'!$B$11,0))))</x:f>
        <x:v>0</x:v>
      </x:c>
      <x:c r="AU364" s="333" t="n">
        <x:f>IF(Z364=0,0,IF(AN364&lt;&gt;"Yes",Z364,IF(COUNT(AA364,AC364,AE364,AG364,AI364)=0,Z364,ROUND((MAX(AA364,AC364,AE364,AG364,AI364)*(1+AT364))/'Setup'!$B$9,0)*'Setup'!$B$9)))</x:f>
        <x:v>0</x:v>
      </x:c>
      <x:c r="AV364" s="336"/>
    </x:row>
    <x:row r="365">
      <x:c r="A365" s="310" t="n">
        <x:f>'Setup'!$B$3+(C365-1)*7+(D365-1)</x:f>
        <x:v>46288</x:v>
      </x:c>
      <x:c r="B365" s="311" t="str">
        <x:v>7|3|8</x:v>
      </x:c>
      <x:c r="C365" s="311" t="n">
        <x:v>7</x:v>
      </x:c>
      <x:c r="D365" s="311" t="n">
        <x:v>3</x:v>
      </x:c>
      <x:c r="E365" s="311" t="str">
        <x:v>Intensification</x:v>
      </x:c>
      <x:c r="F365" s="311" t="str">
        <x:v>Legs Hypertrophy</x:v>
      </x:c>
      <x:c r="G365" s="311" t="str">
        <x:v>Quad, hamstring, and calf volume</x:v>
      </x:c>
      <x:c r="H365" s="311" t="n">
        <x:v>8</x:v>
      </x:c>
      <x:c r="I365" s="311" t="str">
        <x:v>Couch Stretch</x:v>
      </x:c>
      <x:c r="J365" s="311" t="str">
        <x:v>Mobility</x:v>
      </x:c>
      <x:c r="K365" s="311" t="str">
        <x:v>Hips</x:v>
      </x:c>
      <x:c r="L365" s="311" t="str">
        <x:v>Relaxed breathing</x:v>
      </x:c>
      <x:c r="M365" s="311" t="str"/>
      <x:c r="N365" s="311" t="n">
        <x:v>2</x:v>
      </x:c>
      <x:c r="O365" s="311" t="n">
        <x:v>30</x:v>
      </x:c>
      <x:c r="P365" s="311" t="n">
        <x:v>45</x:v>
      </x:c>
      <x:c r="Q365" s="311" t="str"/>
      <x:c r="R365" s="311" t="n">
        <x:v>20</x:v>
      </x:c>
      <x:c r="S365" s="311" t="str">
        <x:v>Hold</x:v>
      </x:c>
      <x:c r="T365" s="330" t="n">
        <x:v>1</x:v>
      </x:c>
      <x:c r="U365" s="330" t="n">
        <x:v>0</x:v>
      </x:c>
      <x:c r="V365" s="331" t="str">
        <x:v>seconds</x:v>
      </x:c>
      <x:c r="W365" s="332" t="str">
        <x:f>'Readiness'!K45</x:f>
      </x:c>
      <x:c r="X365" s="314" t="n">
        <x:f>'Readiness'!L45</x:f>
        <x:v>1</x:v>
      </x:c>
      <x:c r="Y365" s="315" t="n">
        <x:f>IF(J365="Mobility",N365,MAX(1,ROUND(N365*X365,0)))</x:f>
        <x:v>2</x:v>
      </x:c>
      <x:c r="Z365" s="333" t="n">
        <x:f>0</x:f>
        <x:v>0</x:v>
      </x:c>
      <x:c r="AA365" s="334"/>
      <x:c r="AB365" s="334"/>
      <x:c r="AC365" s="334"/>
      <x:c r="AD365" s="334"/>
      <x:c r="AE365" s="334"/>
      <x:c r="AF365" s="334"/>
      <x:c r="AG365" s="334"/>
      <x:c r="AH365" s="334"/>
      <x:c r="AI365" s="334"/>
      <x:c r="AJ365" s="312"/>
      <x:c r="AK365" s="312"/>
      <x:c r="AL365" s="312"/>
      <x:c r="AM365" s="312"/>
      <x:c r="AN365" s="312"/>
      <x:c r="AO365" s="315" t="n">
        <x:f>COUNT(AB365,AD365,AF365,AH365,AJ365)</x:f>
        <x:v>0</x:v>
      </x:c>
      <x:c r="AP365" s="315" t="n">
        <x:f>SUM(AB365,AD365,AF365,AH365,AJ365)</x:f>
        <x:v>0</x:v>
      </x:c>
      <x:c r="AQ365" s="333" t="n">
        <x:f>AA365*AB365+AC365*AD365+AE365*AF365+AG365*AH365+AI365*AJ365</x:f>
        <x:v>0</x:v>
      </x:c>
      <x:c r="AR365" s="333" t="n">
        <x:f>IF(OR(J365="Strength",J365="Hypertrophy"),MAX(IF(AB365&gt;0,AA365*(1+AB365/30),0),IF(AD365&gt;0,AC365*(1+AD365/30),0),IF(AF365&gt;0,AE365*(1+AF365/30),0),IF(AH365&gt;0,AG365*(1+AH365/30),0),IF(AJ365&gt;0,AI365*(1+AJ365/30),0)),0)</x:f>
        <x:v>0</x:v>
      </x:c>
      <x:c r="AS365" s="315" t="str">
        <x:f>IF(AN365&lt;&gt;"Yes","Not logged",IF(AL365&gt;='Setup'!$B$14,"STOP / MODIFY",IF(Z365=0,"Complete",IF(OR(AO365=0,AK365=""),"Add set data + RIR",IF(AND(MAX(AB365,AD365,AF365,AH365,AJ365)&gt;=P365,AK365&gt;=Q365+1),"Progress",IF(OR(MAX(AB365,AD365,AF365,AH365,AJ365)&lt;O365,AK365&lt;Q365-1),"Regress","Hold"))))))</x:f>
        <x:v>Not logged</x:v>
      </x:c>
      <x:c r="AT365" s="335" t="n">
        <x:f>IF(OR(Z365=0,AN365&lt;&gt;"Yes",AO365=0,AK365=""),0,IF(AL365&gt;='Setup'!$B$14,-2*'Setup'!$B$11,IF(AND(MAX(AB365,AD365,AF365,AH365,AJ365)&gt;=P365,AK365&gt;=Q365+1),'Setup'!$B$10,IF(OR(MAX(AB365,AD365,AF365,AH365,AJ365)&lt;O365,AK365&lt;Q365-1),-'Setup'!$B$11,0))))</x:f>
        <x:v>0</x:v>
      </x:c>
      <x:c r="AU365" s="333" t="n">
        <x:f>IF(Z365=0,0,IF(AN365&lt;&gt;"Yes",Z365,IF(COUNT(AA365,AC365,AE365,AG365,AI365)=0,Z365,ROUND((MAX(AA365,AC365,AE365,AG365,AI365)*(1+AT365))/'Setup'!$B$9,0)*'Setup'!$B$9)))</x:f>
        <x:v>0</x:v>
      </x:c>
      <x:c r="AV365" s="336"/>
    </x:row>
    <x:row r="366">
      <x:c r="A366" s="310" t="n">
        <x:f>'Setup'!$B$3+(C366-1)*7+(D366-1)</x:f>
        <x:v>46289</x:v>
      </x:c>
      <x:c r="B366" s="311" t="str">
        <x:v>7|4|1</x:v>
      </x:c>
      <x:c r="C366" s="311" t="n">
        <x:v>7</x:v>
      </x:c>
      <x:c r="D366" s="311" t="n">
        <x:v>4</x:v>
      </x:c>
      <x:c r="E366" s="311" t="str">
        <x:v>Intensification</x:v>
      </x:c>
      <x:c r="F366" s="311" t="str">
        <x:v>Push Hypertrophy</x:v>
      </x:c>
      <x:c r="G366" s="311" t="str">
        <x:v>Chest, delts, and triceps volume</x:v>
      </x:c>
      <x:c r="H366" s="311" t="n">
        <x:v>1</x:v>
      </x:c>
      <x:c r="I366" s="311" t="str">
        <x:v>Incline Dumbbell Bench Press</x:v>
      </x:c>
      <x:c r="J366" s="311" t="str">
        <x:v>Hypertrophy</x:v>
      </x:c>
      <x:c r="K366" s="311" t="str">
        <x:v>Chest</x:v>
      </x:c>
      <x:c r="L366" s="311" t="str">
        <x:v>Straight sets</x:v>
      </x:c>
      <x:c r="M366" s="311" t="str"/>
      <x:c r="N366" s="311" t="n">
        <x:v>4</x:v>
      </x:c>
      <x:c r="O366" s="311" t="n">
        <x:v>8</x:v>
      </x:c>
      <x:c r="P366" s="311" t="n">
        <x:v>12</x:v>
      </x:c>
      <x:c r="Q366" s="311" t="n">
        <x:v>1</x:v>
      </x:c>
      <x:c r="R366" s="311" t="n">
        <x:v>90</x:v>
      </x:c>
      <x:c r="S366" s="311" t="str">
        <x:v>3-0-1</x:v>
      </x:c>
      <x:c r="T366" s="330" t="n">
        <x:v>1</x:v>
      </x:c>
      <x:c r="U366" s="330" t="n">
        <x:v>0</x:v>
      </x:c>
      <x:c r="V366" s="331" t="str">
        <x:v>load × reps</x:v>
      </x:c>
      <x:c r="W366" s="332" t="str">
        <x:f>'Readiness'!K46</x:f>
      </x:c>
      <x:c r="X366" s="314" t="n">
        <x:f>'Readiness'!L46</x:f>
        <x:v>1</x:v>
      </x:c>
      <x:c r="Y366" s="315" t="n">
        <x:f>IF(J366="Mobility",N366,MAX(1,ROUND(N366*X366,0)))</x:f>
        <x:v>4</x:v>
      </x:c>
      <x:c r="Z366" s="333" t="n">
        <x:f>ROUND((IF(AU313&gt;0,AU313,IF(Z313&gt;0,Z313,'Setup'!$D$50))*T366)/'Setup'!$B$9,0)*'Setup'!$B$9</x:f>
        <x:v>0</x:v>
      </x:c>
      <x:c r="AA366" s="334"/>
      <x:c r="AB366" s="334"/>
      <x:c r="AC366" s="334"/>
      <x:c r="AD366" s="334"/>
      <x:c r="AE366" s="334"/>
      <x:c r="AF366" s="334"/>
      <x:c r="AG366" s="334"/>
      <x:c r="AH366" s="334"/>
      <x:c r="AI366" s="334"/>
      <x:c r="AJ366" s="312"/>
      <x:c r="AK366" s="312"/>
      <x:c r="AL366" s="312"/>
      <x:c r="AM366" s="312"/>
      <x:c r="AN366" s="312"/>
      <x:c r="AO366" s="315" t="n">
        <x:f>COUNT(AB366,AD366,AF366,AH366,AJ366)</x:f>
        <x:v>0</x:v>
      </x:c>
      <x:c r="AP366" s="315" t="n">
        <x:f>SUM(AB366,AD366,AF366,AH366,AJ366)</x:f>
        <x:v>0</x:v>
      </x:c>
      <x:c r="AQ366" s="333" t="n">
        <x:f>AA366*AB366+AC366*AD366+AE366*AF366+AG366*AH366+AI366*AJ366</x:f>
        <x:v>0</x:v>
      </x:c>
      <x:c r="AR366" s="333" t="n">
        <x:f>IF(OR(J366="Strength",J366="Hypertrophy"),MAX(IF(AB366&gt;0,AA366*(1+AB366/30),0),IF(AD366&gt;0,AC366*(1+AD366/30),0),IF(AF366&gt;0,AE366*(1+AF366/30),0),IF(AH366&gt;0,AG366*(1+AH366/30),0),IF(AJ366&gt;0,AI366*(1+AJ366/30),0)),0)</x:f>
        <x:v>0</x:v>
      </x:c>
      <x:c r="AS366" s="315" t="str">
        <x:f>IF(AN366&lt;&gt;"Yes","Not logged",IF(AL366&gt;='Setup'!$B$14,"STOP / MODIFY",IF(Z366=0,"Complete",IF(OR(AO366=0,AK366=""),"Add set data + RIR",IF(AND(MAX(AB366,AD366,AF366,AH366,AJ366)&gt;=P366,AK366&gt;=Q366+1),"Progress",IF(OR(MAX(AB366,AD366,AF366,AH366,AJ366)&lt;O366,AK366&lt;Q366-1),"Regress","Hold"))))))</x:f>
        <x:v>Not logged</x:v>
      </x:c>
      <x:c r="AT366" s="335" t="n">
        <x:f>IF(OR(Z366=0,AN366&lt;&gt;"Yes",AO366=0,AK366=""),0,IF(AL366&gt;='Setup'!$B$14,-2*'Setup'!$B$11,IF(AND(MAX(AB366,AD366,AF366,AH366,AJ366)&gt;=P366,AK366&gt;=Q366+1),'Setup'!$B$10,IF(OR(MAX(AB366,AD366,AF366,AH366,AJ366)&lt;O366,AK366&lt;Q366-1),-'Setup'!$B$11,0))))</x:f>
        <x:v>0</x:v>
      </x:c>
      <x:c r="AU366" s="333" t="n">
        <x:f>IF(Z366=0,0,IF(AN366&lt;&gt;"Yes",Z366,IF(COUNT(AA366,AC366,AE366,AG366,AI366)=0,Z366,ROUND((MAX(AA366,AC366,AE366,AG366,AI366)*(1+AT366))/'Setup'!$B$9,0)*'Setup'!$B$9)))</x:f>
        <x:v>0</x:v>
      </x:c>
      <x:c r="AV366" s="336"/>
    </x:row>
    <x:row r="367">
      <x:c r="A367" s="310" t="n">
        <x:f>'Setup'!$B$3+(C367-1)*7+(D367-1)</x:f>
        <x:v>46289</x:v>
      </x:c>
      <x:c r="B367" s="311" t="str">
        <x:v>7|4|2</x:v>
      </x:c>
      <x:c r="C367" s="311" t="n">
        <x:v>7</x:v>
      </x:c>
      <x:c r="D367" s="311" t="n">
        <x:v>4</x:v>
      </x:c>
      <x:c r="E367" s="311" t="str">
        <x:v>Intensification</x:v>
      </x:c>
      <x:c r="F367" s="311" t="str">
        <x:v>Push Hypertrophy</x:v>
      </x:c>
      <x:c r="G367" s="311" t="str">
        <x:v>Chest, delts, and triceps volume</x:v>
      </x:c>
      <x:c r="H367" s="311" t="n">
        <x:v>2</x:v>
      </x:c>
      <x:c r="I367" s="311" t="str">
        <x:v>Machine Chest Press</x:v>
      </x:c>
      <x:c r="J367" s="311" t="str">
        <x:v>Hypertrophy</x:v>
      </x:c>
      <x:c r="K367" s="311" t="str">
        <x:v>Chest</x:v>
      </x:c>
      <x:c r="L367" s="311" t="str">
        <x:v>Straight sets</x:v>
      </x:c>
      <x:c r="M367" s="311" t="str"/>
      <x:c r="N367" s="311" t="n">
        <x:v>3</x:v>
      </x:c>
      <x:c r="O367" s="311" t="n">
        <x:v>10</x:v>
      </x:c>
      <x:c r="P367" s="311" t="n">
        <x:v>15</x:v>
      </x:c>
      <x:c r="Q367" s="311" t="n">
        <x:v>1</x:v>
      </x:c>
      <x:c r="R367" s="311" t="n">
        <x:v>75</x:v>
      </x:c>
      <x:c r="S367" s="311" t="str">
        <x:v>2-1-1</x:v>
      </x:c>
      <x:c r="T367" s="330" t="n">
        <x:v>1</x:v>
      </x:c>
      <x:c r="U367" s="330" t="n">
        <x:v>0</x:v>
      </x:c>
      <x:c r="V367" s="331" t="str">
        <x:v>load × reps</x:v>
      </x:c>
      <x:c r="W367" s="332" t="str">
        <x:f>'Readiness'!K46</x:f>
      </x:c>
      <x:c r="X367" s="314" t="n">
        <x:f>'Readiness'!L46</x:f>
        <x:v>1</x:v>
      </x:c>
      <x:c r="Y367" s="315" t="n">
        <x:f>IF(J367="Mobility",N367,MAX(1,ROUND(N367*X367,0)))</x:f>
        <x:v>3</x:v>
      </x:c>
      <x:c r="Z367" s="333" t="n">
        <x:f>ROUND((IF(AU314&gt;0,AU314,IF(Z314&gt;0,Z314,'Setup'!$D$60))*T367)/'Setup'!$B$9,0)*'Setup'!$B$9</x:f>
        <x:v>0</x:v>
      </x:c>
      <x:c r="AA367" s="334"/>
      <x:c r="AB367" s="334"/>
      <x:c r="AC367" s="334"/>
      <x:c r="AD367" s="334"/>
      <x:c r="AE367" s="334"/>
      <x:c r="AF367" s="334"/>
      <x:c r="AG367" s="334"/>
      <x:c r="AH367" s="334"/>
      <x:c r="AI367" s="334"/>
      <x:c r="AJ367" s="312"/>
      <x:c r="AK367" s="312"/>
      <x:c r="AL367" s="312"/>
      <x:c r="AM367" s="312"/>
      <x:c r="AN367" s="312"/>
      <x:c r="AO367" s="315" t="n">
        <x:f>COUNT(AB367,AD367,AF367,AH367,AJ367)</x:f>
        <x:v>0</x:v>
      </x:c>
      <x:c r="AP367" s="315" t="n">
        <x:f>SUM(AB367,AD367,AF367,AH367,AJ367)</x:f>
        <x:v>0</x:v>
      </x:c>
      <x:c r="AQ367" s="333" t="n">
        <x:f>AA367*AB367+AC367*AD367+AE367*AF367+AG367*AH367+AI367*AJ367</x:f>
        <x:v>0</x:v>
      </x:c>
      <x:c r="AR367" s="333" t="n">
        <x:f>IF(OR(J367="Strength",J367="Hypertrophy"),MAX(IF(AB367&gt;0,AA367*(1+AB367/30),0),IF(AD367&gt;0,AC367*(1+AD367/30),0),IF(AF367&gt;0,AE367*(1+AF367/30),0),IF(AH367&gt;0,AG367*(1+AH367/30),0),IF(AJ367&gt;0,AI367*(1+AJ367/30),0)),0)</x:f>
        <x:v>0</x:v>
      </x:c>
      <x:c r="AS367" s="315" t="str">
        <x:f>IF(AN367&lt;&gt;"Yes","Not logged",IF(AL367&gt;='Setup'!$B$14,"STOP / MODIFY",IF(Z367=0,"Complete",IF(OR(AO367=0,AK367=""),"Add set data + RIR",IF(AND(MAX(AB367,AD367,AF367,AH367,AJ367)&gt;=P367,AK367&gt;=Q367+1),"Progress",IF(OR(MAX(AB367,AD367,AF367,AH367,AJ367)&lt;O367,AK367&lt;Q367-1),"Regress","Hold"))))))</x:f>
        <x:v>Not logged</x:v>
      </x:c>
      <x:c r="AT367" s="335" t="n">
        <x:f>IF(OR(Z367=0,AN367&lt;&gt;"Yes",AO367=0,AK367=""),0,IF(AL367&gt;='Setup'!$B$14,-2*'Setup'!$B$11,IF(AND(MAX(AB367,AD367,AF367,AH367,AJ367)&gt;=P367,AK367&gt;=Q367+1),'Setup'!$B$10,IF(OR(MAX(AB367,AD367,AF367,AH367,AJ367)&lt;O367,AK367&lt;Q367-1),-'Setup'!$B$11,0))))</x:f>
        <x:v>0</x:v>
      </x:c>
      <x:c r="AU367" s="333" t="n">
        <x:f>IF(Z367=0,0,IF(AN367&lt;&gt;"Yes",Z367,IF(COUNT(AA367,AC367,AE367,AG367,AI367)=0,Z367,ROUND((MAX(AA367,AC367,AE367,AG367,AI367)*(1+AT367))/'Setup'!$B$9,0)*'Setup'!$B$9)))</x:f>
        <x:v>0</x:v>
      </x:c>
      <x:c r="AV367" s="336"/>
    </x:row>
    <x:row r="368">
      <x:c r="A368" s="310" t="n">
        <x:f>'Setup'!$B$3+(C368-1)*7+(D368-1)</x:f>
        <x:v>46289</x:v>
      </x:c>
      <x:c r="B368" s="311" t="str">
        <x:v>7|4|3</x:v>
      </x:c>
      <x:c r="C368" s="311" t="n">
        <x:v>7</x:v>
      </x:c>
      <x:c r="D368" s="311" t="n">
        <x:v>4</x:v>
      </x:c>
      <x:c r="E368" s="311" t="str">
        <x:v>Intensification</x:v>
      </x:c>
      <x:c r="F368" s="311" t="str">
        <x:v>Push Hypertrophy</x:v>
      </x:c>
      <x:c r="G368" s="311" t="str">
        <x:v>Chest, delts, and triceps volume</x:v>
      </x:c>
      <x:c r="H368" s="311" t="n">
        <x:v>3</x:v>
      </x:c>
      <x:c r="I368" s="311" t="str">
        <x:v>Seated Dumbbell Shoulder Press</x:v>
      </x:c>
      <x:c r="J368" s="311" t="str">
        <x:v>Hypertrophy</x:v>
      </x:c>
      <x:c r="K368" s="311" t="str">
        <x:v>Shoulders</x:v>
      </x:c>
      <x:c r="L368" s="311" t="str">
        <x:v>Straight sets</x:v>
      </x:c>
      <x:c r="M368" s="311" t="str"/>
      <x:c r="N368" s="311" t="n">
        <x:v>3</x:v>
      </x:c>
      <x:c r="O368" s="311" t="n">
        <x:v>8</x:v>
      </x:c>
      <x:c r="P368" s="311" t="n">
        <x:v>12</x:v>
      </x:c>
      <x:c r="Q368" s="311" t="n">
        <x:v>1</x:v>
      </x:c>
      <x:c r="R368" s="311" t="n">
        <x:v>90</x:v>
      </x:c>
      <x:c r="S368" s="311" t="str">
        <x:v>2-0-1</x:v>
      </x:c>
      <x:c r="T368" s="330" t="n">
        <x:v>1</x:v>
      </x:c>
      <x:c r="U368" s="330" t="n">
        <x:v>0</x:v>
      </x:c>
      <x:c r="V368" s="331" t="str">
        <x:v>load × reps</x:v>
      </x:c>
      <x:c r="W368" s="332" t="str">
        <x:f>'Readiness'!K46</x:f>
      </x:c>
      <x:c r="X368" s="314" t="n">
        <x:f>'Readiness'!L46</x:f>
        <x:v>1</x:v>
      </x:c>
      <x:c r="Y368" s="315" t="n">
        <x:f>IF(J368="Mobility",N368,MAX(1,ROUND(N368*X368,0)))</x:f>
        <x:v>3</x:v>
      </x:c>
      <x:c r="Z368" s="333" t="n">
        <x:f>ROUND((IF(AU315&gt;0,AU315,IF(Z315&gt;0,Z315,'Setup'!$D$83))*T368)/'Setup'!$B$9,0)*'Setup'!$B$9</x:f>
        <x:v>0</x:v>
      </x:c>
      <x:c r="AA368" s="334"/>
      <x:c r="AB368" s="334"/>
      <x:c r="AC368" s="334"/>
      <x:c r="AD368" s="334"/>
      <x:c r="AE368" s="334"/>
      <x:c r="AF368" s="334"/>
      <x:c r="AG368" s="334"/>
      <x:c r="AH368" s="334"/>
      <x:c r="AI368" s="334"/>
      <x:c r="AJ368" s="312"/>
      <x:c r="AK368" s="312"/>
      <x:c r="AL368" s="312"/>
      <x:c r="AM368" s="312"/>
      <x:c r="AN368" s="312"/>
      <x:c r="AO368" s="315" t="n">
        <x:f>COUNT(AB368,AD368,AF368,AH368,AJ368)</x:f>
        <x:v>0</x:v>
      </x:c>
      <x:c r="AP368" s="315" t="n">
        <x:f>SUM(AB368,AD368,AF368,AH368,AJ368)</x:f>
        <x:v>0</x:v>
      </x:c>
      <x:c r="AQ368" s="333" t="n">
        <x:f>AA368*AB368+AC368*AD368+AE368*AF368+AG368*AH368+AI368*AJ368</x:f>
        <x:v>0</x:v>
      </x:c>
      <x:c r="AR368" s="333" t="n">
        <x:f>IF(OR(J368="Strength",J368="Hypertrophy"),MAX(IF(AB368&gt;0,AA368*(1+AB368/30),0),IF(AD368&gt;0,AC368*(1+AD368/30),0),IF(AF368&gt;0,AE368*(1+AF368/30),0),IF(AH368&gt;0,AG368*(1+AH368/30),0),IF(AJ368&gt;0,AI368*(1+AJ368/30),0)),0)</x:f>
        <x:v>0</x:v>
      </x:c>
      <x:c r="AS368" s="315" t="str">
        <x:f>IF(AN368&lt;&gt;"Yes","Not logged",IF(AL368&gt;='Setup'!$B$14,"STOP / MODIFY",IF(Z368=0,"Complete",IF(OR(AO368=0,AK368=""),"Add set data + RIR",IF(AND(MAX(AB368,AD368,AF368,AH368,AJ368)&gt;=P368,AK368&gt;=Q368+1),"Progress",IF(OR(MAX(AB368,AD368,AF368,AH368,AJ368)&lt;O368,AK368&lt;Q368-1),"Regress","Hold"))))))</x:f>
        <x:v>Not logged</x:v>
      </x:c>
      <x:c r="AT368" s="335" t="n">
        <x:f>IF(OR(Z368=0,AN368&lt;&gt;"Yes",AO368=0,AK368=""),0,IF(AL368&gt;='Setup'!$B$14,-2*'Setup'!$B$11,IF(AND(MAX(AB368,AD368,AF368,AH368,AJ368)&gt;=P368,AK368&gt;=Q368+1),'Setup'!$B$10,IF(OR(MAX(AB368,AD368,AF368,AH368,AJ368)&lt;O368,AK368&lt;Q368-1),-'Setup'!$B$11,0))))</x:f>
        <x:v>0</x:v>
      </x:c>
      <x:c r="AU368" s="333" t="n">
        <x:f>IF(Z368=0,0,IF(AN368&lt;&gt;"Yes",Z368,IF(COUNT(AA368,AC368,AE368,AG368,AI368)=0,Z368,ROUND((MAX(AA368,AC368,AE368,AG368,AI368)*(1+AT368))/'Setup'!$B$9,0)*'Setup'!$B$9)))</x:f>
        <x:v>0</x:v>
      </x:c>
      <x:c r="AV368" s="336"/>
    </x:row>
    <x:row r="369">
      <x:c r="A369" s="310" t="n">
        <x:f>'Setup'!$B$3+(C369-1)*7+(D369-1)</x:f>
        <x:v>46289</x:v>
      </x:c>
      <x:c r="B369" s="311" t="str">
        <x:v>7|4|4</x:v>
      </x:c>
      <x:c r="C369" s="311" t="n">
        <x:v>7</x:v>
      </x:c>
      <x:c r="D369" s="311" t="n">
        <x:v>4</x:v>
      </x:c>
      <x:c r="E369" s="311" t="str">
        <x:v>Intensification</x:v>
      </x:c>
      <x:c r="F369" s="311" t="str">
        <x:v>Push Hypertrophy</x:v>
      </x:c>
      <x:c r="G369" s="311" t="str">
        <x:v>Chest, delts, and triceps volume</x:v>
      </x:c>
      <x:c r="H369" s="311" t="n">
        <x:v>4</x:v>
      </x:c>
      <x:c r="I369" s="311" t="str">
        <x:v>Cable Fly</x:v>
      </x:c>
      <x:c r="J369" s="311" t="str">
        <x:v>Hypertrophy</x:v>
      </x:c>
      <x:c r="K369" s="311" t="str">
        <x:v>Chest</x:v>
      </x:c>
      <x:c r="L369" s="311" t="str">
        <x:v>Superset</x:v>
      </x:c>
      <x:c r="M369" s="311" t="str">
        <x:v>A1</x:v>
      </x:c>
      <x:c r="N369" s="311" t="n">
        <x:v>3</x:v>
      </x:c>
      <x:c r="O369" s="311" t="n">
        <x:v>12</x:v>
      </x:c>
      <x:c r="P369" s="311" t="n">
        <x:v>15</x:v>
      </x:c>
      <x:c r="Q369" s="311" t="n">
        <x:v>1</x:v>
      </x:c>
      <x:c r="R369" s="311" t="n">
        <x:v>30</x:v>
      </x:c>
      <x:c r="S369" s="311" t="str">
        <x:v>2-1-2</x:v>
      </x:c>
      <x:c r="T369" s="330" t="n">
        <x:v>1</x:v>
      </x:c>
      <x:c r="U369" s="330" t="n">
        <x:v>0</x:v>
      </x:c>
      <x:c r="V369" s="331" t="str">
        <x:v>load × reps</x:v>
      </x:c>
      <x:c r="W369" s="332" t="str">
        <x:f>'Readiness'!K46</x:f>
      </x:c>
      <x:c r="X369" s="314" t="n">
        <x:f>'Readiness'!L46</x:f>
        <x:v>1</x:v>
      </x:c>
      <x:c r="Y369" s="315" t="n">
        <x:f>IF(J369="Mobility",N369,MAX(1,ROUND(N369*X369,0)))</x:f>
        <x:v>3</x:v>
      </x:c>
      <x:c r="Z369" s="333" t="n">
        <x:f>ROUND((IF(AU316&gt;0,AU316,IF(Z316&gt;0,Z316,'Setup'!$D$31))*T369)/'Setup'!$B$9,0)*'Setup'!$B$9</x:f>
        <x:v>0</x:v>
      </x:c>
      <x:c r="AA369" s="334"/>
      <x:c r="AB369" s="334"/>
      <x:c r="AC369" s="334"/>
      <x:c r="AD369" s="334"/>
      <x:c r="AE369" s="334"/>
      <x:c r="AF369" s="334"/>
      <x:c r="AG369" s="334"/>
      <x:c r="AH369" s="334"/>
      <x:c r="AI369" s="334"/>
      <x:c r="AJ369" s="312"/>
      <x:c r="AK369" s="312"/>
      <x:c r="AL369" s="312"/>
      <x:c r="AM369" s="312"/>
      <x:c r="AN369" s="312"/>
      <x:c r="AO369" s="315" t="n">
        <x:f>COUNT(AB369,AD369,AF369,AH369,AJ369)</x:f>
        <x:v>0</x:v>
      </x:c>
      <x:c r="AP369" s="315" t="n">
        <x:f>SUM(AB369,AD369,AF369,AH369,AJ369)</x:f>
        <x:v>0</x:v>
      </x:c>
      <x:c r="AQ369" s="333" t="n">
        <x:f>AA369*AB369+AC369*AD369+AE369*AF369+AG369*AH369+AI369*AJ369</x:f>
        <x:v>0</x:v>
      </x:c>
      <x:c r="AR369" s="333" t="n">
        <x:f>IF(OR(J369="Strength",J369="Hypertrophy"),MAX(IF(AB369&gt;0,AA369*(1+AB369/30),0),IF(AD369&gt;0,AC369*(1+AD369/30),0),IF(AF369&gt;0,AE369*(1+AF369/30),0),IF(AH369&gt;0,AG369*(1+AH369/30),0),IF(AJ369&gt;0,AI369*(1+AJ369/30),0)),0)</x:f>
        <x:v>0</x:v>
      </x:c>
      <x:c r="AS369" s="315" t="str">
        <x:f>IF(AN369&lt;&gt;"Yes","Not logged",IF(AL369&gt;='Setup'!$B$14,"STOP / MODIFY",IF(Z369=0,"Complete",IF(OR(AO369=0,AK369=""),"Add set data + RIR",IF(AND(MAX(AB369,AD369,AF369,AH369,AJ369)&gt;=P369,AK369&gt;=Q369+1),"Progress",IF(OR(MAX(AB369,AD369,AF369,AH369,AJ369)&lt;O369,AK369&lt;Q369-1),"Regress","Hold"))))))</x:f>
        <x:v>Not logged</x:v>
      </x:c>
      <x:c r="AT369" s="335" t="n">
        <x:f>IF(OR(Z369=0,AN369&lt;&gt;"Yes",AO369=0,AK369=""),0,IF(AL369&gt;='Setup'!$B$14,-2*'Setup'!$B$11,IF(AND(MAX(AB369,AD369,AF369,AH369,AJ369)&gt;=P369,AK369&gt;=Q369+1),'Setup'!$B$10,IF(OR(MAX(AB369,AD369,AF369,AH369,AJ369)&lt;O369,AK369&lt;Q369-1),-'Setup'!$B$11,0))))</x:f>
        <x:v>0</x:v>
      </x:c>
      <x:c r="AU369" s="333" t="n">
        <x:f>IF(Z369=0,0,IF(AN369&lt;&gt;"Yes",Z369,IF(COUNT(AA369,AC369,AE369,AG369,AI369)=0,Z369,ROUND((MAX(AA369,AC369,AE369,AG369,AI369)*(1+AT369))/'Setup'!$B$9,0)*'Setup'!$B$9)))</x:f>
        <x:v>0</x:v>
      </x:c>
      <x:c r="AV369" s="336"/>
    </x:row>
    <x:row r="370">
      <x:c r="A370" s="310" t="n">
        <x:f>'Setup'!$B$3+(C370-1)*7+(D370-1)</x:f>
        <x:v>46289</x:v>
      </x:c>
      <x:c r="B370" s="311" t="str">
        <x:v>7|4|5</x:v>
      </x:c>
      <x:c r="C370" s="311" t="n">
        <x:v>7</x:v>
      </x:c>
      <x:c r="D370" s="311" t="n">
        <x:v>4</x:v>
      </x:c>
      <x:c r="E370" s="311" t="str">
        <x:v>Intensification</x:v>
      </x:c>
      <x:c r="F370" s="311" t="str">
        <x:v>Push Hypertrophy</x:v>
      </x:c>
      <x:c r="G370" s="311" t="str">
        <x:v>Chest, delts, and triceps volume</x:v>
      </x:c>
      <x:c r="H370" s="311" t="n">
        <x:v>5</x:v>
      </x:c>
      <x:c r="I370" s="311" t="str">
        <x:v>Cable Lateral Raise</x:v>
      </x:c>
      <x:c r="J370" s="311" t="str">
        <x:v>Hypertrophy</x:v>
      </x:c>
      <x:c r="K370" s="311" t="str">
        <x:v>Shoulders</x:v>
      </x:c>
      <x:c r="L370" s="311" t="str">
        <x:v>Superset</x:v>
      </x:c>
      <x:c r="M370" s="311" t="str">
        <x:v>A2</x:v>
      </x:c>
      <x:c r="N370" s="311" t="n">
        <x:v>4</x:v>
      </x:c>
      <x:c r="O370" s="311" t="n">
        <x:v>12</x:v>
      </x:c>
      <x:c r="P370" s="311" t="n">
        <x:v>20</x:v>
      </x:c>
      <x:c r="Q370" s="311" t="n">
        <x:v>1</x:v>
      </x:c>
      <x:c r="R370" s="311" t="n">
        <x:v>30</x:v>
      </x:c>
      <x:c r="S370" s="311" t="str">
        <x:v>2-1-2</x:v>
      </x:c>
      <x:c r="T370" s="330" t="n">
        <x:v>1</x:v>
      </x:c>
      <x:c r="U370" s="330" t="n">
        <x:v>0</x:v>
      </x:c>
      <x:c r="V370" s="331" t="str">
        <x:v>load × reps</x:v>
      </x:c>
      <x:c r="W370" s="332" t="str">
        <x:f>'Readiness'!K46</x:f>
      </x:c>
      <x:c r="X370" s="314" t="n">
        <x:f>'Readiness'!L46</x:f>
        <x:v>1</x:v>
      </x:c>
      <x:c r="Y370" s="315" t="n">
        <x:f>IF(J370="Mobility",N370,MAX(1,ROUND(N370*X370,0)))</x:f>
        <x:v>4</x:v>
      </x:c>
      <x:c r="Z370" s="333" t="n">
        <x:f>ROUND((IF(AU317&gt;0,AU317,IF(Z317&gt;0,Z317,'Setup'!$D$33))*T370)/'Setup'!$B$9,0)*'Setup'!$B$9</x:f>
        <x:v>0</x:v>
      </x:c>
      <x:c r="AA370" s="334"/>
      <x:c r="AB370" s="334"/>
      <x:c r="AC370" s="334"/>
      <x:c r="AD370" s="334"/>
      <x:c r="AE370" s="334"/>
      <x:c r="AF370" s="334"/>
      <x:c r="AG370" s="334"/>
      <x:c r="AH370" s="334"/>
      <x:c r="AI370" s="334"/>
      <x:c r="AJ370" s="312"/>
      <x:c r="AK370" s="312"/>
      <x:c r="AL370" s="312"/>
      <x:c r="AM370" s="312"/>
      <x:c r="AN370" s="312"/>
      <x:c r="AO370" s="315" t="n">
        <x:f>COUNT(AB370,AD370,AF370,AH370,AJ370)</x:f>
        <x:v>0</x:v>
      </x:c>
      <x:c r="AP370" s="315" t="n">
        <x:f>SUM(AB370,AD370,AF370,AH370,AJ370)</x:f>
        <x:v>0</x:v>
      </x:c>
      <x:c r="AQ370" s="333" t="n">
        <x:f>AA370*AB370+AC370*AD370+AE370*AF370+AG370*AH370+AI370*AJ370</x:f>
        <x:v>0</x:v>
      </x:c>
      <x:c r="AR370" s="333" t="n">
        <x:f>IF(OR(J370="Strength",J370="Hypertrophy"),MAX(IF(AB370&gt;0,AA370*(1+AB370/30),0),IF(AD370&gt;0,AC370*(1+AD370/30),0),IF(AF370&gt;0,AE370*(1+AF370/30),0),IF(AH370&gt;0,AG370*(1+AH370/30),0),IF(AJ370&gt;0,AI370*(1+AJ370/30),0)),0)</x:f>
        <x:v>0</x:v>
      </x:c>
      <x:c r="AS370" s="315" t="str">
        <x:f>IF(AN370&lt;&gt;"Yes","Not logged",IF(AL370&gt;='Setup'!$B$14,"STOP / MODIFY",IF(Z370=0,"Complete",IF(OR(AO370=0,AK370=""),"Add set data + RIR",IF(AND(MAX(AB370,AD370,AF370,AH370,AJ370)&gt;=P370,AK370&gt;=Q370+1),"Progress",IF(OR(MAX(AB370,AD370,AF370,AH370,AJ370)&lt;O370,AK370&lt;Q370-1),"Regress","Hold"))))))</x:f>
        <x:v>Not logged</x:v>
      </x:c>
      <x:c r="AT370" s="335" t="n">
        <x:f>IF(OR(Z370=0,AN370&lt;&gt;"Yes",AO370=0,AK370=""),0,IF(AL370&gt;='Setup'!$B$14,-2*'Setup'!$B$11,IF(AND(MAX(AB370,AD370,AF370,AH370,AJ370)&gt;=P370,AK370&gt;=Q370+1),'Setup'!$B$10,IF(OR(MAX(AB370,AD370,AF370,AH370,AJ370)&lt;O370,AK370&lt;Q370-1),-'Setup'!$B$11,0))))</x:f>
        <x:v>0</x:v>
      </x:c>
      <x:c r="AU370" s="333" t="n">
        <x:f>IF(Z370=0,0,IF(AN370&lt;&gt;"Yes",Z370,IF(COUNT(AA370,AC370,AE370,AG370,AI370)=0,Z370,ROUND((MAX(AA370,AC370,AE370,AG370,AI370)*(1+AT370))/'Setup'!$B$9,0)*'Setup'!$B$9)))</x:f>
        <x:v>0</x:v>
      </x:c>
      <x:c r="AV370" s="336"/>
    </x:row>
    <x:row r="371">
      <x:c r="A371" s="310" t="n">
        <x:f>'Setup'!$B$3+(C371-1)*7+(D371-1)</x:f>
        <x:v>46289</x:v>
      </x:c>
      <x:c r="B371" s="311" t="str">
        <x:v>7|4|6</x:v>
      </x:c>
      <x:c r="C371" s="311" t="n">
        <x:v>7</x:v>
      </x:c>
      <x:c r="D371" s="311" t="n">
        <x:v>4</x:v>
      </x:c>
      <x:c r="E371" s="311" t="str">
        <x:v>Intensification</x:v>
      </x:c>
      <x:c r="F371" s="311" t="str">
        <x:v>Push Hypertrophy</x:v>
      </x:c>
      <x:c r="G371" s="311" t="str">
        <x:v>Chest, delts, and triceps volume</x:v>
      </x:c>
      <x:c r="H371" s="311" t="n">
        <x:v>6</x:v>
      </x:c>
      <x:c r="I371" s="311" t="str">
        <x:v>Overhead Cable Triceps Extension</x:v>
      </x:c>
      <x:c r="J371" s="311" t="str">
        <x:v>Hypertrophy</x:v>
      </x:c>
      <x:c r="K371" s="311" t="str">
        <x:v>Triceps</x:v>
      </x:c>
      <x:c r="L371" s="311" t="str">
        <x:v>Superset</x:v>
      </x:c>
      <x:c r="M371" s="311" t="str">
        <x:v>B1</x:v>
      </x:c>
      <x:c r="N371" s="311" t="n">
        <x:v>3</x:v>
      </x:c>
      <x:c r="O371" s="311" t="n">
        <x:v>10</x:v>
      </x:c>
      <x:c r="P371" s="311" t="n">
        <x:v>15</x:v>
      </x:c>
      <x:c r="Q371" s="311" t="n">
        <x:v>1</x:v>
      </x:c>
      <x:c r="R371" s="311" t="n">
        <x:v>30</x:v>
      </x:c>
      <x:c r="S371" s="311" t="str">
        <x:v>3-0-1</x:v>
      </x:c>
      <x:c r="T371" s="330" t="n">
        <x:v>1</x:v>
      </x:c>
      <x:c r="U371" s="330" t="n">
        <x:v>0</x:v>
      </x:c>
      <x:c r="V371" s="331" t="str">
        <x:v>load × reps</x:v>
      </x:c>
      <x:c r="W371" s="332" t="str">
        <x:f>'Readiness'!K46</x:f>
      </x:c>
      <x:c r="X371" s="314" t="n">
        <x:f>'Readiness'!L46</x:f>
        <x:v>1</x:v>
      </x:c>
      <x:c r="Y371" s="315" t="n">
        <x:f>IF(J371="Mobility",N371,MAX(1,ROUND(N371*X371,0)))</x:f>
        <x:v>3</x:v>
      </x:c>
      <x:c r="Z371" s="333" t="n">
        <x:f>ROUND((IF(AU318&gt;0,AU318,IF(Z318&gt;0,Z318,'Setup'!$D$69))*T371)/'Setup'!$B$9,0)*'Setup'!$B$9</x:f>
        <x:v>0</x:v>
      </x:c>
      <x:c r="AA371" s="334"/>
      <x:c r="AB371" s="334"/>
      <x:c r="AC371" s="334"/>
      <x:c r="AD371" s="334"/>
      <x:c r="AE371" s="334"/>
      <x:c r="AF371" s="334"/>
      <x:c r="AG371" s="334"/>
      <x:c r="AH371" s="334"/>
      <x:c r="AI371" s="334"/>
      <x:c r="AJ371" s="312"/>
      <x:c r="AK371" s="312"/>
      <x:c r="AL371" s="312"/>
      <x:c r="AM371" s="312"/>
      <x:c r="AN371" s="312"/>
      <x:c r="AO371" s="315" t="n">
        <x:f>COUNT(AB371,AD371,AF371,AH371,AJ371)</x:f>
        <x:v>0</x:v>
      </x:c>
      <x:c r="AP371" s="315" t="n">
        <x:f>SUM(AB371,AD371,AF371,AH371,AJ371)</x:f>
        <x:v>0</x:v>
      </x:c>
      <x:c r="AQ371" s="333" t="n">
        <x:f>AA371*AB371+AC371*AD371+AE371*AF371+AG371*AH371+AI371*AJ371</x:f>
        <x:v>0</x:v>
      </x:c>
      <x:c r="AR371" s="333" t="n">
        <x:f>IF(OR(J371="Strength",J371="Hypertrophy"),MAX(IF(AB371&gt;0,AA371*(1+AB371/30),0),IF(AD371&gt;0,AC371*(1+AD371/30),0),IF(AF371&gt;0,AE371*(1+AF371/30),0),IF(AH371&gt;0,AG371*(1+AH371/30),0),IF(AJ371&gt;0,AI371*(1+AJ371/30),0)),0)</x:f>
        <x:v>0</x:v>
      </x:c>
      <x:c r="AS371" s="315" t="str">
        <x:f>IF(AN371&lt;&gt;"Yes","Not logged",IF(AL371&gt;='Setup'!$B$14,"STOP / MODIFY",IF(Z371=0,"Complete",IF(OR(AO371=0,AK371=""),"Add set data + RIR",IF(AND(MAX(AB371,AD371,AF371,AH371,AJ371)&gt;=P371,AK371&gt;=Q371+1),"Progress",IF(OR(MAX(AB371,AD371,AF371,AH371,AJ371)&lt;O371,AK371&lt;Q371-1),"Regress","Hold"))))))</x:f>
        <x:v>Not logged</x:v>
      </x:c>
      <x:c r="AT371" s="335" t="n">
        <x:f>IF(OR(Z371=0,AN371&lt;&gt;"Yes",AO371=0,AK371=""),0,IF(AL371&gt;='Setup'!$B$14,-2*'Setup'!$B$11,IF(AND(MAX(AB371,AD371,AF371,AH371,AJ371)&gt;=P371,AK371&gt;=Q371+1),'Setup'!$B$10,IF(OR(MAX(AB371,AD371,AF371,AH371,AJ371)&lt;O371,AK371&lt;Q371-1),-'Setup'!$B$11,0))))</x:f>
        <x:v>0</x:v>
      </x:c>
      <x:c r="AU371" s="333" t="n">
        <x:f>IF(Z371=0,0,IF(AN371&lt;&gt;"Yes",Z371,IF(COUNT(AA371,AC371,AE371,AG371,AI371)=0,Z371,ROUND((MAX(AA371,AC371,AE371,AG371,AI371)*(1+AT371))/'Setup'!$B$9,0)*'Setup'!$B$9)))</x:f>
        <x:v>0</x:v>
      </x:c>
      <x:c r="AV371" s="336"/>
    </x:row>
    <x:row r="372">
      <x:c r="A372" s="310" t="n">
        <x:f>'Setup'!$B$3+(C372-1)*7+(D372-1)</x:f>
        <x:v>46289</x:v>
      </x:c>
      <x:c r="B372" s="311" t="str">
        <x:v>7|4|7</x:v>
      </x:c>
      <x:c r="C372" s="311" t="n">
        <x:v>7</x:v>
      </x:c>
      <x:c r="D372" s="311" t="n">
        <x:v>4</x:v>
      </x:c>
      <x:c r="E372" s="311" t="str">
        <x:v>Intensification</x:v>
      </x:c>
      <x:c r="F372" s="311" t="str">
        <x:v>Push Hypertrophy</x:v>
      </x:c>
      <x:c r="G372" s="311" t="str">
        <x:v>Chest, delts, and triceps volume</x:v>
      </x:c>
      <x:c r="H372" s="311" t="n">
        <x:v>7</x:v>
      </x:c>
      <x:c r="I372" s="311" t="str">
        <x:v>Triceps Pressdown</x:v>
      </x:c>
      <x:c r="J372" s="311" t="str">
        <x:v>Hypertrophy</x:v>
      </x:c>
      <x:c r="K372" s="311" t="str">
        <x:v>Triceps</x:v>
      </x:c>
      <x:c r="L372" s="311" t="str">
        <x:v>Final-set drop, reduce 20–25% once</x:v>
      </x:c>
      <x:c r="M372" s="311" t="str">
        <x:v>B2</x:v>
      </x:c>
      <x:c r="N372" s="311" t="n">
        <x:v>3</x:v>
      </x:c>
      <x:c r="O372" s="311" t="n">
        <x:v>12</x:v>
      </x:c>
      <x:c r="P372" s="311" t="n">
        <x:v>15</x:v>
      </x:c>
      <x:c r="Q372" s="311" t="n">
        <x:v>1</x:v>
      </x:c>
      <x:c r="R372" s="311" t="n">
        <x:v>45</x:v>
      </x:c>
      <x:c r="S372" s="311" t="str">
        <x:v>2-1-1</x:v>
      </x:c>
      <x:c r="T372" s="330" t="n">
        <x:v>1</x:v>
      </x:c>
      <x:c r="U372" s="330" t="n">
        <x:v>0</x:v>
      </x:c>
      <x:c r="V372" s="331" t="str">
        <x:v>load × reps</x:v>
      </x:c>
      <x:c r="W372" s="332" t="str">
        <x:f>'Readiness'!K46</x:f>
      </x:c>
      <x:c r="X372" s="314" t="n">
        <x:f>'Readiness'!L46</x:f>
        <x:v>1</x:v>
      </x:c>
      <x:c r="Y372" s="315" t="n">
        <x:f>IF(J372="Mobility",N372,MAX(1,ROUND(N372*X372,0)))</x:f>
        <x:v>3</x:v>
      </x:c>
      <x:c r="Z372" s="333" t="n">
        <x:f>ROUND((IF(AU319&gt;0,AU319,IF(Z319&gt;0,Z319,'Setup'!$D$92))*T372)/'Setup'!$B$9,0)*'Setup'!$B$9</x:f>
        <x:v>0</x:v>
      </x:c>
      <x:c r="AA372" s="334"/>
      <x:c r="AB372" s="334"/>
      <x:c r="AC372" s="334"/>
      <x:c r="AD372" s="334"/>
      <x:c r="AE372" s="334"/>
      <x:c r="AF372" s="334"/>
      <x:c r="AG372" s="334"/>
      <x:c r="AH372" s="334"/>
      <x:c r="AI372" s="334"/>
      <x:c r="AJ372" s="312"/>
      <x:c r="AK372" s="312"/>
      <x:c r="AL372" s="312"/>
      <x:c r="AM372" s="312"/>
      <x:c r="AN372" s="312"/>
      <x:c r="AO372" s="315" t="n">
        <x:f>COUNT(AB372,AD372,AF372,AH372,AJ372)</x:f>
        <x:v>0</x:v>
      </x:c>
      <x:c r="AP372" s="315" t="n">
        <x:f>SUM(AB372,AD372,AF372,AH372,AJ372)</x:f>
        <x:v>0</x:v>
      </x:c>
      <x:c r="AQ372" s="333" t="n">
        <x:f>AA372*AB372+AC372*AD372+AE372*AF372+AG372*AH372+AI372*AJ372</x:f>
        <x:v>0</x:v>
      </x:c>
      <x:c r="AR372" s="333" t="n">
        <x:f>IF(OR(J372="Strength",J372="Hypertrophy"),MAX(IF(AB372&gt;0,AA372*(1+AB372/30),0),IF(AD372&gt;0,AC372*(1+AD372/30),0),IF(AF372&gt;0,AE372*(1+AF372/30),0),IF(AH372&gt;0,AG372*(1+AH372/30),0),IF(AJ372&gt;0,AI372*(1+AJ372/30),0)),0)</x:f>
        <x:v>0</x:v>
      </x:c>
      <x:c r="AS372" s="315" t="str">
        <x:f>IF(AN372&lt;&gt;"Yes","Not logged",IF(AL372&gt;='Setup'!$B$14,"STOP / MODIFY",IF(Z372=0,"Complete",IF(OR(AO372=0,AK372=""),"Add set data + RIR",IF(AND(MAX(AB372,AD372,AF372,AH372,AJ372)&gt;=P372,AK372&gt;=Q372+1),"Progress",IF(OR(MAX(AB372,AD372,AF372,AH372,AJ372)&lt;O372,AK372&lt;Q372-1),"Regress","Hold"))))))</x:f>
        <x:v>Not logged</x:v>
      </x:c>
      <x:c r="AT372" s="335" t="n">
        <x:f>IF(OR(Z372=0,AN372&lt;&gt;"Yes",AO372=0,AK372=""),0,IF(AL372&gt;='Setup'!$B$14,-2*'Setup'!$B$11,IF(AND(MAX(AB372,AD372,AF372,AH372,AJ372)&gt;=P372,AK372&gt;=Q372+1),'Setup'!$B$10,IF(OR(MAX(AB372,AD372,AF372,AH372,AJ372)&lt;O372,AK372&lt;Q372-1),-'Setup'!$B$11,0))))</x:f>
        <x:v>0</x:v>
      </x:c>
      <x:c r="AU372" s="333" t="n">
        <x:f>IF(Z372=0,0,IF(AN372&lt;&gt;"Yes",Z372,IF(COUNT(AA372,AC372,AE372,AG372,AI372)=0,Z372,ROUND((MAX(AA372,AC372,AE372,AG372,AI372)*(1+AT372))/'Setup'!$B$9,0)*'Setup'!$B$9)))</x:f>
        <x:v>0</x:v>
      </x:c>
      <x:c r="AV372" s="336"/>
    </x:row>
    <x:row r="373">
      <x:c r="A373" s="310" t="n">
        <x:f>'Setup'!$B$3+(C373-1)*7+(D373-1)</x:f>
        <x:v>46289</x:v>
      </x:c>
      <x:c r="B373" s="311" t="str">
        <x:v>7|4|8</x:v>
      </x:c>
      <x:c r="C373" s="311" t="n">
        <x:v>7</x:v>
      </x:c>
      <x:c r="D373" s="311" t="n">
        <x:v>4</x:v>
      </x:c>
      <x:c r="E373" s="311" t="str">
        <x:v>Intensification</x:v>
      </x:c>
      <x:c r="F373" s="311" t="str">
        <x:v>Push Hypertrophy</x:v>
      </x:c>
      <x:c r="G373" s="311" t="str">
        <x:v>Chest, delts, and triceps volume</x:v>
      </x:c>
      <x:c r="H373" s="311" t="n">
        <x:v>8</x:v>
      </x:c>
      <x:c r="I373" s="311" t="str">
        <x:v>Doorway Pec Stretch</x:v>
      </x:c>
      <x:c r="J373" s="311" t="str">
        <x:v>Mobility</x:v>
      </x:c>
      <x:c r="K373" s="311" t="str">
        <x:v>Chest</x:v>
      </x:c>
      <x:c r="L373" s="311" t="str">
        <x:v>Relaxed breathing</x:v>
      </x:c>
      <x:c r="M373" s="311" t="str"/>
      <x:c r="N373" s="311" t="n">
        <x:v>2</x:v>
      </x:c>
      <x:c r="O373" s="311" t="n">
        <x:v>30</x:v>
      </x:c>
      <x:c r="P373" s="311" t="n">
        <x:v>45</x:v>
      </x:c>
      <x:c r="Q373" s="311" t="str"/>
      <x:c r="R373" s="311" t="n">
        <x:v>20</x:v>
      </x:c>
      <x:c r="S373" s="311" t="str">
        <x:v>Hold</x:v>
      </x:c>
      <x:c r="T373" s="330" t="n">
        <x:v>1</x:v>
      </x:c>
      <x:c r="U373" s="330" t="n">
        <x:v>0</x:v>
      </x:c>
      <x:c r="V373" s="331" t="str">
        <x:v>seconds</x:v>
      </x:c>
      <x:c r="W373" s="332" t="str">
        <x:f>'Readiness'!K46</x:f>
      </x:c>
      <x:c r="X373" s="314" t="n">
        <x:f>'Readiness'!L46</x:f>
        <x:v>1</x:v>
      </x:c>
      <x:c r="Y373" s="315" t="n">
        <x:f>IF(J373="Mobility",N373,MAX(1,ROUND(N373*X373,0)))</x:f>
        <x:v>2</x:v>
      </x:c>
      <x:c r="Z373" s="333" t="n">
        <x:f>0</x:f>
        <x:v>0</x:v>
      </x:c>
      <x:c r="AA373" s="334"/>
      <x:c r="AB373" s="334"/>
      <x:c r="AC373" s="334"/>
      <x:c r="AD373" s="334"/>
      <x:c r="AE373" s="334"/>
      <x:c r="AF373" s="334"/>
      <x:c r="AG373" s="334"/>
      <x:c r="AH373" s="334"/>
      <x:c r="AI373" s="334"/>
      <x:c r="AJ373" s="312"/>
      <x:c r="AK373" s="312"/>
      <x:c r="AL373" s="312"/>
      <x:c r="AM373" s="312"/>
      <x:c r="AN373" s="312"/>
      <x:c r="AO373" s="315" t="n">
        <x:f>COUNT(AB373,AD373,AF373,AH373,AJ373)</x:f>
        <x:v>0</x:v>
      </x:c>
      <x:c r="AP373" s="315" t="n">
        <x:f>SUM(AB373,AD373,AF373,AH373,AJ373)</x:f>
        <x:v>0</x:v>
      </x:c>
      <x:c r="AQ373" s="333" t="n">
        <x:f>AA373*AB373+AC373*AD373+AE373*AF373+AG373*AH373+AI373*AJ373</x:f>
        <x:v>0</x:v>
      </x:c>
      <x:c r="AR373" s="333" t="n">
        <x:f>IF(OR(J373="Strength",J373="Hypertrophy"),MAX(IF(AB373&gt;0,AA373*(1+AB373/30),0),IF(AD373&gt;0,AC373*(1+AD373/30),0),IF(AF373&gt;0,AE373*(1+AF373/30),0),IF(AH373&gt;0,AG373*(1+AH373/30),0),IF(AJ373&gt;0,AI373*(1+AJ373/30),0)),0)</x:f>
        <x:v>0</x:v>
      </x:c>
      <x:c r="AS373" s="315" t="str">
        <x:f>IF(AN373&lt;&gt;"Yes","Not logged",IF(AL373&gt;='Setup'!$B$14,"STOP / MODIFY",IF(Z373=0,"Complete",IF(OR(AO373=0,AK373=""),"Add set data + RIR",IF(AND(MAX(AB373,AD373,AF373,AH373,AJ373)&gt;=P373,AK373&gt;=Q373+1),"Progress",IF(OR(MAX(AB373,AD373,AF373,AH373,AJ373)&lt;O373,AK373&lt;Q373-1),"Regress","Hold"))))))</x:f>
        <x:v>Not logged</x:v>
      </x:c>
      <x:c r="AT373" s="335" t="n">
        <x:f>IF(OR(Z373=0,AN373&lt;&gt;"Yes",AO373=0,AK373=""),0,IF(AL373&gt;='Setup'!$B$14,-2*'Setup'!$B$11,IF(AND(MAX(AB373,AD373,AF373,AH373,AJ373)&gt;=P373,AK373&gt;=Q373+1),'Setup'!$B$10,IF(OR(MAX(AB373,AD373,AF373,AH373,AJ373)&lt;O373,AK373&lt;Q373-1),-'Setup'!$B$11,0))))</x:f>
        <x:v>0</x:v>
      </x:c>
      <x:c r="AU373" s="333" t="n">
        <x:f>IF(Z373=0,0,IF(AN373&lt;&gt;"Yes",Z373,IF(COUNT(AA373,AC373,AE373,AG373,AI373)=0,Z373,ROUND((MAX(AA373,AC373,AE373,AG373,AI373)*(1+AT373))/'Setup'!$B$9,0)*'Setup'!$B$9)))</x:f>
        <x:v>0</x:v>
      </x:c>
      <x:c r="AV373" s="336"/>
    </x:row>
    <x:row r="374">
      <x:c r="A374" s="310" t="n">
        <x:f>'Setup'!$B$3+(C374-1)*7+(D374-1)</x:f>
        <x:v>46290</x:v>
      </x:c>
      <x:c r="B374" s="311" t="str">
        <x:v>7|5|1</x:v>
      </x:c>
      <x:c r="C374" s="311" t="n">
        <x:v>7</x:v>
      </x:c>
      <x:c r="D374" s="311" t="n">
        <x:v>5</x:v>
      </x:c>
      <x:c r="E374" s="311" t="str">
        <x:v>Intensification</x:v>
      </x:c>
      <x:c r="F374" s="311" t="str">
        <x:v>Pull Hypertrophy</x:v>
      </x:c>
      <x:c r="G374" s="311" t="str">
        <x:v>Back, rear delts, and biceps volume</x:v>
      </x:c>
      <x:c r="H374" s="311" t="n">
        <x:v>1</x:v>
      </x:c>
      <x:c r="I374" s="311" t="str">
        <x:v>Lat Pulldown</x:v>
      </x:c>
      <x:c r="J374" s="311" t="str">
        <x:v>Hypertrophy</x:v>
      </x:c>
      <x:c r="K374" s="311" t="str">
        <x:v>Back</x:v>
      </x:c>
      <x:c r="L374" s="311" t="str">
        <x:v>Straight sets</x:v>
      </x:c>
      <x:c r="M374" s="311" t="str"/>
      <x:c r="N374" s="311" t="n">
        <x:v>4</x:v>
      </x:c>
      <x:c r="O374" s="311" t="n">
        <x:v>8</x:v>
      </x:c>
      <x:c r="P374" s="311" t="n">
        <x:v>12</x:v>
      </x:c>
      <x:c r="Q374" s="311" t="n">
        <x:v>1</x:v>
      </x:c>
      <x:c r="R374" s="311" t="n">
        <x:v>90</x:v>
      </x:c>
      <x:c r="S374" s="311" t="str">
        <x:v>2-1-1</x:v>
      </x:c>
      <x:c r="T374" s="330" t="n">
        <x:v>1</x:v>
      </x:c>
      <x:c r="U374" s="330" t="n">
        <x:v>0</x:v>
      </x:c>
      <x:c r="V374" s="331" t="str">
        <x:v>load × reps</x:v>
      </x:c>
      <x:c r="W374" s="332" t="str">
        <x:f>'Readiness'!K47</x:f>
      </x:c>
      <x:c r="X374" s="314" t="n">
        <x:f>'Readiness'!L47</x:f>
        <x:v>1</x:v>
      </x:c>
      <x:c r="Y374" s="315" t="n">
        <x:f>IF(J374="Mobility",N374,MAX(1,ROUND(N374*X374,0)))</x:f>
        <x:v>4</x:v>
      </x:c>
      <x:c r="Z374" s="333" t="n">
        <x:f>ROUND((IF(AU321&gt;0,AU321,IF(Z321&gt;0,Z321,'Setup'!$D$55))*T374)/'Setup'!$B$9,0)*'Setup'!$B$9</x:f>
        <x:v>0</x:v>
      </x:c>
      <x:c r="AA374" s="334"/>
      <x:c r="AB374" s="334"/>
      <x:c r="AC374" s="334"/>
      <x:c r="AD374" s="334"/>
      <x:c r="AE374" s="334"/>
      <x:c r="AF374" s="334"/>
      <x:c r="AG374" s="334"/>
      <x:c r="AH374" s="334"/>
      <x:c r="AI374" s="334"/>
      <x:c r="AJ374" s="312"/>
      <x:c r="AK374" s="312"/>
      <x:c r="AL374" s="312"/>
      <x:c r="AM374" s="312"/>
      <x:c r="AN374" s="312"/>
      <x:c r="AO374" s="315" t="n">
        <x:f>COUNT(AB374,AD374,AF374,AH374,AJ374)</x:f>
        <x:v>0</x:v>
      </x:c>
      <x:c r="AP374" s="315" t="n">
        <x:f>SUM(AB374,AD374,AF374,AH374,AJ374)</x:f>
        <x:v>0</x:v>
      </x:c>
      <x:c r="AQ374" s="333" t="n">
        <x:f>AA374*AB374+AC374*AD374+AE374*AF374+AG374*AH374+AI374*AJ374</x:f>
        <x:v>0</x:v>
      </x:c>
      <x:c r="AR374" s="333" t="n">
        <x:f>IF(OR(J374="Strength",J374="Hypertrophy"),MAX(IF(AB374&gt;0,AA374*(1+AB374/30),0),IF(AD374&gt;0,AC374*(1+AD374/30),0),IF(AF374&gt;0,AE374*(1+AF374/30),0),IF(AH374&gt;0,AG374*(1+AH374/30),0),IF(AJ374&gt;0,AI374*(1+AJ374/30),0)),0)</x:f>
        <x:v>0</x:v>
      </x:c>
      <x:c r="AS374" s="315" t="str">
        <x:f>IF(AN374&lt;&gt;"Yes","Not logged",IF(AL374&gt;='Setup'!$B$14,"STOP / MODIFY",IF(Z374=0,"Complete",IF(OR(AO374=0,AK374=""),"Add set data + RIR",IF(AND(MAX(AB374,AD374,AF374,AH374,AJ374)&gt;=P374,AK374&gt;=Q374+1),"Progress",IF(OR(MAX(AB374,AD374,AF374,AH374,AJ374)&lt;O374,AK374&lt;Q374-1),"Regress","Hold"))))))</x:f>
        <x:v>Not logged</x:v>
      </x:c>
      <x:c r="AT374" s="335" t="n">
        <x:f>IF(OR(Z374=0,AN374&lt;&gt;"Yes",AO374=0,AK374=""),0,IF(AL374&gt;='Setup'!$B$14,-2*'Setup'!$B$11,IF(AND(MAX(AB374,AD374,AF374,AH374,AJ374)&gt;=P374,AK374&gt;=Q374+1),'Setup'!$B$10,IF(OR(MAX(AB374,AD374,AF374,AH374,AJ374)&lt;O374,AK374&lt;Q374-1),-'Setup'!$B$11,0))))</x:f>
        <x:v>0</x:v>
      </x:c>
      <x:c r="AU374" s="333" t="n">
        <x:f>IF(Z374=0,0,IF(AN374&lt;&gt;"Yes",Z374,IF(COUNT(AA374,AC374,AE374,AG374,AI374)=0,Z374,ROUND((MAX(AA374,AC374,AE374,AG374,AI374)*(1+AT374))/'Setup'!$B$9,0)*'Setup'!$B$9)))</x:f>
        <x:v>0</x:v>
      </x:c>
      <x:c r="AV374" s="336"/>
    </x:row>
    <x:row r="375">
      <x:c r="A375" s="310" t="n">
        <x:f>'Setup'!$B$3+(C375-1)*7+(D375-1)</x:f>
        <x:v>46290</x:v>
      </x:c>
      <x:c r="B375" s="311" t="str">
        <x:v>7|5|2</x:v>
      </x:c>
      <x:c r="C375" s="311" t="n">
        <x:v>7</x:v>
      </x:c>
      <x:c r="D375" s="311" t="n">
        <x:v>5</x:v>
      </x:c>
      <x:c r="E375" s="311" t="str">
        <x:v>Intensification</x:v>
      </x:c>
      <x:c r="F375" s="311" t="str">
        <x:v>Pull Hypertrophy</x:v>
      </x:c>
      <x:c r="G375" s="311" t="str">
        <x:v>Back, rear delts, and biceps volume</x:v>
      </x:c>
      <x:c r="H375" s="311" t="n">
        <x:v>2</x:v>
      </x:c>
      <x:c r="I375" s="311" t="str">
        <x:v>Chest-Supported Dumbbell Row</x:v>
      </x:c>
      <x:c r="J375" s="311" t="str">
        <x:v>Hypertrophy</x:v>
      </x:c>
      <x:c r="K375" s="311" t="str">
        <x:v>Back</x:v>
      </x:c>
      <x:c r="L375" s="311" t="str">
        <x:v>Straight sets</x:v>
      </x:c>
      <x:c r="M375" s="311" t="str"/>
      <x:c r="N375" s="311" t="n">
        <x:v>4</x:v>
      </x:c>
      <x:c r="O375" s="311" t="n">
        <x:v>8</x:v>
      </x:c>
      <x:c r="P375" s="311" t="n">
        <x:v>12</x:v>
      </x:c>
      <x:c r="Q375" s="311" t="n">
        <x:v>1</x:v>
      </x:c>
      <x:c r="R375" s="311" t="n">
        <x:v>90</x:v>
      </x:c>
      <x:c r="S375" s="311" t="str">
        <x:v>2-1-1</x:v>
      </x:c>
      <x:c r="T375" s="330" t="n">
        <x:v>1</x:v>
      </x:c>
      <x:c r="U375" s="330" t="n">
        <x:v>0</x:v>
      </x:c>
      <x:c r="V375" s="331" t="str">
        <x:v>load × reps</x:v>
      </x:c>
      <x:c r="W375" s="332" t="str">
        <x:f>'Readiness'!K47</x:f>
      </x:c>
      <x:c r="X375" s="314" t="n">
        <x:f>'Readiness'!L47</x:f>
        <x:v>1</x:v>
      </x:c>
      <x:c r="Y375" s="315" t="n">
        <x:f>IF(J375="Mobility",N375,MAX(1,ROUND(N375*X375,0)))</x:f>
        <x:v>4</x:v>
      </x:c>
      <x:c r="Z375" s="333" t="n">
        <x:f>ROUND((IF(AU355&gt;0,AU355,IF(Z355&gt;0,Z355,'Setup'!$D$34))*T375)/'Setup'!$B$9,0)*'Setup'!$B$9</x:f>
        <x:v>0</x:v>
      </x:c>
      <x:c r="AA375" s="334"/>
      <x:c r="AB375" s="334"/>
      <x:c r="AC375" s="334"/>
      <x:c r="AD375" s="334"/>
      <x:c r="AE375" s="334"/>
      <x:c r="AF375" s="334"/>
      <x:c r="AG375" s="334"/>
      <x:c r="AH375" s="334"/>
      <x:c r="AI375" s="334"/>
      <x:c r="AJ375" s="312"/>
      <x:c r="AK375" s="312"/>
      <x:c r="AL375" s="312"/>
      <x:c r="AM375" s="312"/>
      <x:c r="AN375" s="312"/>
      <x:c r="AO375" s="315" t="n">
        <x:f>COUNT(AB375,AD375,AF375,AH375,AJ375)</x:f>
        <x:v>0</x:v>
      </x:c>
      <x:c r="AP375" s="315" t="n">
        <x:f>SUM(AB375,AD375,AF375,AH375,AJ375)</x:f>
        <x:v>0</x:v>
      </x:c>
      <x:c r="AQ375" s="333" t="n">
        <x:f>AA375*AB375+AC375*AD375+AE375*AF375+AG375*AH375+AI375*AJ375</x:f>
        <x:v>0</x:v>
      </x:c>
      <x:c r="AR375" s="333" t="n">
        <x:f>IF(OR(J375="Strength",J375="Hypertrophy"),MAX(IF(AB375&gt;0,AA375*(1+AB375/30),0),IF(AD375&gt;0,AC375*(1+AD375/30),0),IF(AF375&gt;0,AE375*(1+AF375/30),0),IF(AH375&gt;0,AG375*(1+AH375/30),0),IF(AJ375&gt;0,AI375*(1+AJ375/30),0)),0)</x:f>
        <x:v>0</x:v>
      </x:c>
      <x:c r="AS375" s="315" t="str">
        <x:f>IF(AN375&lt;&gt;"Yes","Not logged",IF(AL375&gt;='Setup'!$B$14,"STOP / MODIFY",IF(Z375=0,"Complete",IF(OR(AO375=0,AK375=""),"Add set data + RIR",IF(AND(MAX(AB375,AD375,AF375,AH375,AJ375)&gt;=P375,AK375&gt;=Q375+1),"Progress",IF(OR(MAX(AB375,AD375,AF375,AH375,AJ375)&lt;O375,AK375&lt;Q375-1),"Regress","Hold"))))))</x:f>
        <x:v>Not logged</x:v>
      </x:c>
      <x:c r="AT375" s="335" t="n">
        <x:f>IF(OR(Z375=0,AN375&lt;&gt;"Yes",AO375=0,AK375=""),0,IF(AL375&gt;='Setup'!$B$14,-2*'Setup'!$B$11,IF(AND(MAX(AB375,AD375,AF375,AH375,AJ375)&gt;=P375,AK375&gt;=Q375+1),'Setup'!$B$10,IF(OR(MAX(AB375,AD375,AF375,AH375,AJ375)&lt;O375,AK375&lt;Q375-1),-'Setup'!$B$11,0))))</x:f>
        <x:v>0</x:v>
      </x:c>
      <x:c r="AU375" s="333" t="n">
        <x:f>IF(Z375=0,0,IF(AN375&lt;&gt;"Yes",Z375,IF(COUNT(AA375,AC375,AE375,AG375,AI375)=0,Z375,ROUND((MAX(AA375,AC375,AE375,AG375,AI375)*(1+AT375))/'Setup'!$B$9,0)*'Setup'!$B$9)))</x:f>
        <x:v>0</x:v>
      </x:c>
      <x:c r="AV375" s="336"/>
    </x:row>
    <x:row r="376">
      <x:c r="A376" s="310" t="n">
        <x:f>'Setup'!$B$3+(C376-1)*7+(D376-1)</x:f>
        <x:v>46290</x:v>
      </x:c>
      <x:c r="B376" s="311" t="str">
        <x:v>7|5|3</x:v>
      </x:c>
      <x:c r="C376" s="311" t="n">
        <x:v>7</x:v>
      </x:c>
      <x:c r="D376" s="311" t="n">
        <x:v>5</x:v>
      </x:c>
      <x:c r="E376" s="311" t="str">
        <x:v>Intensification</x:v>
      </x:c>
      <x:c r="F376" s="311" t="str">
        <x:v>Pull Hypertrophy</x:v>
      </x:c>
      <x:c r="G376" s="311" t="str">
        <x:v>Back, rear delts, and biceps volume</x:v>
      </x:c>
      <x:c r="H376" s="311" t="n">
        <x:v>3</x:v>
      </x:c>
      <x:c r="I376" s="311" t="str">
        <x:v>One-Arm Cable Row</x:v>
      </x:c>
      <x:c r="J376" s="311" t="str">
        <x:v>Hypertrophy</x:v>
      </x:c>
      <x:c r="K376" s="311" t="str">
        <x:v>Back</x:v>
      </x:c>
      <x:c r="L376" s="311" t="str">
        <x:v>Straight sets</x:v>
      </x:c>
      <x:c r="M376" s="311" t="str"/>
      <x:c r="N376" s="311" t="n">
        <x:v>3</x:v>
      </x:c>
      <x:c r="O376" s="311" t="n">
        <x:v>10</x:v>
      </x:c>
      <x:c r="P376" s="311" t="n">
        <x:v>15</x:v>
      </x:c>
      <x:c r="Q376" s="311" t="n">
        <x:v>1</x:v>
      </x:c>
      <x:c r="R376" s="311" t="n">
        <x:v>75</x:v>
      </x:c>
      <x:c r="S376" s="311" t="str">
        <x:v>2-1-1</x:v>
      </x:c>
      <x:c r="T376" s="330" t="n">
        <x:v>1</x:v>
      </x:c>
      <x:c r="U376" s="330" t="n">
        <x:v>0</x:v>
      </x:c>
      <x:c r="V376" s="331" t="str">
        <x:v>load × reps</x:v>
      </x:c>
      <x:c r="W376" s="332" t="str">
        <x:f>'Readiness'!K47</x:f>
      </x:c>
      <x:c r="X376" s="314" t="n">
        <x:f>'Readiness'!L47</x:f>
        <x:v>1</x:v>
      </x:c>
      <x:c r="Y376" s="315" t="n">
        <x:f>IF(J376="Mobility",N376,MAX(1,ROUND(N376*X376,0)))</x:f>
        <x:v>3</x:v>
      </x:c>
      <x:c r="Z376" s="333" t="n">
        <x:f>ROUND((IF(AU323&gt;0,AU323,IF(Z323&gt;0,Z323,'Setup'!$D$67))*T376)/'Setup'!$B$9,0)*'Setup'!$B$9</x:f>
        <x:v>0</x:v>
      </x:c>
      <x:c r="AA376" s="334"/>
      <x:c r="AB376" s="334"/>
      <x:c r="AC376" s="334"/>
      <x:c r="AD376" s="334"/>
      <x:c r="AE376" s="334"/>
      <x:c r="AF376" s="334"/>
      <x:c r="AG376" s="334"/>
      <x:c r="AH376" s="334"/>
      <x:c r="AI376" s="334"/>
      <x:c r="AJ376" s="312"/>
      <x:c r="AK376" s="312"/>
      <x:c r="AL376" s="312"/>
      <x:c r="AM376" s="312"/>
      <x:c r="AN376" s="312"/>
      <x:c r="AO376" s="315" t="n">
        <x:f>COUNT(AB376,AD376,AF376,AH376,AJ376)</x:f>
        <x:v>0</x:v>
      </x:c>
      <x:c r="AP376" s="315" t="n">
        <x:f>SUM(AB376,AD376,AF376,AH376,AJ376)</x:f>
        <x:v>0</x:v>
      </x:c>
      <x:c r="AQ376" s="333" t="n">
        <x:f>AA376*AB376+AC376*AD376+AE376*AF376+AG376*AH376+AI376*AJ376</x:f>
        <x:v>0</x:v>
      </x:c>
      <x:c r="AR376" s="333" t="n">
        <x:f>IF(OR(J376="Strength",J376="Hypertrophy"),MAX(IF(AB376&gt;0,AA376*(1+AB376/30),0),IF(AD376&gt;0,AC376*(1+AD376/30),0),IF(AF376&gt;0,AE376*(1+AF376/30),0),IF(AH376&gt;0,AG376*(1+AH376/30),0),IF(AJ376&gt;0,AI376*(1+AJ376/30),0)),0)</x:f>
        <x:v>0</x:v>
      </x:c>
      <x:c r="AS376" s="315" t="str">
        <x:f>IF(AN376&lt;&gt;"Yes","Not logged",IF(AL376&gt;='Setup'!$B$14,"STOP / MODIFY",IF(Z376=0,"Complete",IF(OR(AO376=0,AK376=""),"Add set data + RIR",IF(AND(MAX(AB376,AD376,AF376,AH376,AJ376)&gt;=P376,AK376&gt;=Q376+1),"Progress",IF(OR(MAX(AB376,AD376,AF376,AH376,AJ376)&lt;O376,AK376&lt;Q376-1),"Regress","Hold"))))))</x:f>
        <x:v>Not logged</x:v>
      </x:c>
      <x:c r="AT376" s="335" t="n">
        <x:f>IF(OR(Z376=0,AN376&lt;&gt;"Yes",AO376=0,AK376=""),0,IF(AL376&gt;='Setup'!$B$14,-2*'Setup'!$B$11,IF(AND(MAX(AB376,AD376,AF376,AH376,AJ376)&gt;=P376,AK376&gt;=Q376+1),'Setup'!$B$10,IF(OR(MAX(AB376,AD376,AF376,AH376,AJ376)&lt;O376,AK376&lt;Q376-1),-'Setup'!$B$11,0))))</x:f>
        <x:v>0</x:v>
      </x:c>
      <x:c r="AU376" s="333" t="n">
        <x:f>IF(Z376=0,0,IF(AN376&lt;&gt;"Yes",Z376,IF(COUNT(AA376,AC376,AE376,AG376,AI376)=0,Z376,ROUND((MAX(AA376,AC376,AE376,AG376,AI376)*(1+AT376))/'Setup'!$B$9,0)*'Setup'!$B$9)))</x:f>
        <x:v>0</x:v>
      </x:c>
      <x:c r="AV376" s="336"/>
    </x:row>
    <x:row r="377">
      <x:c r="A377" s="310" t="n">
        <x:f>'Setup'!$B$3+(C377-1)*7+(D377-1)</x:f>
        <x:v>46290</x:v>
      </x:c>
      <x:c r="B377" s="311" t="str">
        <x:v>7|5|4</x:v>
      </x:c>
      <x:c r="C377" s="311" t="n">
        <x:v>7</x:v>
      </x:c>
      <x:c r="D377" s="311" t="n">
        <x:v>5</x:v>
      </x:c>
      <x:c r="E377" s="311" t="str">
        <x:v>Intensification</x:v>
      </x:c>
      <x:c r="F377" s="311" t="str">
        <x:v>Pull Hypertrophy</x:v>
      </x:c>
      <x:c r="G377" s="311" t="str">
        <x:v>Back, rear delts, and biceps volume</x:v>
      </x:c>
      <x:c r="H377" s="311" t="n">
        <x:v>4</x:v>
      </x:c>
      <x:c r="I377" s="311" t="str">
        <x:v>Straight-Arm Pulldown</x:v>
      </x:c>
      <x:c r="J377" s="311" t="str">
        <x:v>Hypertrophy</x:v>
      </x:c>
      <x:c r="K377" s="311" t="str">
        <x:v>Back</x:v>
      </x:c>
      <x:c r="L377" s="311" t="str">
        <x:v>Straight sets</x:v>
      </x:c>
      <x:c r="M377" s="311" t="str"/>
      <x:c r="N377" s="311" t="n">
        <x:v>3</x:v>
      </x:c>
      <x:c r="O377" s="311" t="n">
        <x:v>12</x:v>
      </x:c>
      <x:c r="P377" s="311" t="n">
        <x:v>15</x:v>
      </x:c>
      <x:c r="Q377" s="311" t="n">
        <x:v>1</x:v>
      </x:c>
      <x:c r="R377" s="311" t="n">
        <x:v>60</x:v>
      </x:c>
      <x:c r="S377" s="311" t="str">
        <x:v>3-1-1</x:v>
      </x:c>
      <x:c r="T377" s="330" t="n">
        <x:v>1</x:v>
      </x:c>
      <x:c r="U377" s="330" t="n">
        <x:v>0</x:v>
      </x:c>
      <x:c r="V377" s="331" t="str">
        <x:v>load × reps</x:v>
      </x:c>
      <x:c r="W377" s="332" t="str">
        <x:f>'Readiness'!K47</x:f>
      </x:c>
      <x:c r="X377" s="314" t="n">
        <x:f>'Readiness'!L47</x:f>
        <x:v>1</x:v>
      </x:c>
      <x:c r="Y377" s="315" t="n">
        <x:f>IF(J377="Mobility",N377,MAX(1,ROUND(N377*X377,0)))</x:f>
        <x:v>3</x:v>
      </x:c>
      <x:c r="Z377" s="333" t="n">
        <x:f>ROUND((IF(AU324&gt;0,AU324,IF(Z324&gt;0,Z324,'Setup'!$D$91))*T377)/'Setup'!$B$9,0)*'Setup'!$B$9</x:f>
        <x:v>0</x:v>
      </x:c>
      <x:c r="AA377" s="334"/>
      <x:c r="AB377" s="334"/>
      <x:c r="AC377" s="334"/>
      <x:c r="AD377" s="334"/>
      <x:c r="AE377" s="334"/>
      <x:c r="AF377" s="334"/>
      <x:c r="AG377" s="334"/>
      <x:c r="AH377" s="334"/>
      <x:c r="AI377" s="334"/>
      <x:c r="AJ377" s="312"/>
      <x:c r="AK377" s="312"/>
      <x:c r="AL377" s="312"/>
      <x:c r="AM377" s="312"/>
      <x:c r="AN377" s="312"/>
      <x:c r="AO377" s="315" t="n">
        <x:f>COUNT(AB377,AD377,AF377,AH377,AJ377)</x:f>
        <x:v>0</x:v>
      </x:c>
      <x:c r="AP377" s="315" t="n">
        <x:f>SUM(AB377,AD377,AF377,AH377,AJ377)</x:f>
        <x:v>0</x:v>
      </x:c>
      <x:c r="AQ377" s="333" t="n">
        <x:f>AA377*AB377+AC377*AD377+AE377*AF377+AG377*AH377+AI377*AJ377</x:f>
        <x:v>0</x:v>
      </x:c>
      <x:c r="AR377" s="333" t="n">
        <x:f>IF(OR(J377="Strength",J377="Hypertrophy"),MAX(IF(AB377&gt;0,AA377*(1+AB377/30),0),IF(AD377&gt;0,AC377*(1+AD377/30),0),IF(AF377&gt;0,AE377*(1+AF377/30),0),IF(AH377&gt;0,AG377*(1+AH377/30),0),IF(AJ377&gt;0,AI377*(1+AJ377/30),0)),0)</x:f>
        <x:v>0</x:v>
      </x:c>
      <x:c r="AS377" s="315" t="str">
        <x:f>IF(AN377&lt;&gt;"Yes","Not logged",IF(AL377&gt;='Setup'!$B$14,"STOP / MODIFY",IF(Z377=0,"Complete",IF(OR(AO377=0,AK377=""),"Add set data + RIR",IF(AND(MAX(AB377,AD377,AF377,AH377,AJ377)&gt;=P377,AK377&gt;=Q377+1),"Progress",IF(OR(MAX(AB377,AD377,AF377,AH377,AJ377)&lt;O377,AK377&lt;Q377-1),"Regress","Hold"))))))</x:f>
        <x:v>Not logged</x:v>
      </x:c>
      <x:c r="AT377" s="335" t="n">
        <x:f>IF(OR(Z377=0,AN377&lt;&gt;"Yes",AO377=0,AK377=""),0,IF(AL377&gt;='Setup'!$B$14,-2*'Setup'!$B$11,IF(AND(MAX(AB377,AD377,AF377,AH377,AJ377)&gt;=P377,AK377&gt;=Q377+1),'Setup'!$B$10,IF(OR(MAX(AB377,AD377,AF377,AH377,AJ377)&lt;O377,AK377&lt;Q377-1),-'Setup'!$B$11,0))))</x:f>
        <x:v>0</x:v>
      </x:c>
      <x:c r="AU377" s="333" t="n">
        <x:f>IF(Z377=0,0,IF(AN377&lt;&gt;"Yes",Z377,IF(COUNT(AA377,AC377,AE377,AG377,AI377)=0,Z377,ROUND((MAX(AA377,AC377,AE377,AG377,AI377)*(1+AT377))/'Setup'!$B$9,0)*'Setup'!$B$9)))</x:f>
        <x:v>0</x:v>
      </x:c>
      <x:c r="AV377" s="336"/>
    </x:row>
    <x:row r="378">
      <x:c r="A378" s="310" t="n">
        <x:f>'Setup'!$B$3+(C378-1)*7+(D378-1)</x:f>
        <x:v>46290</x:v>
      </x:c>
      <x:c r="B378" s="311" t="str">
        <x:v>7|5|5</x:v>
      </x:c>
      <x:c r="C378" s="311" t="n">
        <x:v>7</x:v>
      </x:c>
      <x:c r="D378" s="311" t="n">
        <x:v>5</x:v>
      </x:c>
      <x:c r="E378" s="311" t="str">
        <x:v>Intensification</x:v>
      </x:c>
      <x:c r="F378" s="311" t="str">
        <x:v>Pull Hypertrophy</x:v>
      </x:c>
      <x:c r="G378" s="311" t="str">
        <x:v>Back, rear delts, and biceps volume</x:v>
      </x:c>
      <x:c r="H378" s="311" t="n">
        <x:v>5</x:v>
      </x:c>
      <x:c r="I378" s="311" t="str">
        <x:v>Rear Delt Cable Fly</x:v>
      </x:c>
      <x:c r="J378" s="311" t="str">
        <x:v>Hypertrophy</x:v>
      </x:c>
      <x:c r="K378" s="311" t="str">
        <x:v>Rear Delts</x:v>
      </x:c>
      <x:c r="L378" s="311" t="str">
        <x:v>Straight sets</x:v>
      </x:c>
      <x:c r="M378" s="311" t="str"/>
      <x:c r="N378" s="311" t="n">
        <x:v>4</x:v>
      </x:c>
      <x:c r="O378" s="311" t="n">
        <x:v>15</x:v>
      </x:c>
      <x:c r="P378" s="311" t="n">
        <x:v>20</x:v>
      </x:c>
      <x:c r="Q378" s="311" t="n">
        <x:v>1</x:v>
      </x:c>
      <x:c r="R378" s="311" t="n">
        <x:v>45</x:v>
      </x:c>
      <x:c r="S378" s="311" t="str">
        <x:v>2-1-2</x:v>
      </x:c>
      <x:c r="T378" s="330" t="n">
        <x:v>1</x:v>
      </x:c>
      <x:c r="U378" s="330" t="n">
        <x:v>0</x:v>
      </x:c>
      <x:c r="V378" s="331" t="str">
        <x:v>load × reps</x:v>
      </x:c>
      <x:c r="W378" s="332" t="str">
        <x:f>'Readiness'!K47</x:f>
      </x:c>
      <x:c r="X378" s="314" t="n">
        <x:f>'Readiness'!L47</x:f>
        <x:v>1</x:v>
      </x:c>
      <x:c r="Y378" s="315" t="n">
        <x:f>IF(J378="Mobility",N378,MAX(1,ROUND(N378*X378,0)))</x:f>
        <x:v>4</x:v>
      </x:c>
      <x:c r="Z378" s="333" t="n">
        <x:f>ROUND((IF(AU325&gt;0,AU325,IF(Z325&gt;0,Z325,'Setup'!$D$78))*T378)/'Setup'!$B$9,0)*'Setup'!$B$9</x:f>
        <x:v>0</x:v>
      </x:c>
      <x:c r="AA378" s="334"/>
      <x:c r="AB378" s="334"/>
      <x:c r="AC378" s="334"/>
      <x:c r="AD378" s="334"/>
      <x:c r="AE378" s="334"/>
      <x:c r="AF378" s="334"/>
      <x:c r="AG378" s="334"/>
      <x:c r="AH378" s="334"/>
      <x:c r="AI378" s="334"/>
      <x:c r="AJ378" s="312"/>
      <x:c r="AK378" s="312"/>
      <x:c r="AL378" s="312"/>
      <x:c r="AM378" s="312"/>
      <x:c r="AN378" s="312"/>
      <x:c r="AO378" s="315" t="n">
        <x:f>COUNT(AB378,AD378,AF378,AH378,AJ378)</x:f>
        <x:v>0</x:v>
      </x:c>
      <x:c r="AP378" s="315" t="n">
        <x:f>SUM(AB378,AD378,AF378,AH378,AJ378)</x:f>
        <x:v>0</x:v>
      </x:c>
      <x:c r="AQ378" s="333" t="n">
        <x:f>AA378*AB378+AC378*AD378+AE378*AF378+AG378*AH378+AI378*AJ378</x:f>
        <x:v>0</x:v>
      </x:c>
      <x:c r="AR378" s="333" t="n">
        <x:f>IF(OR(J378="Strength",J378="Hypertrophy"),MAX(IF(AB378&gt;0,AA378*(1+AB378/30),0),IF(AD378&gt;0,AC378*(1+AD378/30),0),IF(AF378&gt;0,AE378*(1+AF378/30),0),IF(AH378&gt;0,AG378*(1+AH378/30),0),IF(AJ378&gt;0,AI378*(1+AJ378/30),0)),0)</x:f>
        <x:v>0</x:v>
      </x:c>
      <x:c r="AS378" s="315" t="str">
        <x:f>IF(AN378&lt;&gt;"Yes","Not logged",IF(AL378&gt;='Setup'!$B$14,"STOP / MODIFY",IF(Z378=0,"Complete",IF(OR(AO378=0,AK378=""),"Add set data + RIR",IF(AND(MAX(AB378,AD378,AF378,AH378,AJ378)&gt;=P378,AK378&gt;=Q378+1),"Progress",IF(OR(MAX(AB378,AD378,AF378,AH378,AJ378)&lt;O378,AK378&lt;Q378-1),"Regress","Hold"))))))</x:f>
        <x:v>Not logged</x:v>
      </x:c>
      <x:c r="AT378" s="335" t="n">
        <x:f>IF(OR(Z378=0,AN378&lt;&gt;"Yes",AO378=0,AK378=""),0,IF(AL378&gt;='Setup'!$B$14,-2*'Setup'!$B$11,IF(AND(MAX(AB378,AD378,AF378,AH378,AJ378)&gt;=P378,AK378&gt;=Q378+1),'Setup'!$B$10,IF(OR(MAX(AB378,AD378,AF378,AH378,AJ378)&lt;O378,AK378&lt;Q378-1),-'Setup'!$B$11,0))))</x:f>
        <x:v>0</x:v>
      </x:c>
      <x:c r="AU378" s="333" t="n">
        <x:f>IF(Z378=0,0,IF(AN378&lt;&gt;"Yes",Z378,IF(COUNT(AA378,AC378,AE378,AG378,AI378)=0,Z378,ROUND((MAX(AA378,AC378,AE378,AG378,AI378)*(1+AT378))/'Setup'!$B$9,0)*'Setup'!$B$9)))</x:f>
        <x:v>0</x:v>
      </x:c>
      <x:c r="AV378" s="336"/>
    </x:row>
    <x:row r="379">
      <x:c r="A379" s="310" t="n">
        <x:f>'Setup'!$B$3+(C379-1)*7+(D379-1)</x:f>
        <x:v>46290</x:v>
      </x:c>
      <x:c r="B379" s="311" t="str">
        <x:v>7|5|6</x:v>
      </x:c>
      <x:c r="C379" s="311" t="n">
        <x:v>7</x:v>
      </x:c>
      <x:c r="D379" s="311" t="n">
        <x:v>5</x:v>
      </x:c>
      <x:c r="E379" s="311" t="str">
        <x:v>Intensification</x:v>
      </x:c>
      <x:c r="F379" s="311" t="str">
        <x:v>Pull Hypertrophy</x:v>
      </x:c>
      <x:c r="G379" s="311" t="str">
        <x:v>Back, rear delts, and biceps volume</x:v>
      </x:c>
      <x:c r="H379" s="311" t="n">
        <x:v>6</x:v>
      </x:c>
      <x:c r="I379" s="311" t="str">
        <x:v>EZ-Bar Curl</x:v>
      </x:c>
      <x:c r="J379" s="311" t="str">
        <x:v>Hypertrophy</x:v>
      </x:c>
      <x:c r="K379" s="311" t="str">
        <x:v>Biceps</x:v>
      </x:c>
      <x:c r="L379" s="311" t="str">
        <x:v>Straight sets</x:v>
      </x:c>
      <x:c r="M379" s="311" t="str"/>
      <x:c r="N379" s="311" t="n">
        <x:v>3</x:v>
      </x:c>
      <x:c r="O379" s="311" t="n">
        <x:v>8</x:v>
      </x:c>
      <x:c r="P379" s="311" t="n">
        <x:v>12</x:v>
      </x:c>
      <x:c r="Q379" s="311" t="n">
        <x:v>1</x:v>
      </x:c>
      <x:c r="R379" s="311" t="n">
        <x:v>60</x:v>
      </x:c>
      <x:c r="S379" s="311" t="str">
        <x:v>3-0-1</x:v>
      </x:c>
      <x:c r="T379" s="330" t="n">
        <x:v>1</x:v>
      </x:c>
      <x:c r="U379" s="330" t="n">
        <x:v>0</x:v>
      </x:c>
      <x:c r="V379" s="331" t="str">
        <x:v>load × reps</x:v>
      </x:c>
      <x:c r="W379" s="332" t="str">
        <x:f>'Readiness'!K47</x:f>
      </x:c>
      <x:c r="X379" s="314" t="n">
        <x:f>'Readiness'!L47</x:f>
        <x:v>1</x:v>
      </x:c>
      <x:c r="Y379" s="315" t="n">
        <x:f>IF(J379="Mobility",N379,MAX(1,ROUND(N379*X379,0)))</x:f>
        <x:v>3</x:v>
      </x:c>
      <x:c r="Z379" s="333" t="n">
        <x:f>ROUND((IF(AU326&gt;0,AU326,IF(Z326&gt;0,Z326,'Setup'!$D$40))*T379)/'Setup'!$B$9,0)*'Setup'!$B$9</x:f>
        <x:v>0</x:v>
      </x:c>
      <x:c r="AA379" s="334"/>
      <x:c r="AB379" s="334"/>
      <x:c r="AC379" s="334"/>
      <x:c r="AD379" s="334"/>
      <x:c r="AE379" s="334"/>
      <x:c r="AF379" s="334"/>
      <x:c r="AG379" s="334"/>
      <x:c r="AH379" s="334"/>
      <x:c r="AI379" s="334"/>
      <x:c r="AJ379" s="312"/>
      <x:c r="AK379" s="312"/>
      <x:c r="AL379" s="312"/>
      <x:c r="AM379" s="312"/>
      <x:c r="AN379" s="312"/>
      <x:c r="AO379" s="315" t="n">
        <x:f>COUNT(AB379,AD379,AF379,AH379,AJ379)</x:f>
        <x:v>0</x:v>
      </x:c>
      <x:c r="AP379" s="315" t="n">
        <x:f>SUM(AB379,AD379,AF379,AH379,AJ379)</x:f>
        <x:v>0</x:v>
      </x:c>
      <x:c r="AQ379" s="333" t="n">
        <x:f>AA379*AB379+AC379*AD379+AE379*AF379+AG379*AH379+AI379*AJ379</x:f>
        <x:v>0</x:v>
      </x:c>
      <x:c r="AR379" s="333" t="n">
        <x:f>IF(OR(J379="Strength",J379="Hypertrophy"),MAX(IF(AB379&gt;0,AA379*(1+AB379/30),0),IF(AD379&gt;0,AC379*(1+AD379/30),0),IF(AF379&gt;0,AE379*(1+AF379/30),0),IF(AH379&gt;0,AG379*(1+AH379/30),0),IF(AJ379&gt;0,AI379*(1+AJ379/30),0)),0)</x:f>
        <x:v>0</x:v>
      </x:c>
      <x:c r="AS379" s="315" t="str">
        <x:f>IF(AN379&lt;&gt;"Yes","Not logged",IF(AL379&gt;='Setup'!$B$14,"STOP / MODIFY",IF(Z379=0,"Complete",IF(OR(AO379=0,AK379=""),"Add set data + RIR",IF(AND(MAX(AB379,AD379,AF379,AH379,AJ379)&gt;=P379,AK379&gt;=Q379+1),"Progress",IF(OR(MAX(AB379,AD379,AF379,AH379,AJ379)&lt;O379,AK379&lt;Q379-1),"Regress","Hold"))))))</x:f>
        <x:v>Not logged</x:v>
      </x:c>
      <x:c r="AT379" s="335" t="n">
        <x:f>IF(OR(Z379=0,AN379&lt;&gt;"Yes",AO379=0,AK379=""),0,IF(AL379&gt;='Setup'!$B$14,-2*'Setup'!$B$11,IF(AND(MAX(AB379,AD379,AF379,AH379,AJ379)&gt;=P379,AK379&gt;=Q379+1),'Setup'!$B$10,IF(OR(MAX(AB379,AD379,AF379,AH379,AJ379)&lt;O379,AK379&lt;Q379-1),-'Setup'!$B$11,0))))</x:f>
        <x:v>0</x:v>
      </x:c>
      <x:c r="AU379" s="333" t="n">
        <x:f>IF(Z379=0,0,IF(AN379&lt;&gt;"Yes",Z379,IF(COUNT(AA379,AC379,AE379,AG379,AI379)=0,Z379,ROUND((MAX(AA379,AC379,AE379,AG379,AI379)*(1+AT379))/'Setup'!$B$9,0)*'Setup'!$B$9)))</x:f>
        <x:v>0</x:v>
      </x:c>
      <x:c r="AV379" s="336"/>
    </x:row>
    <x:row r="380">
      <x:c r="A380" s="310" t="n">
        <x:f>'Setup'!$B$3+(C380-1)*7+(D380-1)</x:f>
        <x:v>46290</x:v>
      </x:c>
      <x:c r="B380" s="311" t="str">
        <x:v>7|5|7</x:v>
      </x:c>
      <x:c r="C380" s="311" t="n">
        <x:v>7</x:v>
      </x:c>
      <x:c r="D380" s="311" t="n">
        <x:v>5</x:v>
      </x:c>
      <x:c r="E380" s="311" t="str">
        <x:v>Intensification</x:v>
      </x:c>
      <x:c r="F380" s="311" t="str">
        <x:v>Pull Hypertrophy</x:v>
      </x:c>
      <x:c r="G380" s="311" t="str">
        <x:v>Back, rear delts, and biceps volume</x:v>
      </x:c>
      <x:c r="H380" s="311" t="n">
        <x:v>7</x:v>
      </x:c>
      <x:c r="I380" s="311" t="str">
        <x:v>Incline Dumbbell Curl</x:v>
      </x:c>
      <x:c r="J380" s="311" t="str">
        <x:v>Hypertrophy</x:v>
      </x:c>
      <x:c r="K380" s="311" t="str">
        <x:v>Biceps</x:v>
      </x:c>
      <x:c r="L380" s="311" t="str">
        <x:v>Final-set drop, reduce 20–25% once</x:v>
      </x:c>
      <x:c r="M380" s="311" t="str"/>
      <x:c r="N380" s="311" t="n">
        <x:v>3</x:v>
      </x:c>
      <x:c r="O380" s="311" t="n">
        <x:v>10</x:v>
      </x:c>
      <x:c r="P380" s="311" t="n">
        <x:v>15</x:v>
      </x:c>
      <x:c r="Q380" s="311" t="n">
        <x:v>1</x:v>
      </x:c>
      <x:c r="R380" s="311" t="n">
        <x:v>60</x:v>
      </x:c>
      <x:c r="S380" s="311" t="str">
        <x:v>3-1-1</x:v>
      </x:c>
      <x:c r="T380" s="330" t="n">
        <x:v>1</x:v>
      </x:c>
      <x:c r="U380" s="330" t="n">
        <x:v>0</x:v>
      </x:c>
      <x:c r="V380" s="331" t="str">
        <x:v>load × reps</x:v>
      </x:c>
      <x:c r="W380" s="332" t="str">
        <x:f>'Readiness'!K47</x:f>
      </x:c>
      <x:c r="X380" s="314" t="n">
        <x:f>'Readiness'!L47</x:f>
        <x:v>1</x:v>
      </x:c>
      <x:c r="Y380" s="315" t="n">
        <x:f>IF(J380="Mobility",N380,MAX(1,ROUND(N380*X380,0)))</x:f>
        <x:v>3</x:v>
      </x:c>
      <x:c r="Z380" s="333" t="n">
        <x:f>ROUND((IF(AU327&gt;0,AU327,IF(Z327&gt;0,Z327,'Setup'!$D$51))*T380)/'Setup'!$B$9,0)*'Setup'!$B$9</x:f>
        <x:v>0</x:v>
      </x:c>
      <x:c r="AA380" s="334"/>
      <x:c r="AB380" s="334"/>
      <x:c r="AC380" s="334"/>
      <x:c r="AD380" s="334"/>
      <x:c r="AE380" s="334"/>
      <x:c r="AF380" s="334"/>
      <x:c r="AG380" s="334"/>
      <x:c r="AH380" s="334"/>
      <x:c r="AI380" s="334"/>
      <x:c r="AJ380" s="312"/>
      <x:c r="AK380" s="312"/>
      <x:c r="AL380" s="312"/>
      <x:c r="AM380" s="312"/>
      <x:c r="AN380" s="312"/>
      <x:c r="AO380" s="315" t="n">
        <x:f>COUNT(AB380,AD380,AF380,AH380,AJ380)</x:f>
        <x:v>0</x:v>
      </x:c>
      <x:c r="AP380" s="315" t="n">
        <x:f>SUM(AB380,AD380,AF380,AH380,AJ380)</x:f>
        <x:v>0</x:v>
      </x:c>
      <x:c r="AQ380" s="333" t="n">
        <x:f>AA380*AB380+AC380*AD380+AE380*AF380+AG380*AH380+AI380*AJ380</x:f>
        <x:v>0</x:v>
      </x:c>
      <x:c r="AR380" s="333" t="n">
        <x:f>IF(OR(J380="Strength",J380="Hypertrophy"),MAX(IF(AB380&gt;0,AA380*(1+AB380/30),0),IF(AD380&gt;0,AC380*(1+AD380/30),0),IF(AF380&gt;0,AE380*(1+AF380/30),0),IF(AH380&gt;0,AG380*(1+AH380/30),0),IF(AJ380&gt;0,AI380*(1+AJ380/30),0)),0)</x:f>
        <x:v>0</x:v>
      </x:c>
      <x:c r="AS380" s="315" t="str">
        <x:f>IF(AN380&lt;&gt;"Yes","Not logged",IF(AL380&gt;='Setup'!$B$14,"STOP / MODIFY",IF(Z380=0,"Complete",IF(OR(AO380=0,AK380=""),"Add set data + RIR",IF(AND(MAX(AB380,AD380,AF380,AH380,AJ380)&gt;=P380,AK380&gt;=Q380+1),"Progress",IF(OR(MAX(AB380,AD380,AF380,AH380,AJ380)&lt;O380,AK380&lt;Q380-1),"Regress","Hold"))))))</x:f>
        <x:v>Not logged</x:v>
      </x:c>
      <x:c r="AT380" s="335" t="n">
        <x:f>IF(OR(Z380=0,AN380&lt;&gt;"Yes",AO380=0,AK380=""),0,IF(AL380&gt;='Setup'!$B$14,-2*'Setup'!$B$11,IF(AND(MAX(AB380,AD380,AF380,AH380,AJ380)&gt;=P380,AK380&gt;=Q380+1),'Setup'!$B$10,IF(OR(MAX(AB380,AD380,AF380,AH380,AJ380)&lt;O380,AK380&lt;Q380-1),-'Setup'!$B$11,0))))</x:f>
        <x:v>0</x:v>
      </x:c>
      <x:c r="AU380" s="333" t="n">
        <x:f>IF(Z380=0,0,IF(AN380&lt;&gt;"Yes",Z380,IF(COUNT(AA380,AC380,AE380,AG380,AI380)=0,Z380,ROUND((MAX(AA380,AC380,AE380,AG380,AI380)*(1+AT380))/'Setup'!$B$9,0)*'Setup'!$B$9)))</x:f>
        <x:v>0</x:v>
      </x:c>
      <x:c r="AV380" s="336"/>
    </x:row>
    <x:row r="381">
      <x:c r="A381" s="310" t="n">
        <x:f>'Setup'!$B$3+(C381-1)*7+(D381-1)</x:f>
        <x:v>46290</x:v>
      </x:c>
      <x:c r="B381" s="311" t="str">
        <x:v>7|5|8</x:v>
      </x:c>
      <x:c r="C381" s="311" t="n">
        <x:v>7</x:v>
      </x:c>
      <x:c r="D381" s="311" t="n">
        <x:v>5</x:v>
      </x:c>
      <x:c r="E381" s="311" t="str">
        <x:v>Intensification</x:v>
      </x:c>
      <x:c r="F381" s="311" t="str">
        <x:v>Pull Hypertrophy</x:v>
      </x:c>
      <x:c r="G381" s="311" t="str">
        <x:v>Back, rear delts, and biceps volume</x:v>
      </x:c>
      <x:c r="H381" s="311" t="n">
        <x:v>8</x:v>
      </x:c>
      <x:c r="I381" s="311" t="str">
        <x:v>SkiErg Power Intervals</x:v>
      </x:c>
      <x:c r="J381" s="311" t="str">
        <x:v>Athletic</x:v>
      </x:c>
      <x:c r="K381" s="311" t="str">
        <x:v>Full Body</x:v>
      </x:c>
      <x:c r="L381" s="311" t="str">
        <x:v>15 s hard / 45 s easy</x:v>
      </x:c>
      <x:c r="M381" s="311" t="str"/>
      <x:c r="N381" s="311" t="n">
        <x:v>6</x:v>
      </x:c>
      <x:c r="O381" s="311" t="n">
        <x:v>15</x:v>
      </x:c>
      <x:c r="P381" s="311" t="n">
        <x:v>15</x:v>
      </x:c>
      <x:c r="Q381" s="311" t="n">
        <x:v>2</x:v>
      </x:c>
      <x:c r="R381" s="311" t="n">
        <x:v>45</x:v>
      </x:c>
      <x:c r="S381" s="311" t="str">
        <x:v>Powerful</x:v>
      </x:c>
      <x:c r="T381" s="330" t="n">
        <x:v>1</x:v>
      </x:c>
      <x:c r="U381" s="330" t="n">
        <x:v>0</x:v>
      </x:c>
      <x:c r="V381" s="331" t="str">
        <x:v>watts / meters</x:v>
      </x:c>
      <x:c r="W381" s="332" t="str">
        <x:f>'Readiness'!K47</x:f>
      </x:c>
      <x:c r="X381" s="314" t="n">
        <x:f>'Readiness'!L47</x:f>
        <x:v>1</x:v>
      </x:c>
      <x:c r="Y381" s="315" t="n">
        <x:f>IF(J381="Mobility",N381,MAX(1,ROUND(N381*X381,0)))</x:f>
        <x:v>6</x:v>
      </x:c>
      <x:c r="Z381" s="333" t="n">
        <x:f>0</x:f>
        <x:v>0</x:v>
      </x:c>
      <x:c r="AA381" s="334"/>
      <x:c r="AB381" s="334"/>
      <x:c r="AC381" s="334"/>
      <x:c r="AD381" s="334"/>
      <x:c r="AE381" s="334"/>
      <x:c r="AF381" s="334"/>
      <x:c r="AG381" s="334"/>
      <x:c r="AH381" s="334"/>
      <x:c r="AI381" s="334"/>
      <x:c r="AJ381" s="312"/>
      <x:c r="AK381" s="312"/>
      <x:c r="AL381" s="312"/>
      <x:c r="AM381" s="312"/>
      <x:c r="AN381" s="312"/>
      <x:c r="AO381" s="315" t="n">
        <x:f>COUNT(AB381,AD381,AF381,AH381,AJ381)</x:f>
        <x:v>0</x:v>
      </x:c>
      <x:c r="AP381" s="315" t="n">
        <x:f>SUM(AB381,AD381,AF381,AH381,AJ381)</x:f>
        <x:v>0</x:v>
      </x:c>
      <x:c r="AQ381" s="333" t="n">
        <x:f>AA381*AB381+AC381*AD381+AE381*AF381+AG381*AH381+AI381*AJ381</x:f>
        <x:v>0</x:v>
      </x:c>
      <x:c r="AR381" s="333" t="n">
        <x:f>IF(OR(J381="Strength",J381="Hypertrophy"),MAX(IF(AB381&gt;0,AA381*(1+AB381/30),0),IF(AD381&gt;0,AC381*(1+AD381/30),0),IF(AF381&gt;0,AE381*(1+AF381/30),0),IF(AH381&gt;0,AG381*(1+AH381/30),0),IF(AJ381&gt;0,AI381*(1+AJ381/30),0)),0)</x:f>
        <x:v>0</x:v>
      </x:c>
      <x:c r="AS381" s="315" t="str">
        <x:f>IF(AN381&lt;&gt;"Yes","Not logged",IF(AL381&gt;='Setup'!$B$14,"STOP / MODIFY",IF(Z381=0,"Complete",IF(OR(AO381=0,AK381=""),"Add set data + RIR",IF(AND(MAX(AB381,AD381,AF381,AH381,AJ381)&gt;=P381,AK381&gt;=Q381+1),"Progress",IF(OR(MAX(AB381,AD381,AF381,AH381,AJ381)&lt;O381,AK381&lt;Q381-1),"Regress","Hold"))))))</x:f>
        <x:v>Not logged</x:v>
      </x:c>
      <x:c r="AT381" s="335" t="n">
        <x:f>IF(OR(Z381=0,AN381&lt;&gt;"Yes",AO381=0,AK381=""),0,IF(AL381&gt;='Setup'!$B$14,-2*'Setup'!$B$11,IF(AND(MAX(AB381,AD381,AF381,AH381,AJ381)&gt;=P381,AK381&gt;=Q381+1),'Setup'!$B$10,IF(OR(MAX(AB381,AD381,AF381,AH381,AJ381)&lt;O381,AK381&lt;Q381-1),-'Setup'!$B$11,0))))</x:f>
        <x:v>0</x:v>
      </x:c>
      <x:c r="AU381" s="333" t="n">
        <x:f>IF(Z381=0,0,IF(AN381&lt;&gt;"Yes",Z381,IF(COUNT(AA381,AC381,AE381,AG381,AI381)=0,Z381,ROUND((MAX(AA381,AC381,AE381,AG381,AI381)*(1+AT381))/'Setup'!$B$9,0)*'Setup'!$B$9)))</x:f>
        <x:v>0</x:v>
      </x:c>
      <x:c r="AV381" s="336"/>
    </x:row>
    <x:row r="382">
      <x:c r="A382" s="310" t="n">
        <x:f>'Setup'!$B$3+(C382-1)*7+(D382-1)</x:f>
        <x:v>46290</x:v>
      </x:c>
      <x:c r="B382" s="311" t="str">
        <x:v>7|5|9</x:v>
      </x:c>
      <x:c r="C382" s="311" t="n">
        <x:v>7</x:v>
      </x:c>
      <x:c r="D382" s="311" t="n">
        <x:v>5</x:v>
      </x:c>
      <x:c r="E382" s="311" t="str">
        <x:v>Intensification</x:v>
      </x:c>
      <x:c r="F382" s="311" t="str">
        <x:v>Pull Hypertrophy</x:v>
      </x:c>
      <x:c r="G382" s="311" t="str">
        <x:v>Back, rear delts, and biceps volume</x:v>
      </x:c>
      <x:c r="H382" s="311" t="n">
        <x:v>9</x:v>
      </x:c>
      <x:c r="I382" s="311" t="str">
        <x:v>Passive Hang</x:v>
      </x:c>
      <x:c r="J382" s="311" t="str">
        <x:v>Mobility</x:v>
      </x:c>
      <x:c r="K382" s="311" t="str">
        <x:v>Shoulders</x:v>
      </x:c>
      <x:c r="L382" s="311" t="str">
        <x:v>Relaxed breathing</x:v>
      </x:c>
      <x:c r="M382" s="311" t="str"/>
      <x:c r="N382" s="311" t="n">
        <x:v>2</x:v>
      </x:c>
      <x:c r="O382" s="311" t="n">
        <x:v>20</x:v>
      </x:c>
      <x:c r="P382" s="311" t="n">
        <x:v>40</x:v>
      </x:c>
      <x:c r="Q382" s="311" t="str"/>
      <x:c r="R382" s="311" t="n">
        <x:v>30</x:v>
      </x:c>
      <x:c r="S382" s="311" t="str">
        <x:v>Hold</x:v>
      </x:c>
      <x:c r="T382" s="330" t="n">
        <x:v>1</x:v>
      </x:c>
      <x:c r="U382" s="330" t="n">
        <x:v>0</x:v>
      </x:c>
      <x:c r="V382" s="331" t="str">
        <x:v>seconds</x:v>
      </x:c>
      <x:c r="W382" s="332" t="str">
        <x:f>'Readiness'!K47</x:f>
      </x:c>
      <x:c r="X382" s="314" t="n">
        <x:f>'Readiness'!L47</x:f>
        <x:v>1</x:v>
      </x:c>
      <x:c r="Y382" s="315" t="n">
        <x:f>IF(J382="Mobility",N382,MAX(1,ROUND(N382*X382,0)))</x:f>
        <x:v>2</x:v>
      </x:c>
      <x:c r="Z382" s="333" t="n">
        <x:f>0</x:f>
        <x:v>0</x:v>
      </x:c>
      <x:c r="AA382" s="334"/>
      <x:c r="AB382" s="334"/>
      <x:c r="AC382" s="334"/>
      <x:c r="AD382" s="334"/>
      <x:c r="AE382" s="334"/>
      <x:c r="AF382" s="334"/>
      <x:c r="AG382" s="334"/>
      <x:c r="AH382" s="334"/>
      <x:c r="AI382" s="334"/>
      <x:c r="AJ382" s="312"/>
      <x:c r="AK382" s="312"/>
      <x:c r="AL382" s="312"/>
      <x:c r="AM382" s="312"/>
      <x:c r="AN382" s="312"/>
      <x:c r="AO382" s="315" t="n">
        <x:f>COUNT(AB382,AD382,AF382,AH382,AJ382)</x:f>
        <x:v>0</x:v>
      </x:c>
      <x:c r="AP382" s="315" t="n">
        <x:f>SUM(AB382,AD382,AF382,AH382,AJ382)</x:f>
        <x:v>0</x:v>
      </x:c>
      <x:c r="AQ382" s="333" t="n">
        <x:f>AA382*AB382+AC382*AD382+AE382*AF382+AG382*AH382+AI382*AJ382</x:f>
        <x:v>0</x:v>
      </x:c>
      <x:c r="AR382" s="333" t="n">
        <x:f>IF(OR(J382="Strength",J382="Hypertrophy"),MAX(IF(AB382&gt;0,AA382*(1+AB382/30),0),IF(AD382&gt;0,AC382*(1+AD382/30),0),IF(AF382&gt;0,AE382*(1+AF382/30),0),IF(AH382&gt;0,AG382*(1+AH382/30),0),IF(AJ382&gt;0,AI382*(1+AJ382/30),0)),0)</x:f>
        <x:v>0</x:v>
      </x:c>
      <x:c r="AS382" s="315" t="str">
        <x:f>IF(AN382&lt;&gt;"Yes","Not logged",IF(AL382&gt;='Setup'!$B$14,"STOP / MODIFY",IF(Z382=0,"Complete",IF(OR(AO382=0,AK382=""),"Add set data + RIR",IF(AND(MAX(AB382,AD382,AF382,AH382,AJ382)&gt;=P382,AK382&gt;=Q382+1),"Progress",IF(OR(MAX(AB382,AD382,AF382,AH382,AJ382)&lt;O382,AK382&lt;Q382-1),"Regress","Hold"))))))</x:f>
        <x:v>Not logged</x:v>
      </x:c>
      <x:c r="AT382" s="335" t="n">
        <x:f>IF(OR(Z382=0,AN382&lt;&gt;"Yes",AO382=0,AK382=""),0,IF(AL382&gt;='Setup'!$B$14,-2*'Setup'!$B$11,IF(AND(MAX(AB382,AD382,AF382,AH382,AJ382)&gt;=P382,AK382&gt;=Q382+1),'Setup'!$B$10,IF(OR(MAX(AB382,AD382,AF382,AH382,AJ382)&lt;O382,AK382&lt;Q382-1),-'Setup'!$B$11,0))))</x:f>
        <x:v>0</x:v>
      </x:c>
      <x:c r="AU382" s="333" t="n">
        <x:f>IF(Z382=0,0,IF(AN382&lt;&gt;"Yes",Z382,IF(COUNT(AA382,AC382,AE382,AG382,AI382)=0,Z382,ROUND((MAX(AA382,AC382,AE382,AG382,AI382)*(1+AT382))/'Setup'!$B$9,0)*'Setup'!$B$9)))</x:f>
        <x:v>0</x:v>
      </x:c>
      <x:c r="AV382" s="336"/>
    </x:row>
    <x:row r="383">
      <x:c r="A383" s="310" t="n">
        <x:f>'Setup'!$B$3+(C383-1)*7+(D383-1)</x:f>
        <x:v>46291</x:v>
      </x:c>
      <x:c r="B383" s="311" t="str">
        <x:v>7|6|1</x:v>
      </x:c>
      <x:c r="C383" s="311" t="n">
        <x:v>7</x:v>
      </x:c>
      <x:c r="D383" s="311" t="n">
        <x:v>6</x:v>
      </x:c>
      <x:c r="E383" s="311" t="str">
        <x:v>Intensification</x:v>
      </x:c>
      <x:c r="F383" s="311" t="str">
        <x:v>Athletic Full Body</x:v>
      </x:c>
      <x:c r="G383" s="311" t="str">
        <x:v>Speed, elastic power, work capacity</x:v>
      </x:c>
      <x:c r="H383" s="311" t="n">
        <x:v>1</x:v>
      </x:c>
      <x:c r="I383" s="311" t="str">
        <x:v>Acceleration Sprint</x:v>
      </x:c>
      <x:c r="J383" s="311" t="str">
        <x:v>Athletic</x:v>
      </x:c>
      <x:c r="K383" s="311" t="str">
        <x:v>Full Body</x:v>
      </x:c>
      <x:c r="L383" s="311" t="str">
        <x:v>Full recovery, stop on speed drop</x:v>
      </x:c>
      <x:c r="M383" s="311" t="str"/>
      <x:c r="N383" s="311" t="n">
        <x:v>6</x:v>
      </x:c>
      <x:c r="O383" s="311" t="n">
        <x:v>20</x:v>
      </x:c>
      <x:c r="P383" s="311" t="n">
        <x:v>20</x:v>
      </x:c>
      <x:c r="Q383" s="311" t="n">
        <x:v>2</x:v>
      </x:c>
      <x:c r="R383" s="311" t="n">
        <x:v>90</x:v>
      </x:c>
      <x:c r="S383" s="311" t="str">
        <x:v>Max quality</x:v>
      </x:c>
      <x:c r="T383" s="330" t="n">
        <x:v>1</x:v>
      </x:c>
      <x:c r="U383" s="330" t="n">
        <x:v>0</x:v>
      </x:c>
      <x:c r="V383" s="331" t="str">
        <x:v>20 m time</x:v>
      </x:c>
      <x:c r="W383" s="332" t="str">
        <x:f>'Readiness'!K48</x:f>
      </x:c>
      <x:c r="X383" s="314" t="n">
        <x:f>'Readiness'!L48</x:f>
        <x:v>1</x:v>
      </x:c>
      <x:c r="Y383" s="315" t="n">
        <x:f>IF(J383="Mobility",N383,MAX(1,ROUND(N383*X383,0)))</x:f>
        <x:v>6</x:v>
      </x:c>
      <x:c r="Z383" s="333" t="n">
        <x:f>0</x:f>
        <x:v>0</x:v>
      </x:c>
      <x:c r="AA383" s="334"/>
      <x:c r="AB383" s="334"/>
      <x:c r="AC383" s="334"/>
      <x:c r="AD383" s="334"/>
      <x:c r="AE383" s="334"/>
      <x:c r="AF383" s="334"/>
      <x:c r="AG383" s="334"/>
      <x:c r="AH383" s="334"/>
      <x:c r="AI383" s="334"/>
      <x:c r="AJ383" s="312"/>
      <x:c r="AK383" s="312"/>
      <x:c r="AL383" s="312"/>
      <x:c r="AM383" s="312"/>
      <x:c r="AN383" s="312"/>
      <x:c r="AO383" s="315" t="n">
        <x:f>COUNT(AB383,AD383,AF383,AH383,AJ383)</x:f>
        <x:v>0</x:v>
      </x:c>
      <x:c r="AP383" s="315" t="n">
        <x:f>SUM(AB383,AD383,AF383,AH383,AJ383)</x:f>
        <x:v>0</x:v>
      </x:c>
      <x:c r="AQ383" s="333" t="n">
        <x:f>AA383*AB383+AC383*AD383+AE383*AF383+AG383*AH383+AI383*AJ383</x:f>
        <x:v>0</x:v>
      </x:c>
      <x:c r="AR383" s="333" t="n">
        <x:f>IF(OR(J383="Strength",J383="Hypertrophy"),MAX(IF(AB383&gt;0,AA383*(1+AB383/30),0),IF(AD383&gt;0,AC383*(1+AD383/30),0),IF(AF383&gt;0,AE383*(1+AF383/30),0),IF(AH383&gt;0,AG383*(1+AH383/30),0),IF(AJ383&gt;0,AI383*(1+AJ383/30),0)),0)</x:f>
        <x:v>0</x:v>
      </x:c>
      <x:c r="AS383" s="315" t="str">
        <x:f>IF(AN383&lt;&gt;"Yes","Not logged",IF(AL383&gt;='Setup'!$B$14,"STOP / MODIFY",IF(Z383=0,"Complete",IF(OR(AO383=0,AK383=""),"Add set data + RIR",IF(AND(MAX(AB383,AD383,AF383,AH383,AJ383)&gt;=P383,AK383&gt;=Q383+1),"Progress",IF(OR(MAX(AB383,AD383,AF383,AH383,AJ383)&lt;O383,AK383&lt;Q383-1),"Regress","Hold"))))))</x:f>
        <x:v>Not logged</x:v>
      </x:c>
      <x:c r="AT383" s="335" t="n">
        <x:f>IF(OR(Z383=0,AN383&lt;&gt;"Yes",AO383=0,AK383=""),0,IF(AL383&gt;='Setup'!$B$14,-2*'Setup'!$B$11,IF(AND(MAX(AB383,AD383,AF383,AH383,AJ383)&gt;=P383,AK383&gt;=Q383+1),'Setup'!$B$10,IF(OR(MAX(AB383,AD383,AF383,AH383,AJ383)&lt;O383,AK383&lt;Q383-1),-'Setup'!$B$11,0))))</x:f>
        <x:v>0</x:v>
      </x:c>
      <x:c r="AU383" s="333" t="n">
        <x:f>IF(Z383=0,0,IF(AN383&lt;&gt;"Yes",Z383,IF(COUNT(AA383,AC383,AE383,AG383,AI383)=0,Z383,ROUND((MAX(AA383,AC383,AE383,AG383,AI383)*(1+AT383))/'Setup'!$B$9,0)*'Setup'!$B$9)))</x:f>
        <x:v>0</x:v>
      </x:c>
      <x:c r="AV383" s="336"/>
    </x:row>
    <x:row r="384">
      <x:c r="A384" s="310" t="n">
        <x:f>'Setup'!$B$3+(C384-1)*7+(D384-1)</x:f>
        <x:v>46291</x:v>
      </x:c>
      <x:c r="B384" s="311" t="str">
        <x:v>7|6|2</x:v>
      </x:c>
      <x:c r="C384" s="311" t="n">
        <x:v>7</x:v>
      </x:c>
      <x:c r="D384" s="311" t="n">
        <x:v>6</x:v>
      </x:c>
      <x:c r="E384" s="311" t="str">
        <x:v>Intensification</x:v>
      </x:c>
      <x:c r="F384" s="311" t="str">
        <x:v>Athletic Full Body</x:v>
      </x:c>
      <x:c r="G384" s="311" t="str">
        <x:v>Speed, elastic power, work capacity</x:v>
      </x:c>
      <x:c r="H384" s="311" t="n">
        <x:v>2</x:v>
      </x:c>
      <x:c r="I384" s="311" t="str">
        <x:v>Lateral Bound</x:v>
      </x:c>
      <x:c r="J384" s="311" t="str">
        <x:v>Power</x:v>
      </x:c>
      <x:c r="K384" s="311" t="str">
        <x:v>Glutes</x:v>
      </x:c>
      <x:c r="L384" s="311" t="str">
        <x:v>Stick landing</x:v>
      </x:c>
      <x:c r="M384" s="311" t="str"/>
      <x:c r="N384" s="311" t="n">
        <x:v>4</x:v>
      </x:c>
      <x:c r="O384" s="311" t="n">
        <x:v>4</x:v>
      </x:c>
      <x:c r="P384" s="311" t="n">
        <x:v>4</x:v>
      </x:c>
      <x:c r="Q384" s="311" t="n">
        <x:v>2</x:v>
      </x:c>
      <x:c r="R384" s="311" t="n">
        <x:v>60</x:v>
      </x:c>
      <x:c r="S384" s="311" t="str">
        <x:v>Explosive</x:v>
      </x:c>
      <x:c r="T384" s="330" t="n">
        <x:v>1</x:v>
      </x:c>
      <x:c r="U384" s="330" t="n">
        <x:v>0</x:v>
      </x:c>
      <x:c r="V384" s="331" t="str">
        <x:v>distance</x:v>
      </x:c>
      <x:c r="W384" s="332" t="str">
        <x:f>'Readiness'!K48</x:f>
      </x:c>
      <x:c r="X384" s="314" t="n">
        <x:f>'Readiness'!L48</x:f>
        <x:v>1</x:v>
      </x:c>
      <x:c r="Y384" s="315" t="n">
        <x:f>IF(J384="Mobility",N384,MAX(1,ROUND(N384*X384,0)))</x:f>
        <x:v>4</x:v>
      </x:c>
      <x:c r="Z384" s="333" t="n">
        <x:f>0</x:f>
        <x:v>0</x:v>
      </x:c>
      <x:c r="AA384" s="334"/>
      <x:c r="AB384" s="334"/>
      <x:c r="AC384" s="334"/>
      <x:c r="AD384" s="334"/>
      <x:c r="AE384" s="334"/>
      <x:c r="AF384" s="334"/>
      <x:c r="AG384" s="334"/>
      <x:c r="AH384" s="334"/>
      <x:c r="AI384" s="334"/>
      <x:c r="AJ384" s="312"/>
      <x:c r="AK384" s="312"/>
      <x:c r="AL384" s="312"/>
      <x:c r="AM384" s="312"/>
      <x:c r="AN384" s="312"/>
      <x:c r="AO384" s="315" t="n">
        <x:f>COUNT(AB384,AD384,AF384,AH384,AJ384)</x:f>
        <x:v>0</x:v>
      </x:c>
      <x:c r="AP384" s="315" t="n">
        <x:f>SUM(AB384,AD384,AF384,AH384,AJ384)</x:f>
        <x:v>0</x:v>
      </x:c>
      <x:c r="AQ384" s="333" t="n">
        <x:f>AA384*AB384+AC384*AD384+AE384*AF384+AG384*AH384+AI384*AJ384</x:f>
        <x:v>0</x:v>
      </x:c>
      <x:c r="AR384" s="333" t="n">
        <x:f>IF(OR(J384="Strength",J384="Hypertrophy"),MAX(IF(AB384&gt;0,AA384*(1+AB384/30),0),IF(AD384&gt;0,AC384*(1+AD384/30),0),IF(AF384&gt;0,AE384*(1+AF384/30),0),IF(AH384&gt;0,AG384*(1+AH384/30),0),IF(AJ384&gt;0,AI384*(1+AJ384/30),0)),0)</x:f>
        <x:v>0</x:v>
      </x:c>
      <x:c r="AS384" s="315" t="str">
        <x:f>IF(AN384&lt;&gt;"Yes","Not logged",IF(AL384&gt;='Setup'!$B$14,"STOP / MODIFY",IF(Z384=0,"Complete",IF(OR(AO384=0,AK384=""),"Add set data + RIR",IF(AND(MAX(AB384,AD384,AF384,AH384,AJ384)&gt;=P384,AK384&gt;=Q384+1),"Progress",IF(OR(MAX(AB384,AD384,AF384,AH384,AJ384)&lt;O384,AK384&lt;Q384-1),"Regress","Hold"))))))</x:f>
        <x:v>Not logged</x:v>
      </x:c>
      <x:c r="AT384" s="335" t="n">
        <x:f>IF(OR(Z384=0,AN384&lt;&gt;"Yes",AO384=0,AK384=""),0,IF(AL384&gt;='Setup'!$B$14,-2*'Setup'!$B$11,IF(AND(MAX(AB384,AD384,AF384,AH384,AJ384)&gt;=P384,AK384&gt;=Q384+1),'Setup'!$B$10,IF(OR(MAX(AB384,AD384,AF384,AH384,AJ384)&lt;O384,AK384&lt;Q384-1),-'Setup'!$B$11,0))))</x:f>
        <x:v>0</x:v>
      </x:c>
      <x:c r="AU384" s="333" t="n">
        <x:f>IF(Z384=0,0,IF(AN384&lt;&gt;"Yes",Z384,IF(COUNT(AA384,AC384,AE384,AG384,AI384)=0,Z384,ROUND((MAX(AA384,AC384,AE384,AG384,AI384)*(1+AT384))/'Setup'!$B$9,0)*'Setup'!$B$9)))</x:f>
        <x:v>0</x:v>
      </x:c>
      <x:c r="AV384" s="336"/>
    </x:row>
    <x:row r="385">
      <x:c r="A385" s="310" t="n">
        <x:f>'Setup'!$B$3+(C385-1)*7+(D385-1)</x:f>
        <x:v>46291</x:v>
      </x:c>
      <x:c r="B385" s="311" t="str">
        <x:v>7|6|3</x:v>
      </x:c>
      <x:c r="C385" s="311" t="n">
        <x:v>7</x:v>
      </x:c>
      <x:c r="D385" s="311" t="n">
        <x:v>6</x:v>
      </x:c>
      <x:c r="E385" s="311" t="str">
        <x:v>Intensification</x:v>
      </x:c>
      <x:c r="F385" s="311" t="str">
        <x:v>Athletic Full Body</x:v>
      </x:c>
      <x:c r="G385" s="311" t="str">
        <x:v>Speed, elastic power, work capacity</x:v>
      </x:c>
      <x:c r="H385" s="311" t="n">
        <x:v>3</x:v>
      </x:c>
      <x:c r="I385" s="311" t="str">
        <x:v>Plyometric Push-Up</x:v>
      </x:c>
      <x:c r="J385" s="311" t="str">
        <x:v>Power</x:v>
      </x:c>
      <x:c r="K385" s="311" t="str">
        <x:v>Chest</x:v>
      </x:c>
      <x:c r="L385" s="311" t="str">
        <x:v>Full reset, crisp contacts</x:v>
      </x:c>
      <x:c r="M385" s="311" t="str"/>
      <x:c r="N385" s="311" t="n">
        <x:v>4</x:v>
      </x:c>
      <x:c r="O385" s="311" t="n">
        <x:v>4</x:v>
      </x:c>
      <x:c r="P385" s="311" t="n">
        <x:v>4</x:v>
      </x:c>
      <x:c r="Q385" s="311" t="n">
        <x:v>2</x:v>
      </x:c>
      <x:c r="R385" s="311" t="n">
        <x:v>60</x:v>
      </x:c>
      <x:c r="S385" s="311" t="str">
        <x:v>Explosive</x:v>
      </x:c>
      <x:c r="T385" s="330" t="n">
        <x:v>1</x:v>
      </x:c>
      <x:c r="U385" s="330" t="n">
        <x:v>0</x:v>
      </x:c>
      <x:c r="V385" s="331" t="str">
        <x:v>reps</x:v>
      </x:c>
      <x:c r="W385" s="332" t="str">
        <x:f>'Readiness'!K48</x:f>
      </x:c>
      <x:c r="X385" s="314" t="n">
        <x:f>'Readiness'!L48</x:f>
        <x:v>1</x:v>
      </x:c>
      <x:c r="Y385" s="315" t="n">
        <x:f>IF(J385="Mobility",N385,MAX(1,ROUND(N385*X385,0)))</x:f>
        <x:v>4</x:v>
      </x:c>
      <x:c r="Z385" s="333" t="n">
        <x:f>0</x:f>
        <x:v>0</x:v>
      </x:c>
      <x:c r="AA385" s="334"/>
      <x:c r="AB385" s="334"/>
      <x:c r="AC385" s="334"/>
      <x:c r="AD385" s="334"/>
      <x:c r="AE385" s="334"/>
      <x:c r="AF385" s="334"/>
      <x:c r="AG385" s="334"/>
      <x:c r="AH385" s="334"/>
      <x:c r="AI385" s="334"/>
      <x:c r="AJ385" s="312"/>
      <x:c r="AK385" s="312"/>
      <x:c r="AL385" s="312"/>
      <x:c r="AM385" s="312"/>
      <x:c r="AN385" s="312"/>
      <x:c r="AO385" s="315" t="n">
        <x:f>COUNT(AB385,AD385,AF385,AH385,AJ385)</x:f>
        <x:v>0</x:v>
      </x:c>
      <x:c r="AP385" s="315" t="n">
        <x:f>SUM(AB385,AD385,AF385,AH385,AJ385)</x:f>
        <x:v>0</x:v>
      </x:c>
      <x:c r="AQ385" s="333" t="n">
        <x:f>AA385*AB385+AC385*AD385+AE385*AF385+AG385*AH385+AI385*AJ385</x:f>
        <x:v>0</x:v>
      </x:c>
      <x:c r="AR385" s="333" t="n">
        <x:f>IF(OR(J385="Strength",J385="Hypertrophy"),MAX(IF(AB385&gt;0,AA385*(1+AB385/30),0),IF(AD385&gt;0,AC385*(1+AD385/30),0),IF(AF385&gt;0,AE385*(1+AF385/30),0),IF(AH385&gt;0,AG385*(1+AH385/30),0),IF(AJ385&gt;0,AI385*(1+AJ385/30),0)),0)</x:f>
        <x:v>0</x:v>
      </x:c>
      <x:c r="AS385" s="315" t="str">
        <x:f>IF(AN385&lt;&gt;"Yes","Not logged",IF(AL385&gt;='Setup'!$B$14,"STOP / MODIFY",IF(Z385=0,"Complete",IF(OR(AO385=0,AK385=""),"Add set data + RIR",IF(AND(MAX(AB385,AD385,AF385,AH385,AJ385)&gt;=P385,AK385&gt;=Q385+1),"Progress",IF(OR(MAX(AB385,AD385,AF385,AH385,AJ385)&lt;O385,AK385&lt;Q385-1),"Regress","Hold"))))))</x:f>
        <x:v>Not logged</x:v>
      </x:c>
      <x:c r="AT385" s="335" t="n">
        <x:f>IF(OR(Z385=0,AN385&lt;&gt;"Yes",AO385=0,AK385=""),0,IF(AL385&gt;='Setup'!$B$14,-2*'Setup'!$B$11,IF(AND(MAX(AB385,AD385,AF385,AH385,AJ385)&gt;=P385,AK385&gt;=Q385+1),'Setup'!$B$10,IF(OR(MAX(AB385,AD385,AF385,AH385,AJ385)&lt;O385,AK385&lt;Q385-1),-'Setup'!$B$11,0))))</x:f>
        <x:v>0</x:v>
      </x:c>
      <x:c r="AU385" s="333" t="n">
        <x:f>IF(Z385=0,0,IF(AN385&lt;&gt;"Yes",Z385,IF(COUNT(AA385,AC385,AE385,AG385,AI385)=0,Z385,ROUND((MAX(AA385,AC385,AE385,AG385,AI385)*(1+AT385))/'Setup'!$B$9,0)*'Setup'!$B$9)))</x:f>
        <x:v>0</x:v>
      </x:c>
      <x:c r="AV385" s="336"/>
    </x:row>
    <x:row r="386">
      <x:c r="A386" s="310" t="n">
        <x:f>'Setup'!$B$3+(C386-1)*7+(D386-1)</x:f>
        <x:v>46291</x:v>
      </x:c>
      <x:c r="B386" s="311" t="str">
        <x:v>7|6|4</x:v>
      </x:c>
      <x:c r="C386" s="311" t="n">
        <x:v>7</x:v>
      </x:c>
      <x:c r="D386" s="311" t="n">
        <x:v>6</x:v>
      </x:c>
      <x:c r="E386" s="311" t="str">
        <x:v>Intensification</x:v>
      </x:c>
      <x:c r="F386" s="311" t="str">
        <x:v>Athletic Full Body</x:v>
      </x:c>
      <x:c r="G386" s="311" t="str">
        <x:v>Speed, elastic power, work capacity</x:v>
      </x:c>
      <x:c r="H386" s="311" t="n">
        <x:v>4</x:v>
      </x:c>
      <x:c r="I386" s="311" t="str">
        <x:v>Kettlebell Swing</x:v>
      </x:c>
      <x:c r="J386" s="311" t="str">
        <x:v>Power</x:v>
      </x:c>
      <x:c r="K386" s="311" t="str">
        <x:v>Hamstrings</x:v>
      </x:c>
      <x:c r="L386" s="311" t="str">
        <x:v>Ballistic hinge</x:v>
      </x:c>
      <x:c r="M386" s="311" t="str"/>
      <x:c r="N386" s="311" t="n">
        <x:v>5</x:v>
      </x:c>
      <x:c r="O386" s="311" t="n">
        <x:v>5</x:v>
      </x:c>
      <x:c r="P386" s="311" t="n">
        <x:v>5</x:v>
      </x:c>
      <x:c r="Q386" s="311" t="n">
        <x:v>2</x:v>
      </x:c>
      <x:c r="R386" s="311" t="n">
        <x:v>60</x:v>
      </x:c>
      <x:c r="S386" s="311" t="str">
        <x:v>Explosive</x:v>
      </x:c>
      <x:c r="T386" s="330" t="n">
        <x:v>1</x:v>
      </x:c>
      <x:c r="U386" s="330" t="n">
        <x:v>0</x:v>
      </x:c>
      <x:c r="V386" s="331" t="str">
        <x:v>load × reps</x:v>
      </x:c>
      <x:c r="W386" s="332" t="str">
        <x:f>'Readiness'!K48</x:f>
      </x:c>
      <x:c r="X386" s="314" t="n">
        <x:f>'Readiness'!L48</x:f>
        <x:v>1</x:v>
      </x:c>
      <x:c r="Y386" s="315" t="n">
        <x:f>IF(J386="Mobility",N386,MAX(1,ROUND(N386*X386,0)))</x:f>
        <x:v>5</x:v>
      </x:c>
      <x:c r="Z386" s="333" t="n">
        <x:f>ROUND((IF(AU333&gt;0,AU333,IF(Z333&gt;0,Z333,'Setup'!$D$54))*T386)/'Setup'!$B$9,0)*'Setup'!$B$9</x:f>
        <x:v>0</x:v>
      </x:c>
      <x:c r="AA386" s="334"/>
      <x:c r="AB386" s="334"/>
      <x:c r="AC386" s="334"/>
      <x:c r="AD386" s="334"/>
      <x:c r="AE386" s="334"/>
      <x:c r="AF386" s="334"/>
      <x:c r="AG386" s="334"/>
      <x:c r="AH386" s="334"/>
      <x:c r="AI386" s="334"/>
      <x:c r="AJ386" s="312"/>
      <x:c r="AK386" s="312"/>
      <x:c r="AL386" s="312"/>
      <x:c r="AM386" s="312"/>
      <x:c r="AN386" s="312"/>
      <x:c r="AO386" s="315" t="n">
        <x:f>COUNT(AB386,AD386,AF386,AH386,AJ386)</x:f>
        <x:v>0</x:v>
      </x:c>
      <x:c r="AP386" s="315" t="n">
        <x:f>SUM(AB386,AD386,AF386,AH386,AJ386)</x:f>
        <x:v>0</x:v>
      </x:c>
      <x:c r="AQ386" s="333" t="n">
        <x:f>AA386*AB386+AC386*AD386+AE386*AF386+AG386*AH386+AI386*AJ386</x:f>
        <x:v>0</x:v>
      </x:c>
      <x:c r="AR386" s="333" t="n">
        <x:f>IF(OR(J386="Strength",J386="Hypertrophy"),MAX(IF(AB386&gt;0,AA386*(1+AB386/30),0),IF(AD386&gt;0,AC386*(1+AD386/30),0),IF(AF386&gt;0,AE386*(1+AF386/30),0),IF(AH386&gt;0,AG386*(1+AH386/30),0),IF(AJ386&gt;0,AI386*(1+AJ386/30),0)),0)</x:f>
        <x:v>0</x:v>
      </x:c>
      <x:c r="AS386" s="315" t="str">
        <x:f>IF(AN386&lt;&gt;"Yes","Not logged",IF(AL386&gt;='Setup'!$B$14,"STOP / MODIFY",IF(Z386=0,"Complete",IF(OR(AO386=0,AK386=""),"Add set data + RIR",IF(AND(MAX(AB386,AD386,AF386,AH386,AJ386)&gt;=P386,AK386&gt;=Q386+1),"Progress",IF(OR(MAX(AB386,AD386,AF386,AH386,AJ386)&lt;O386,AK386&lt;Q386-1),"Regress","Hold"))))))</x:f>
        <x:v>Not logged</x:v>
      </x:c>
      <x:c r="AT386" s="335" t="n">
        <x:f>IF(OR(Z386=0,AN386&lt;&gt;"Yes",AO386=0,AK386=""),0,IF(AL386&gt;='Setup'!$B$14,-2*'Setup'!$B$11,IF(AND(MAX(AB386,AD386,AF386,AH386,AJ386)&gt;=P386,AK386&gt;=Q386+1),'Setup'!$B$10,IF(OR(MAX(AB386,AD386,AF386,AH386,AJ386)&lt;O386,AK386&lt;Q386-1),-'Setup'!$B$11,0))))</x:f>
        <x:v>0</x:v>
      </x:c>
      <x:c r="AU386" s="333" t="n">
        <x:f>IF(Z386=0,0,IF(AN386&lt;&gt;"Yes",Z386,IF(COUNT(AA386,AC386,AE386,AG386,AI386)=0,Z386,ROUND((MAX(AA386,AC386,AE386,AG386,AI386)*(1+AT386))/'Setup'!$B$9,0)*'Setup'!$B$9)))</x:f>
        <x:v>0</x:v>
      </x:c>
      <x:c r="AV386" s="336"/>
    </x:row>
    <x:row r="387">
      <x:c r="A387" s="310" t="n">
        <x:f>'Setup'!$B$3+(C387-1)*7+(D387-1)</x:f>
        <x:v>46291</x:v>
      </x:c>
      <x:c r="B387" s="311" t="str">
        <x:v>7|6|5</x:v>
      </x:c>
      <x:c r="C387" s="311" t="n">
        <x:v>7</x:v>
      </x:c>
      <x:c r="D387" s="311" t="n">
        <x:v>6</x:v>
      </x:c>
      <x:c r="E387" s="311" t="str">
        <x:v>Intensification</x:v>
      </x:c>
      <x:c r="F387" s="311" t="str">
        <x:v>Athletic Full Body</x:v>
      </x:c>
      <x:c r="G387" s="311" t="str">
        <x:v>Speed, elastic power, work capacity</x:v>
      </x:c>
      <x:c r="H387" s="311" t="n">
        <x:v>5</x:v>
      </x:c>
      <x:c r="I387" s="311" t="str">
        <x:v>Sled Push</x:v>
      </x:c>
      <x:c r="J387" s="311" t="str">
        <x:v>Athletic</x:v>
      </x:c>
      <x:c r="K387" s="311" t="str">
        <x:v>Quads</x:v>
      </x:c>
      <x:c r="L387" s="311" t="str">
        <x:v>Fast, powerful steps</x:v>
      </x:c>
      <x:c r="M387" s="311" t="str"/>
      <x:c r="N387" s="311" t="n">
        <x:v>6</x:v>
      </x:c>
      <x:c r="O387" s="311" t="n">
        <x:v>20</x:v>
      </x:c>
      <x:c r="P387" s="311" t="n">
        <x:v>20</x:v>
      </x:c>
      <x:c r="Q387" s="311" t="n">
        <x:v>2</x:v>
      </x:c>
      <x:c r="R387" s="311" t="n">
        <x:v>75</x:v>
      </x:c>
      <x:c r="S387" s="311" t="str">
        <x:v>Fast</x:v>
      </x:c>
      <x:c r="T387" s="330" t="n">
        <x:v>1</x:v>
      </x:c>
      <x:c r="U387" s="330" t="n">
        <x:v>0</x:v>
      </x:c>
      <x:c r="V387" s="331" t="str">
        <x:v>load + meters</x:v>
      </x:c>
      <x:c r="W387" s="332" t="str">
        <x:f>'Readiness'!K48</x:f>
      </x:c>
      <x:c r="X387" s="314" t="n">
        <x:f>'Readiness'!L48</x:f>
        <x:v>1</x:v>
      </x:c>
      <x:c r="Y387" s="315" t="n">
        <x:f>IF(J387="Mobility",N387,MAX(1,ROUND(N387*X387,0)))</x:f>
        <x:v>6</x:v>
      </x:c>
      <x:c r="Z387" s="333" t="n">
        <x:f>0</x:f>
        <x:v>0</x:v>
      </x:c>
      <x:c r="AA387" s="334"/>
      <x:c r="AB387" s="334"/>
      <x:c r="AC387" s="334"/>
      <x:c r="AD387" s="334"/>
      <x:c r="AE387" s="334"/>
      <x:c r="AF387" s="334"/>
      <x:c r="AG387" s="334"/>
      <x:c r="AH387" s="334"/>
      <x:c r="AI387" s="334"/>
      <x:c r="AJ387" s="312"/>
      <x:c r="AK387" s="312"/>
      <x:c r="AL387" s="312"/>
      <x:c r="AM387" s="312"/>
      <x:c r="AN387" s="312"/>
      <x:c r="AO387" s="315" t="n">
        <x:f>COUNT(AB387,AD387,AF387,AH387,AJ387)</x:f>
        <x:v>0</x:v>
      </x:c>
      <x:c r="AP387" s="315" t="n">
        <x:f>SUM(AB387,AD387,AF387,AH387,AJ387)</x:f>
        <x:v>0</x:v>
      </x:c>
      <x:c r="AQ387" s="333" t="n">
        <x:f>AA387*AB387+AC387*AD387+AE387*AF387+AG387*AH387+AI387*AJ387</x:f>
        <x:v>0</x:v>
      </x:c>
      <x:c r="AR387" s="333" t="n">
        <x:f>IF(OR(J387="Strength",J387="Hypertrophy"),MAX(IF(AB387&gt;0,AA387*(1+AB387/30),0),IF(AD387&gt;0,AC387*(1+AD387/30),0),IF(AF387&gt;0,AE387*(1+AF387/30),0),IF(AH387&gt;0,AG387*(1+AH387/30),0),IF(AJ387&gt;0,AI387*(1+AJ387/30),0)),0)</x:f>
        <x:v>0</x:v>
      </x:c>
      <x:c r="AS387" s="315" t="str">
        <x:f>IF(AN387&lt;&gt;"Yes","Not logged",IF(AL387&gt;='Setup'!$B$14,"STOP / MODIFY",IF(Z387=0,"Complete",IF(OR(AO387=0,AK387=""),"Add set data + RIR",IF(AND(MAX(AB387,AD387,AF387,AH387,AJ387)&gt;=P387,AK387&gt;=Q387+1),"Progress",IF(OR(MAX(AB387,AD387,AF387,AH387,AJ387)&lt;O387,AK387&lt;Q387-1),"Regress","Hold"))))))</x:f>
        <x:v>Not logged</x:v>
      </x:c>
      <x:c r="AT387" s="335" t="n">
        <x:f>IF(OR(Z387=0,AN387&lt;&gt;"Yes",AO387=0,AK387=""),0,IF(AL387&gt;='Setup'!$B$14,-2*'Setup'!$B$11,IF(AND(MAX(AB387,AD387,AF387,AH387,AJ387)&gt;=P387,AK387&gt;=Q387+1),'Setup'!$B$10,IF(OR(MAX(AB387,AD387,AF387,AH387,AJ387)&lt;O387,AK387&lt;Q387-1),-'Setup'!$B$11,0))))</x:f>
        <x:v>0</x:v>
      </x:c>
      <x:c r="AU387" s="333" t="n">
        <x:f>IF(Z387=0,0,IF(AN387&lt;&gt;"Yes",Z387,IF(COUNT(AA387,AC387,AE387,AG387,AI387)=0,Z387,ROUND((MAX(AA387,AC387,AE387,AG387,AI387)*(1+AT387))/'Setup'!$B$9,0)*'Setup'!$B$9)))</x:f>
        <x:v>0</x:v>
      </x:c>
      <x:c r="AV387" s="336"/>
    </x:row>
    <x:row r="388">
      <x:c r="A388" s="310" t="n">
        <x:f>'Setup'!$B$3+(C388-1)*7+(D388-1)</x:f>
        <x:v>46291</x:v>
      </x:c>
      <x:c r="B388" s="311" t="str">
        <x:v>7|6|6</x:v>
      </x:c>
      <x:c r="C388" s="311" t="n">
        <x:v>7</x:v>
      </x:c>
      <x:c r="D388" s="311" t="n">
        <x:v>6</x:v>
      </x:c>
      <x:c r="E388" s="311" t="str">
        <x:v>Intensification</x:v>
      </x:c>
      <x:c r="F388" s="311" t="str">
        <x:v>Athletic Full Body</x:v>
      </x:c>
      <x:c r="G388" s="311" t="str">
        <x:v>Speed, elastic power, work capacity</x:v>
      </x:c>
      <x:c r="H388" s="311" t="n">
        <x:v>6</x:v>
      </x:c>
      <x:c r="I388" s="311" t="str">
        <x:v>Single-Leg Romanian Deadlift</x:v>
      </x:c>
      <x:c r="J388" s="311" t="str">
        <x:v>Hypertrophy</x:v>
      </x:c>
      <x:c r="K388" s="311" t="str">
        <x:v>Hamstrings</x:v>
      </x:c>
      <x:c r="L388" s="311" t="str">
        <x:v>Straight sets</x:v>
      </x:c>
      <x:c r="M388" s="311" t="str"/>
      <x:c r="N388" s="311" t="n">
        <x:v>3</x:v>
      </x:c>
      <x:c r="O388" s="311" t="n">
        <x:v>8</x:v>
      </x:c>
      <x:c r="P388" s="311" t="n">
        <x:v>10</x:v>
      </x:c>
      <x:c r="Q388" s="311" t="n">
        <x:v>1</x:v>
      </x:c>
      <x:c r="R388" s="311" t="n">
        <x:v>75</x:v>
      </x:c>
      <x:c r="S388" s="311" t="str">
        <x:v>3-1-1</x:v>
      </x:c>
      <x:c r="T388" s="330" t="n">
        <x:v>1</x:v>
      </x:c>
      <x:c r="U388" s="330" t="n">
        <x:v>0</x:v>
      </x:c>
      <x:c r="V388" s="331" t="str">
        <x:v>load × reps</x:v>
      </x:c>
      <x:c r="W388" s="332" t="str">
        <x:f>'Readiness'!K48</x:f>
      </x:c>
      <x:c r="X388" s="314" t="n">
        <x:f>'Readiness'!L48</x:f>
        <x:v>1</x:v>
      </x:c>
      <x:c r="Y388" s="315" t="n">
        <x:f>IF(J388="Mobility",N388,MAX(1,ROUND(N388*X388,0)))</x:f>
        <x:v>3</x:v>
      </x:c>
      <x:c r="Z388" s="333" t="n">
        <x:f>ROUND((IF(AU335&gt;0,AU335,IF(Z335&gt;0,Z335,'Setup'!$D$86))*T388)/'Setup'!$B$9,0)*'Setup'!$B$9</x:f>
        <x:v>0</x:v>
      </x:c>
      <x:c r="AA388" s="334"/>
      <x:c r="AB388" s="334"/>
      <x:c r="AC388" s="334"/>
      <x:c r="AD388" s="334"/>
      <x:c r="AE388" s="334"/>
      <x:c r="AF388" s="334"/>
      <x:c r="AG388" s="334"/>
      <x:c r="AH388" s="334"/>
      <x:c r="AI388" s="334"/>
      <x:c r="AJ388" s="312"/>
      <x:c r="AK388" s="312"/>
      <x:c r="AL388" s="312"/>
      <x:c r="AM388" s="312"/>
      <x:c r="AN388" s="312"/>
      <x:c r="AO388" s="315" t="n">
        <x:f>COUNT(AB388,AD388,AF388,AH388,AJ388)</x:f>
        <x:v>0</x:v>
      </x:c>
      <x:c r="AP388" s="315" t="n">
        <x:f>SUM(AB388,AD388,AF388,AH388,AJ388)</x:f>
        <x:v>0</x:v>
      </x:c>
      <x:c r="AQ388" s="333" t="n">
        <x:f>AA388*AB388+AC388*AD388+AE388*AF388+AG388*AH388+AI388*AJ388</x:f>
        <x:v>0</x:v>
      </x:c>
      <x:c r="AR388" s="333" t="n">
        <x:f>IF(OR(J388="Strength",J388="Hypertrophy"),MAX(IF(AB388&gt;0,AA388*(1+AB388/30),0),IF(AD388&gt;0,AC388*(1+AD388/30),0),IF(AF388&gt;0,AE388*(1+AF388/30),0),IF(AH388&gt;0,AG388*(1+AH388/30),0),IF(AJ388&gt;0,AI388*(1+AJ388/30),0)),0)</x:f>
        <x:v>0</x:v>
      </x:c>
      <x:c r="AS388" s="315" t="str">
        <x:f>IF(AN388&lt;&gt;"Yes","Not logged",IF(AL388&gt;='Setup'!$B$14,"STOP / MODIFY",IF(Z388=0,"Complete",IF(OR(AO388=0,AK388=""),"Add set data + RIR",IF(AND(MAX(AB388,AD388,AF388,AH388,AJ388)&gt;=P388,AK388&gt;=Q388+1),"Progress",IF(OR(MAX(AB388,AD388,AF388,AH388,AJ388)&lt;O388,AK388&lt;Q388-1),"Regress","Hold"))))))</x:f>
        <x:v>Not logged</x:v>
      </x:c>
      <x:c r="AT388" s="335" t="n">
        <x:f>IF(OR(Z388=0,AN388&lt;&gt;"Yes",AO388=0,AK388=""),0,IF(AL388&gt;='Setup'!$B$14,-2*'Setup'!$B$11,IF(AND(MAX(AB388,AD388,AF388,AH388,AJ388)&gt;=P388,AK388&gt;=Q388+1),'Setup'!$B$10,IF(OR(MAX(AB388,AD388,AF388,AH388,AJ388)&lt;O388,AK388&lt;Q388-1),-'Setup'!$B$11,0))))</x:f>
        <x:v>0</x:v>
      </x:c>
      <x:c r="AU388" s="333" t="n">
        <x:f>IF(Z388=0,0,IF(AN388&lt;&gt;"Yes",Z388,IF(COUNT(AA388,AC388,AE388,AG388,AI388)=0,Z388,ROUND((MAX(AA388,AC388,AE388,AG388,AI388)*(1+AT388))/'Setup'!$B$9,0)*'Setup'!$B$9)))</x:f>
        <x:v>0</x:v>
      </x:c>
      <x:c r="AV388" s="336"/>
    </x:row>
    <x:row r="389">
      <x:c r="A389" s="310" t="n">
        <x:f>'Setup'!$B$3+(C389-1)*7+(D389-1)</x:f>
        <x:v>46291</x:v>
      </x:c>
      <x:c r="B389" s="311" t="str">
        <x:v>7|6|7</x:v>
      </x:c>
      <x:c r="C389" s="311" t="n">
        <x:v>7</x:v>
      </x:c>
      <x:c r="D389" s="311" t="n">
        <x:v>6</x:v>
      </x:c>
      <x:c r="E389" s="311" t="str">
        <x:v>Intensification</x:v>
      </x:c>
      <x:c r="F389" s="311" t="str">
        <x:v>Athletic Full Body</x:v>
      </x:c>
      <x:c r="G389" s="311" t="str">
        <x:v>Speed, elastic power, work capacity</x:v>
      </x:c>
      <x:c r="H389" s="311" t="n">
        <x:v>7</x:v>
      </x:c>
      <x:c r="I389" s="311" t="str">
        <x:v>Pull-Up</x:v>
      </x:c>
      <x:c r="J389" s="311" t="str">
        <x:v>Hypertrophy</x:v>
      </x:c>
      <x:c r="K389" s="311" t="str">
        <x:v>Back</x:v>
      </x:c>
      <x:c r="L389" s="311" t="str">
        <x:v>Straight sets</x:v>
      </x:c>
      <x:c r="M389" s="311" t="str"/>
      <x:c r="N389" s="311" t="n">
        <x:v>3</x:v>
      </x:c>
      <x:c r="O389" s="311" t="n">
        <x:v>6</x:v>
      </x:c>
      <x:c r="P389" s="311" t="n">
        <x:v>10</x:v>
      </x:c>
      <x:c r="Q389" s="311" t="n">
        <x:v>1</x:v>
      </x:c>
      <x:c r="R389" s="311" t="n">
        <x:v>75</x:v>
      </x:c>
      <x:c r="S389" s="311" t="str">
        <x:v>2-1-1</x:v>
      </x:c>
      <x:c r="T389" s="330" t="n">
        <x:v>1</x:v>
      </x:c>
      <x:c r="U389" s="330" t="n">
        <x:v>0</x:v>
      </x:c>
      <x:c r="V389" s="331" t="str">
        <x:v>reps</x:v>
      </x:c>
      <x:c r="W389" s="332" t="str">
        <x:f>'Readiness'!K48</x:f>
      </x:c>
      <x:c r="X389" s="314" t="n">
        <x:f>'Readiness'!L48</x:f>
        <x:v>1</x:v>
      </x:c>
      <x:c r="Y389" s="315" t="n">
        <x:f>IF(J389="Mobility",N389,MAX(1,ROUND(N389*X389,0)))</x:f>
        <x:v>3</x:v>
      </x:c>
      <x:c r="Z389" s="333" t="n">
        <x:f>0</x:f>
        <x:v>0</x:v>
      </x:c>
      <x:c r="AA389" s="334"/>
      <x:c r="AB389" s="334"/>
      <x:c r="AC389" s="334"/>
      <x:c r="AD389" s="334"/>
      <x:c r="AE389" s="334"/>
      <x:c r="AF389" s="334"/>
      <x:c r="AG389" s="334"/>
      <x:c r="AH389" s="334"/>
      <x:c r="AI389" s="334"/>
      <x:c r="AJ389" s="312"/>
      <x:c r="AK389" s="312"/>
      <x:c r="AL389" s="312"/>
      <x:c r="AM389" s="312"/>
      <x:c r="AN389" s="312"/>
      <x:c r="AO389" s="315" t="n">
        <x:f>COUNT(AB389,AD389,AF389,AH389,AJ389)</x:f>
        <x:v>0</x:v>
      </x:c>
      <x:c r="AP389" s="315" t="n">
        <x:f>SUM(AB389,AD389,AF389,AH389,AJ389)</x:f>
        <x:v>0</x:v>
      </x:c>
      <x:c r="AQ389" s="333" t="n">
        <x:f>AA389*AB389+AC389*AD389+AE389*AF389+AG389*AH389+AI389*AJ389</x:f>
        <x:v>0</x:v>
      </x:c>
      <x:c r="AR389" s="333" t="n">
        <x:f>IF(OR(J389="Strength",J389="Hypertrophy"),MAX(IF(AB389&gt;0,AA389*(1+AB389/30),0),IF(AD389&gt;0,AC389*(1+AD389/30),0),IF(AF389&gt;0,AE389*(1+AF389/30),0),IF(AH389&gt;0,AG389*(1+AH389/30),0),IF(AJ389&gt;0,AI389*(1+AJ389/30),0)),0)</x:f>
        <x:v>0</x:v>
      </x:c>
      <x:c r="AS389" s="315" t="str">
        <x:f>IF(AN389&lt;&gt;"Yes","Not logged",IF(AL389&gt;='Setup'!$B$14,"STOP / MODIFY",IF(Z389=0,"Complete",IF(OR(AO389=0,AK389=""),"Add set data + RIR",IF(AND(MAX(AB389,AD389,AF389,AH389,AJ389)&gt;=P389,AK389&gt;=Q389+1),"Progress",IF(OR(MAX(AB389,AD389,AF389,AH389,AJ389)&lt;O389,AK389&lt;Q389-1),"Regress","Hold"))))))</x:f>
        <x:v>Not logged</x:v>
      </x:c>
      <x:c r="AT389" s="335" t="n">
        <x:f>IF(OR(Z389=0,AN389&lt;&gt;"Yes",AO389=0,AK389=""),0,IF(AL389&gt;='Setup'!$B$14,-2*'Setup'!$B$11,IF(AND(MAX(AB389,AD389,AF389,AH389,AJ389)&gt;=P389,AK389&gt;=Q389+1),'Setup'!$B$10,IF(OR(MAX(AB389,AD389,AF389,AH389,AJ389)&lt;O389,AK389&lt;Q389-1),-'Setup'!$B$11,0))))</x:f>
        <x:v>0</x:v>
      </x:c>
      <x:c r="AU389" s="333" t="n">
        <x:f>IF(Z389=0,0,IF(AN389&lt;&gt;"Yes",Z389,IF(COUNT(AA389,AC389,AE389,AG389,AI389)=0,Z389,ROUND((MAX(AA389,AC389,AE389,AG389,AI389)*(1+AT389))/'Setup'!$B$9,0)*'Setup'!$B$9)))</x:f>
        <x:v>0</x:v>
      </x:c>
      <x:c r="AV389" s="336"/>
    </x:row>
    <x:row r="390">
      <x:c r="A390" s="310" t="n">
        <x:f>'Setup'!$B$3+(C390-1)*7+(D390-1)</x:f>
        <x:v>46291</x:v>
      </x:c>
      <x:c r="B390" s="311" t="str">
        <x:v>7|6|8</x:v>
      </x:c>
      <x:c r="C390" s="311" t="n">
        <x:v>7</x:v>
      </x:c>
      <x:c r="D390" s="311" t="n">
        <x:v>6</x:v>
      </x:c>
      <x:c r="E390" s="311" t="str">
        <x:v>Intensification</x:v>
      </x:c>
      <x:c r="F390" s="311" t="str">
        <x:v>Athletic Full Body</x:v>
      </x:c>
      <x:c r="G390" s="311" t="str">
        <x:v>Speed, elastic power, work capacity</x:v>
      </x:c>
      <x:c r="H390" s="311" t="n">
        <x:v>8</x:v>
      </x:c>
      <x:c r="I390" s="311" t="str">
        <x:v>Pallof Press</x:v>
      </x:c>
      <x:c r="J390" s="311" t="str">
        <x:v>Hypertrophy</x:v>
      </x:c>
      <x:c r="K390" s="311" t="str">
        <x:v>Core</x:v>
      </x:c>
      <x:c r="L390" s="311" t="str">
        <x:v>Anti-rotation control</x:v>
      </x:c>
      <x:c r="M390" s="311" t="str"/>
      <x:c r="N390" s="311" t="n">
        <x:v>3</x:v>
      </x:c>
      <x:c r="O390" s="311" t="n">
        <x:v>10</x:v>
      </x:c>
      <x:c r="P390" s="311" t="n">
        <x:v>12</x:v>
      </x:c>
      <x:c r="Q390" s="311" t="n">
        <x:v>1</x:v>
      </x:c>
      <x:c r="R390" s="311" t="n">
        <x:v>45</x:v>
      </x:c>
      <x:c r="S390" s="311" t="str">
        <x:v>2-1-2</x:v>
      </x:c>
      <x:c r="T390" s="330" t="n">
        <x:v>1</x:v>
      </x:c>
      <x:c r="U390" s="330" t="n">
        <x:v>0</x:v>
      </x:c>
      <x:c r="V390" s="331" t="str">
        <x:v>load × reps</x:v>
      </x:c>
      <x:c r="W390" s="332" t="str">
        <x:f>'Readiness'!K48</x:f>
      </x:c>
      <x:c r="X390" s="314" t="n">
        <x:f>'Readiness'!L48</x:f>
        <x:v>1</x:v>
      </x:c>
      <x:c r="Y390" s="315" t="n">
        <x:f>IF(J390="Mobility",N390,MAX(1,ROUND(N390*X390,0)))</x:f>
        <x:v>3</x:v>
      </x:c>
      <x:c r="Z390" s="333" t="n">
        <x:f>ROUND((IF(AU337&gt;0,AU337,IF(Z337&gt;0,Z337,'Setup'!$D$71))*T390)/'Setup'!$B$9,0)*'Setup'!$B$9</x:f>
        <x:v>0</x:v>
      </x:c>
      <x:c r="AA390" s="334"/>
      <x:c r="AB390" s="334"/>
      <x:c r="AC390" s="334"/>
      <x:c r="AD390" s="334"/>
      <x:c r="AE390" s="334"/>
      <x:c r="AF390" s="334"/>
      <x:c r="AG390" s="334"/>
      <x:c r="AH390" s="334"/>
      <x:c r="AI390" s="334"/>
      <x:c r="AJ390" s="312"/>
      <x:c r="AK390" s="312"/>
      <x:c r="AL390" s="312"/>
      <x:c r="AM390" s="312"/>
      <x:c r="AN390" s="312"/>
      <x:c r="AO390" s="315" t="n">
        <x:f>COUNT(AB390,AD390,AF390,AH390,AJ390)</x:f>
        <x:v>0</x:v>
      </x:c>
      <x:c r="AP390" s="315" t="n">
        <x:f>SUM(AB390,AD390,AF390,AH390,AJ390)</x:f>
        <x:v>0</x:v>
      </x:c>
      <x:c r="AQ390" s="333" t="n">
        <x:f>AA390*AB390+AC390*AD390+AE390*AF390+AG390*AH390+AI390*AJ390</x:f>
        <x:v>0</x:v>
      </x:c>
      <x:c r="AR390" s="333" t="n">
        <x:f>IF(OR(J390="Strength",J390="Hypertrophy"),MAX(IF(AB390&gt;0,AA390*(1+AB390/30),0),IF(AD390&gt;0,AC390*(1+AD390/30),0),IF(AF390&gt;0,AE390*(1+AF390/30),0),IF(AH390&gt;0,AG390*(1+AH390/30),0),IF(AJ390&gt;0,AI390*(1+AJ390/30),0)),0)</x:f>
        <x:v>0</x:v>
      </x:c>
      <x:c r="AS390" s="315" t="str">
        <x:f>IF(AN390&lt;&gt;"Yes","Not logged",IF(AL390&gt;='Setup'!$B$14,"STOP / MODIFY",IF(Z390=0,"Complete",IF(OR(AO390=0,AK390=""),"Add set data + RIR",IF(AND(MAX(AB390,AD390,AF390,AH390,AJ390)&gt;=P390,AK390&gt;=Q390+1),"Progress",IF(OR(MAX(AB390,AD390,AF390,AH390,AJ390)&lt;O390,AK390&lt;Q390-1),"Regress","Hold"))))))</x:f>
        <x:v>Not logged</x:v>
      </x:c>
      <x:c r="AT390" s="335" t="n">
        <x:f>IF(OR(Z390=0,AN390&lt;&gt;"Yes",AO390=0,AK390=""),0,IF(AL390&gt;='Setup'!$B$14,-2*'Setup'!$B$11,IF(AND(MAX(AB390,AD390,AF390,AH390,AJ390)&gt;=P390,AK390&gt;=Q390+1),'Setup'!$B$10,IF(OR(MAX(AB390,AD390,AF390,AH390,AJ390)&lt;O390,AK390&lt;Q390-1),-'Setup'!$B$11,0))))</x:f>
        <x:v>0</x:v>
      </x:c>
      <x:c r="AU390" s="333" t="n">
        <x:f>IF(Z390=0,0,IF(AN390&lt;&gt;"Yes",Z390,IF(COUNT(AA390,AC390,AE390,AG390,AI390)=0,Z390,ROUND((MAX(AA390,AC390,AE390,AG390,AI390)*(1+AT390))/'Setup'!$B$9,0)*'Setup'!$B$9)))</x:f>
        <x:v>0</x:v>
      </x:c>
      <x:c r="AV390" s="336"/>
    </x:row>
    <x:row r="391">
      <x:c r="A391" s="310" t="n">
        <x:f>'Setup'!$B$3+(C391-1)*7+(D391-1)</x:f>
        <x:v>46291</x:v>
      </x:c>
      <x:c r="B391" s="311" t="str">
        <x:v>7|6|9</x:v>
      </x:c>
      <x:c r="C391" s="311" t="n">
        <x:v>7</x:v>
      </x:c>
      <x:c r="D391" s="311" t="n">
        <x:v>6</x:v>
      </x:c>
      <x:c r="E391" s="311" t="str">
        <x:v>Intensification</x:v>
      </x:c>
      <x:c r="F391" s="311" t="str">
        <x:v>Athletic Full Body</x:v>
      </x:c>
      <x:c r="G391" s="311" t="str">
        <x:v>Speed, elastic power, work capacity</x:v>
      </x:c>
      <x:c r="H391" s="311" t="n">
        <x:v>9</x:v>
      </x:c>
      <x:c r="I391" s="311" t="str">
        <x:v>RowErg Sprint Intervals</x:v>
      </x:c>
      <x:c r="J391" s="311" t="str">
        <x:v>Athletic</x:v>
      </x:c>
      <x:c r="K391" s="311" t="str">
        <x:v>Full Body</x:v>
      </x:c>
      <x:c r="L391" s="311" t="str">
        <x:v>20 s hard / 70 s easy</x:v>
      </x:c>
      <x:c r="M391" s="311" t="str"/>
      <x:c r="N391" s="311" t="n">
        <x:v>6</x:v>
      </x:c>
      <x:c r="O391" s="311" t="n">
        <x:v>20</x:v>
      </x:c>
      <x:c r="P391" s="311" t="n">
        <x:v>20</x:v>
      </x:c>
      <x:c r="Q391" s="311" t="n">
        <x:v>2</x:v>
      </x:c>
      <x:c r="R391" s="311" t="n">
        <x:v>70</x:v>
      </x:c>
      <x:c r="S391" s="311" t="str">
        <x:v>Powerful</x:v>
      </x:c>
      <x:c r="T391" s="330" t="n">
        <x:v>1</x:v>
      </x:c>
      <x:c r="U391" s="330" t="n">
        <x:v>0</x:v>
      </x:c>
      <x:c r="V391" s="331" t="str">
        <x:v>watts / meters</x:v>
      </x:c>
      <x:c r="W391" s="332" t="str">
        <x:f>'Readiness'!K48</x:f>
      </x:c>
      <x:c r="X391" s="314" t="n">
        <x:f>'Readiness'!L48</x:f>
        <x:v>1</x:v>
      </x:c>
      <x:c r="Y391" s="315" t="n">
        <x:f>IF(J391="Mobility",N391,MAX(1,ROUND(N391*X391,0)))</x:f>
        <x:v>6</x:v>
      </x:c>
      <x:c r="Z391" s="333" t="n">
        <x:f>0</x:f>
        <x:v>0</x:v>
      </x:c>
      <x:c r="AA391" s="334"/>
      <x:c r="AB391" s="334"/>
      <x:c r="AC391" s="334"/>
      <x:c r="AD391" s="334"/>
      <x:c r="AE391" s="334"/>
      <x:c r="AF391" s="334"/>
      <x:c r="AG391" s="334"/>
      <x:c r="AH391" s="334"/>
      <x:c r="AI391" s="334"/>
      <x:c r="AJ391" s="312"/>
      <x:c r="AK391" s="312"/>
      <x:c r="AL391" s="312"/>
      <x:c r="AM391" s="312"/>
      <x:c r="AN391" s="312"/>
      <x:c r="AO391" s="315" t="n">
        <x:f>COUNT(AB391,AD391,AF391,AH391,AJ391)</x:f>
        <x:v>0</x:v>
      </x:c>
      <x:c r="AP391" s="315" t="n">
        <x:f>SUM(AB391,AD391,AF391,AH391,AJ391)</x:f>
        <x:v>0</x:v>
      </x:c>
      <x:c r="AQ391" s="333" t="n">
        <x:f>AA391*AB391+AC391*AD391+AE391*AF391+AG391*AH391+AI391*AJ391</x:f>
        <x:v>0</x:v>
      </x:c>
      <x:c r="AR391" s="333" t="n">
        <x:f>IF(OR(J391="Strength",J391="Hypertrophy"),MAX(IF(AB391&gt;0,AA391*(1+AB391/30),0),IF(AD391&gt;0,AC391*(1+AD391/30),0),IF(AF391&gt;0,AE391*(1+AF391/30),0),IF(AH391&gt;0,AG391*(1+AH391/30),0),IF(AJ391&gt;0,AI391*(1+AJ391/30),0)),0)</x:f>
        <x:v>0</x:v>
      </x:c>
      <x:c r="AS391" s="315" t="str">
        <x:f>IF(AN391&lt;&gt;"Yes","Not logged",IF(AL391&gt;='Setup'!$B$14,"STOP / MODIFY",IF(Z391=0,"Complete",IF(OR(AO391=0,AK391=""),"Add set data + RIR",IF(AND(MAX(AB391,AD391,AF391,AH391,AJ391)&gt;=P391,AK391&gt;=Q391+1),"Progress",IF(OR(MAX(AB391,AD391,AF391,AH391,AJ391)&lt;O391,AK391&lt;Q391-1),"Regress","Hold"))))))</x:f>
        <x:v>Not logged</x:v>
      </x:c>
      <x:c r="AT391" s="335" t="n">
        <x:f>IF(OR(Z391=0,AN391&lt;&gt;"Yes",AO391=0,AK391=""),0,IF(AL391&gt;='Setup'!$B$14,-2*'Setup'!$B$11,IF(AND(MAX(AB391,AD391,AF391,AH391,AJ391)&gt;=P391,AK391&gt;=Q391+1),'Setup'!$B$10,IF(OR(MAX(AB391,AD391,AF391,AH391,AJ391)&lt;O391,AK391&lt;Q391-1),-'Setup'!$B$11,0))))</x:f>
        <x:v>0</x:v>
      </x:c>
      <x:c r="AU391" s="333" t="n">
        <x:f>IF(Z391=0,0,IF(AN391&lt;&gt;"Yes",Z391,IF(COUNT(AA391,AC391,AE391,AG391,AI391)=0,Z391,ROUND((MAX(AA391,AC391,AE391,AG391,AI391)*(1+AT391))/'Setup'!$B$9,0)*'Setup'!$B$9)))</x:f>
        <x:v>0</x:v>
      </x:c>
      <x:c r="AV391" s="336"/>
    </x:row>
    <x:row r="392">
      <x:c r="A392" s="310" t="n">
        <x:f>'Setup'!$B$3+(C392-1)*7+(D392-1)</x:f>
        <x:v>46291</x:v>
      </x:c>
      <x:c r="B392" s="311" t="str">
        <x:v>7|6|10</x:v>
      </x:c>
      <x:c r="C392" s="311" t="n">
        <x:v>7</x:v>
      </x:c>
      <x:c r="D392" s="311" t="n">
        <x:v>6</x:v>
      </x:c>
      <x:c r="E392" s="311" t="str">
        <x:v>Intensification</x:v>
      </x:c>
      <x:c r="F392" s="311" t="str">
        <x:v>Athletic Full Body</x:v>
      </x:c>
      <x:c r="G392" s="311" t="str">
        <x:v>Speed, elastic power, work capacity</x:v>
      </x:c>
      <x:c r="H392" s="311" t="n">
        <x:v>10</x:v>
      </x:c>
      <x:c r="I392" s="311" t="str">
        <x:v>Full-Body Mobility Flow</x:v>
      </x:c>
      <x:c r="J392" s="311" t="str">
        <x:v>Mobility</x:v>
      </x:c>
      <x:c r="K392" s="311" t="str">
        <x:v>Full Body</x:v>
      </x:c>
      <x:c r="L392" s="311" t="str">
        <x:v>Continuous nasal breathing</x:v>
      </x:c>
      <x:c r="M392" s="311" t="str"/>
      <x:c r="N392" s="311" t="n">
        <x:v>1</x:v>
      </x:c>
      <x:c r="O392" s="311" t="n">
        <x:v>8</x:v>
      </x:c>
      <x:c r="P392" s="311" t="n">
        <x:v>12</x:v>
      </x:c>
      <x:c r="Q392" s="311" t="str"/>
      <x:c r="R392" s="311" t="n">
        <x:v>0</x:v>
      </x:c>
      <x:c r="S392" s="311" t="str">
        <x:v>Easy</x:v>
      </x:c>
      <x:c r="T392" s="330" t="n">
        <x:v>1</x:v>
      </x:c>
      <x:c r="U392" s="330" t="n">
        <x:v>0</x:v>
      </x:c>
      <x:c r="V392" s="331" t="str">
        <x:v>minutes</x:v>
      </x:c>
      <x:c r="W392" s="332" t="str">
        <x:f>'Readiness'!K48</x:f>
      </x:c>
      <x:c r="X392" s="314" t="n">
        <x:f>'Readiness'!L48</x:f>
        <x:v>1</x:v>
      </x:c>
      <x:c r="Y392" s="315" t="n">
        <x:f>IF(J392="Mobility",N392,MAX(1,ROUND(N392*X392,0)))</x:f>
        <x:v>1</x:v>
      </x:c>
      <x:c r="Z392" s="333" t="n">
        <x:f>0</x:f>
        <x:v>0</x:v>
      </x:c>
      <x:c r="AA392" s="334"/>
      <x:c r="AB392" s="334"/>
      <x:c r="AC392" s="334"/>
      <x:c r="AD392" s="334"/>
      <x:c r="AE392" s="334"/>
      <x:c r="AF392" s="334"/>
      <x:c r="AG392" s="334"/>
      <x:c r="AH392" s="334"/>
      <x:c r="AI392" s="334"/>
      <x:c r="AJ392" s="312"/>
      <x:c r="AK392" s="312"/>
      <x:c r="AL392" s="312"/>
      <x:c r="AM392" s="312"/>
      <x:c r="AN392" s="312"/>
      <x:c r="AO392" s="315" t="n">
        <x:f>COUNT(AB392,AD392,AF392,AH392,AJ392)</x:f>
        <x:v>0</x:v>
      </x:c>
      <x:c r="AP392" s="315" t="n">
        <x:f>SUM(AB392,AD392,AF392,AH392,AJ392)</x:f>
        <x:v>0</x:v>
      </x:c>
      <x:c r="AQ392" s="333" t="n">
        <x:f>AA392*AB392+AC392*AD392+AE392*AF392+AG392*AH392+AI392*AJ392</x:f>
        <x:v>0</x:v>
      </x:c>
      <x:c r="AR392" s="333" t="n">
        <x:f>IF(OR(J392="Strength",J392="Hypertrophy"),MAX(IF(AB392&gt;0,AA392*(1+AB392/30),0),IF(AD392&gt;0,AC392*(1+AD392/30),0),IF(AF392&gt;0,AE392*(1+AF392/30),0),IF(AH392&gt;0,AG392*(1+AH392/30),0),IF(AJ392&gt;0,AI392*(1+AJ392/30),0)),0)</x:f>
        <x:v>0</x:v>
      </x:c>
      <x:c r="AS392" s="315" t="str">
        <x:f>IF(AN392&lt;&gt;"Yes","Not logged",IF(AL392&gt;='Setup'!$B$14,"STOP / MODIFY",IF(Z392=0,"Complete",IF(OR(AO392=0,AK392=""),"Add set data + RIR",IF(AND(MAX(AB392,AD392,AF392,AH392,AJ392)&gt;=P392,AK392&gt;=Q392+1),"Progress",IF(OR(MAX(AB392,AD392,AF392,AH392,AJ392)&lt;O392,AK392&lt;Q392-1),"Regress","Hold"))))))</x:f>
        <x:v>Not logged</x:v>
      </x:c>
      <x:c r="AT392" s="335" t="n">
        <x:f>IF(OR(Z392=0,AN392&lt;&gt;"Yes",AO392=0,AK392=""),0,IF(AL392&gt;='Setup'!$B$14,-2*'Setup'!$B$11,IF(AND(MAX(AB392,AD392,AF392,AH392,AJ392)&gt;=P392,AK392&gt;=Q392+1),'Setup'!$B$10,IF(OR(MAX(AB392,AD392,AF392,AH392,AJ392)&lt;O392,AK392&lt;Q392-1),-'Setup'!$B$11,0))))</x:f>
        <x:v>0</x:v>
      </x:c>
      <x:c r="AU392" s="333" t="n">
        <x:f>IF(Z392=0,0,IF(AN392&lt;&gt;"Yes",Z392,IF(COUNT(AA392,AC392,AE392,AG392,AI392)=0,Z392,ROUND((MAX(AA392,AC392,AE392,AG392,AI392)*(1+AT392))/'Setup'!$B$9,0)*'Setup'!$B$9)))</x:f>
        <x:v>0</x:v>
      </x:c>
      <x:c r="AV392" s="336"/>
    </x:row>
    <x:row r="393">
      <x:c r="A393" s="310" t="n">
        <x:f>'Setup'!$B$3+(C393-1)*7+(D393-1)</x:f>
        <x:v>46293</x:v>
      </x:c>
      <x:c r="B393" s="311" t="str">
        <x:v>8|1|1</x:v>
      </x:c>
      <x:c r="C393" s="311" t="n">
        <x:v>8</x:v>
      </x:c>
      <x:c r="D393" s="311" t="n">
        <x:v>1</x:v>
      </x:c>
      <x:c r="E393" s="311" t="str">
        <x:v>Deload 2</x:v>
      </x:c>
      <x:c r="F393" s="311" t="str">
        <x:v>Lower Strength</x:v>
      </x:c>
      <x:c r="G393" s="311" t="str">
        <x:v>Squat and hinge strength</x:v>
      </x:c>
      <x:c r="H393" s="311" t="n">
        <x:v>1</x:v>
      </x:c>
      <x:c r="I393" s="311" t="str">
        <x:v>Box Jump</x:v>
      </x:c>
      <x:c r="J393" s="311" t="str">
        <x:v>Power</x:v>
      </x:c>
      <x:c r="K393" s="311" t="str">
        <x:v>Quads</x:v>
      </x:c>
      <x:c r="L393" s="311" t="str">
        <x:v>Straight sets, crisp reps only</x:v>
      </x:c>
      <x:c r="M393" s="311" t="str"/>
      <x:c r="N393" s="311" t="n">
        <x:v>2</x:v>
      </x:c>
      <x:c r="O393" s="311" t="n">
        <x:v>3</x:v>
      </x:c>
      <x:c r="P393" s="311" t="n">
        <x:v>3</x:v>
      </x:c>
      <x:c r="Q393" s="311" t="n">
        <x:v>4</x:v>
      </x:c>
      <x:c r="R393" s="311" t="n">
        <x:v>75</x:v>
      </x:c>
      <x:c r="S393" s="311" t="str">
        <x:v>Explosive</x:v>
      </x:c>
      <x:c r="T393" s="330" t="n">
        <x:v>0.9</x:v>
      </x:c>
      <x:c r="U393" s="330" t="n">
        <x:v>0</x:v>
      </x:c>
      <x:c r="V393" s="331" t="str">
        <x:v>height</x:v>
      </x:c>
      <x:c r="W393" s="332" t="str">
        <x:f>'Readiness'!K49</x:f>
      </x:c>
      <x:c r="X393" s="314" t="n">
        <x:f>'Readiness'!L49</x:f>
        <x:v>1</x:v>
      </x:c>
      <x:c r="Y393" s="315" t="n">
        <x:f>IF(J393="Mobility",N393,MAX(1,ROUND(N393*X393,0)))</x:f>
        <x:v>2</x:v>
      </x:c>
      <x:c r="Z393" s="333" t="n">
        <x:f>0</x:f>
        <x:v>0</x:v>
      </x:c>
      <x:c r="AA393" s="334"/>
      <x:c r="AB393" s="334"/>
      <x:c r="AC393" s="334"/>
      <x:c r="AD393" s="334"/>
      <x:c r="AE393" s="334"/>
      <x:c r="AF393" s="334"/>
      <x:c r="AG393" s="334"/>
      <x:c r="AH393" s="334"/>
      <x:c r="AI393" s="334"/>
      <x:c r="AJ393" s="312"/>
      <x:c r="AK393" s="312"/>
      <x:c r="AL393" s="312"/>
      <x:c r="AM393" s="312"/>
      <x:c r="AN393" s="312"/>
      <x:c r="AO393" s="315" t="n">
        <x:f>COUNT(AB393,AD393,AF393,AH393,AJ393)</x:f>
        <x:v>0</x:v>
      </x:c>
      <x:c r="AP393" s="315" t="n">
        <x:f>SUM(AB393,AD393,AF393,AH393,AJ393)</x:f>
        <x:v>0</x:v>
      </x:c>
      <x:c r="AQ393" s="333" t="n">
        <x:f>AA393*AB393+AC393*AD393+AE393*AF393+AG393*AH393+AI393*AJ393</x:f>
        <x:v>0</x:v>
      </x:c>
      <x:c r="AR393" s="333" t="n">
        <x:f>IF(OR(J393="Strength",J393="Hypertrophy"),MAX(IF(AB393&gt;0,AA393*(1+AB393/30),0),IF(AD393&gt;0,AC393*(1+AD393/30),0),IF(AF393&gt;0,AE393*(1+AF393/30),0),IF(AH393&gt;0,AG393*(1+AH393/30),0),IF(AJ393&gt;0,AI393*(1+AJ393/30),0)),0)</x:f>
        <x:v>0</x:v>
      </x:c>
      <x:c r="AS393" s="315" t="str">
        <x:f>IF(AN393&lt;&gt;"Yes","Not logged",IF(AL393&gt;='Setup'!$B$14,"STOP / MODIFY",IF(Z393=0,"Complete",IF(OR(AO393=0,AK393=""),"Add set data + RIR",IF(AND(MAX(AB393,AD393,AF393,AH393,AJ393)&gt;=P393,AK393&gt;=Q393+1),"Progress",IF(OR(MAX(AB393,AD393,AF393,AH393,AJ393)&lt;O393,AK393&lt;Q393-1),"Regress","Hold"))))))</x:f>
        <x:v>Not logged</x:v>
      </x:c>
      <x:c r="AT393" s="335" t="n">
        <x:f>IF(OR(Z393=0,AN393&lt;&gt;"Yes",AO393=0,AK393=""),0,IF(AL393&gt;='Setup'!$B$14,-2*'Setup'!$B$11,IF(AND(MAX(AB393,AD393,AF393,AH393,AJ393)&gt;=P393,AK393&gt;=Q393+1),'Setup'!$B$10,IF(OR(MAX(AB393,AD393,AF393,AH393,AJ393)&lt;O393,AK393&lt;Q393-1),-'Setup'!$B$11,0))))</x:f>
        <x:v>0</x:v>
      </x:c>
      <x:c r="AU393" s="333" t="n">
        <x:f>IF(Z393=0,0,IF(AN393&lt;&gt;"Yes",Z393,IF(COUNT(AA393,AC393,AE393,AG393,AI393)=0,Z393,ROUND((MAX(AA393,AC393,AE393,AG393,AI393)*(1+AT393))/'Setup'!$B$9,0)*'Setup'!$B$9)))</x:f>
        <x:v>0</x:v>
      </x:c>
      <x:c r="AV393" s="336"/>
    </x:row>
    <x:row r="394">
      <x:c r="A394" s="310" t="n">
        <x:f>'Setup'!$B$3+(C394-1)*7+(D394-1)</x:f>
        <x:v>46293</x:v>
      </x:c>
      <x:c r="B394" s="311" t="str">
        <x:v>8|1|2</x:v>
      </x:c>
      <x:c r="C394" s="311" t="n">
        <x:v>8</x:v>
      </x:c>
      <x:c r="D394" s="311" t="n">
        <x:v>1</x:v>
      </x:c>
      <x:c r="E394" s="311" t="str">
        <x:v>Deload 2</x:v>
      </x:c>
      <x:c r="F394" s="311" t="str">
        <x:v>Lower Strength</x:v>
      </x:c>
      <x:c r="G394" s="311" t="str">
        <x:v>Squat and hinge strength</x:v>
      </x:c>
      <x:c r="H394" s="311" t="n">
        <x:v>2</x:v>
      </x:c>
      <x:c r="I394" s="311" t="str">
        <x:v>Back Squat</x:v>
      </x:c>
      <x:c r="J394" s="311" t="str">
        <x:v>Strength</x:v>
      </x:c>
      <x:c r="K394" s="311" t="str">
        <x:v>Quads</x:v>
      </x:c>
      <x:c r="L394" s="311" t="str">
        <x:v>Straight sets, crisp reps only</x:v>
      </x:c>
      <x:c r="M394" s="311" t="str"/>
      <x:c r="N394" s="311" t="n">
        <x:v>3</x:v>
      </x:c>
      <x:c r="O394" s="311" t="n">
        <x:v>3</x:v>
      </x:c>
      <x:c r="P394" s="311" t="n">
        <x:v>5</x:v>
      </x:c>
      <x:c r="Q394" s="311" t="n">
        <x:v>4</x:v>
      </x:c>
      <x:c r="R394" s="311" t="n">
        <x:v>180</x:v>
      </x:c>
      <x:c r="S394" s="311" t="str">
        <x:v>3-1-X</x:v>
      </x:c>
      <x:c r="T394" s="330" t="n">
        <x:v>0.9</x:v>
      </x:c>
      <x:c r="U394" s="330" t="n">
        <x:v>0.8</x:v>
      </x:c>
      <x:c r="V394" s="331" t="str">
        <x:v>load × reps</x:v>
      </x:c>
      <x:c r="W394" s="332" t="str">
        <x:f>'Readiness'!K49</x:f>
      </x:c>
      <x:c r="X394" s="314" t="n">
        <x:f>'Readiness'!L49</x:f>
        <x:v>1</x:v>
      </x:c>
      <x:c r="Y394" s="315" t="n">
        <x:f>IF(J394="Mobility",N394,MAX(1,ROUND(N394*X394,0)))</x:f>
        <x:v>3</x:v>
      </x:c>
      <x:c r="Z394" s="333" t="n">
        <x:f>ROUND((IF(AU341&gt;0,AU341,IF(Z341&gt;0,Z341,'Setup'!$D$23))*T394)/'Setup'!$B$9,0)*'Setup'!$B$9</x:f>
        <x:v>0</x:v>
      </x:c>
      <x:c r="AA394" s="334"/>
      <x:c r="AB394" s="334"/>
      <x:c r="AC394" s="334"/>
      <x:c r="AD394" s="334"/>
      <x:c r="AE394" s="334"/>
      <x:c r="AF394" s="334"/>
      <x:c r="AG394" s="334"/>
      <x:c r="AH394" s="334"/>
      <x:c r="AI394" s="334"/>
      <x:c r="AJ394" s="312"/>
      <x:c r="AK394" s="312"/>
      <x:c r="AL394" s="312"/>
      <x:c r="AM394" s="312"/>
      <x:c r="AN394" s="312"/>
      <x:c r="AO394" s="315" t="n">
        <x:f>COUNT(AB394,AD394,AF394,AH394,AJ394)</x:f>
        <x:v>0</x:v>
      </x:c>
      <x:c r="AP394" s="315" t="n">
        <x:f>SUM(AB394,AD394,AF394,AH394,AJ394)</x:f>
        <x:v>0</x:v>
      </x:c>
      <x:c r="AQ394" s="333" t="n">
        <x:f>AA394*AB394+AC394*AD394+AE394*AF394+AG394*AH394+AI394*AJ394</x:f>
        <x:v>0</x:v>
      </x:c>
      <x:c r="AR394" s="333" t="n">
        <x:f>IF(OR(J394="Strength",J394="Hypertrophy"),MAX(IF(AB394&gt;0,AA394*(1+AB394/30),0),IF(AD394&gt;0,AC394*(1+AD394/30),0),IF(AF394&gt;0,AE394*(1+AF394/30),0),IF(AH394&gt;0,AG394*(1+AH394/30),0),IF(AJ394&gt;0,AI394*(1+AJ394/30),0)),0)</x:f>
        <x:v>0</x:v>
      </x:c>
      <x:c r="AS394" s="315" t="str">
        <x:f>IF(AN394&lt;&gt;"Yes","Not logged",IF(AL394&gt;='Setup'!$B$14,"STOP / MODIFY",IF(Z394=0,"Complete",IF(OR(AO394=0,AK394=""),"Add set data + RIR",IF(AND(MAX(AB394,AD394,AF394,AH394,AJ394)&gt;=P394,AK394&gt;=Q394+1),"Progress",IF(OR(MAX(AB394,AD394,AF394,AH394,AJ394)&lt;O394,AK394&lt;Q394-1),"Regress","Hold"))))))</x:f>
        <x:v>Not logged</x:v>
      </x:c>
      <x:c r="AT394" s="335" t="n">
        <x:f>IF(OR(Z394=0,AN394&lt;&gt;"Yes",AO394=0,AK394=""),0,IF(AL394&gt;='Setup'!$B$14,-2*'Setup'!$B$11,IF(AND(MAX(AB394,AD394,AF394,AH394,AJ394)&gt;=P394,AK394&gt;=Q394+1),'Setup'!$B$10,IF(OR(MAX(AB394,AD394,AF394,AH394,AJ394)&lt;O394,AK394&lt;Q394-1),-'Setup'!$B$11,0))))</x:f>
        <x:v>0</x:v>
      </x:c>
      <x:c r="AU394" s="333" t="n">
        <x:f>IF(Z394=0,0,IF(AN394&lt;&gt;"Yes",Z394,IF(COUNT(AA394,AC394,AE394,AG394,AI394)=0,Z394,ROUND((MAX(AA394,AC394,AE394,AG394,AI394)*(1+AT394))/'Setup'!$B$9,0)*'Setup'!$B$9)))</x:f>
        <x:v>0</x:v>
      </x:c>
      <x:c r="AV394" s="336"/>
    </x:row>
    <x:row r="395">
      <x:c r="A395" s="310" t="n">
        <x:f>'Setup'!$B$3+(C395-1)*7+(D395-1)</x:f>
        <x:v>46293</x:v>
      </x:c>
      <x:c r="B395" s="311" t="str">
        <x:v>8|1|3</x:v>
      </x:c>
      <x:c r="C395" s="311" t="n">
        <x:v>8</x:v>
      </x:c>
      <x:c r="D395" s="311" t="n">
        <x:v>1</x:v>
      </x:c>
      <x:c r="E395" s="311" t="str">
        <x:v>Deload 2</x:v>
      </x:c>
      <x:c r="F395" s="311" t="str">
        <x:v>Lower Strength</x:v>
      </x:c>
      <x:c r="G395" s="311" t="str">
        <x:v>Squat and hinge strength</x:v>
      </x:c>
      <x:c r="H395" s="311" t="n">
        <x:v>3</x:v>
      </x:c>
      <x:c r="I395" s="311" t="str">
        <x:v>Conventional Deadlift</x:v>
      </x:c>
      <x:c r="J395" s="311" t="str">
        <x:v>Strength</x:v>
      </x:c>
      <x:c r="K395" s="311" t="str">
        <x:v>Hamstrings</x:v>
      </x:c>
      <x:c r="L395" s="311" t="str">
        <x:v>Straight sets, crisp reps only</x:v>
      </x:c>
      <x:c r="M395" s="311" t="str"/>
      <x:c r="N395" s="311" t="n">
        <x:v>2</x:v>
      </x:c>
      <x:c r="O395" s="311" t="n">
        <x:v>3</x:v>
      </x:c>
      <x:c r="P395" s="311" t="n">
        <x:v>5</x:v>
      </x:c>
      <x:c r="Q395" s="311" t="n">
        <x:v>4</x:v>
      </x:c>
      <x:c r="R395" s="311" t="n">
        <x:v>210</x:v>
      </x:c>
      <x:c r="S395" s="311" t="str">
        <x:v>2-1-X</x:v>
      </x:c>
      <x:c r="T395" s="330" t="n">
        <x:v>0.9</x:v>
      </x:c>
      <x:c r="U395" s="330" t="n">
        <x:v>0.78</x:v>
      </x:c>
      <x:c r="V395" s="331" t="str">
        <x:v>load × reps</x:v>
      </x:c>
      <x:c r="W395" s="332" t="str">
        <x:f>'Readiness'!K49</x:f>
      </x:c>
      <x:c r="X395" s="314" t="n">
        <x:f>'Readiness'!L49</x:f>
        <x:v>1</x:v>
      </x:c>
      <x:c r="Y395" s="315" t="n">
        <x:f>IF(J395="Mobility",N395,MAX(1,ROUND(N395*X395,0)))</x:f>
        <x:v>2</x:v>
      </x:c>
      <x:c r="Z395" s="333" t="n">
        <x:f>ROUND((IF(AU342&gt;0,AU342,IF(Z342&gt;0,Z342,'Setup'!$D$35))*T395)/'Setup'!$B$9,0)*'Setup'!$B$9</x:f>
        <x:v>0</x:v>
      </x:c>
      <x:c r="AA395" s="334"/>
      <x:c r="AB395" s="334"/>
      <x:c r="AC395" s="334"/>
      <x:c r="AD395" s="334"/>
      <x:c r="AE395" s="334"/>
      <x:c r="AF395" s="334"/>
      <x:c r="AG395" s="334"/>
      <x:c r="AH395" s="334"/>
      <x:c r="AI395" s="334"/>
      <x:c r="AJ395" s="312"/>
      <x:c r="AK395" s="312"/>
      <x:c r="AL395" s="312"/>
      <x:c r="AM395" s="312"/>
      <x:c r="AN395" s="312"/>
      <x:c r="AO395" s="315" t="n">
        <x:f>COUNT(AB395,AD395,AF395,AH395,AJ395)</x:f>
        <x:v>0</x:v>
      </x:c>
      <x:c r="AP395" s="315" t="n">
        <x:f>SUM(AB395,AD395,AF395,AH395,AJ395)</x:f>
        <x:v>0</x:v>
      </x:c>
      <x:c r="AQ395" s="333" t="n">
        <x:f>AA395*AB395+AC395*AD395+AE395*AF395+AG395*AH395+AI395*AJ395</x:f>
        <x:v>0</x:v>
      </x:c>
      <x:c r="AR395" s="333" t="n">
        <x:f>IF(OR(J395="Strength",J395="Hypertrophy"),MAX(IF(AB395&gt;0,AA395*(1+AB395/30),0),IF(AD395&gt;0,AC395*(1+AD395/30),0),IF(AF395&gt;0,AE395*(1+AF395/30),0),IF(AH395&gt;0,AG395*(1+AH395/30),0),IF(AJ395&gt;0,AI395*(1+AJ395/30),0)),0)</x:f>
        <x:v>0</x:v>
      </x:c>
      <x:c r="AS395" s="315" t="str">
        <x:f>IF(AN395&lt;&gt;"Yes","Not logged",IF(AL395&gt;='Setup'!$B$14,"STOP / MODIFY",IF(Z395=0,"Complete",IF(OR(AO395=0,AK395=""),"Add set data + RIR",IF(AND(MAX(AB395,AD395,AF395,AH395,AJ395)&gt;=P395,AK395&gt;=Q395+1),"Progress",IF(OR(MAX(AB395,AD395,AF395,AH395,AJ395)&lt;O395,AK395&lt;Q395-1),"Regress","Hold"))))))</x:f>
        <x:v>Not logged</x:v>
      </x:c>
      <x:c r="AT395" s="335" t="n">
        <x:f>IF(OR(Z395=0,AN395&lt;&gt;"Yes",AO395=0,AK395=""),0,IF(AL395&gt;='Setup'!$B$14,-2*'Setup'!$B$11,IF(AND(MAX(AB395,AD395,AF395,AH395,AJ395)&gt;=P395,AK395&gt;=Q395+1),'Setup'!$B$10,IF(OR(MAX(AB395,AD395,AF395,AH395,AJ395)&lt;O395,AK395&lt;Q395-1),-'Setup'!$B$11,0))))</x:f>
        <x:v>0</x:v>
      </x:c>
      <x:c r="AU395" s="333" t="n">
        <x:f>IF(Z395=0,0,IF(AN395&lt;&gt;"Yes",Z395,IF(COUNT(AA395,AC395,AE395,AG395,AI395)=0,Z395,ROUND((MAX(AA395,AC395,AE395,AG395,AI395)*(1+AT395))/'Setup'!$B$9,0)*'Setup'!$B$9)))</x:f>
        <x:v>0</x:v>
      </x:c>
      <x:c r="AV395" s="336"/>
    </x:row>
    <x:row r="396">
      <x:c r="A396" s="310" t="n">
        <x:f>'Setup'!$B$3+(C396-1)*7+(D396-1)</x:f>
        <x:v>46293</x:v>
      </x:c>
      <x:c r="B396" s="311" t="str">
        <x:v>8|1|4</x:v>
      </x:c>
      <x:c r="C396" s="311" t="n">
        <x:v>8</x:v>
      </x:c>
      <x:c r="D396" s="311" t="n">
        <x:v>1</x:v>
      </x:c>
      <x:c r="E396" s="311" t="str">
        <x:v>Deload 2</x:v>
      </x:c>
      <x:c r="F396" s="311" t="str">
        <x:v>Lower Strength</x:v>
      </x:c>
      <x:c r="G396" s="311" t="str">
        <x:v>Squat and hinge strength</x:v>
      </x:c>
      <x:c r="H396" s="311" t="n">
        <x:v>4</x:v>
      </x:c>
      <x:c r="I396" s="311" t="str">
        <x:v>Front-Foot Elevated Split Squat</x:v>
      </x:c>
      <x:c r="J396" s="311" t="str">
        <x:v>Hypertrophy</x:v>
      </x:c>
      <x:c r="K396" s="311" t="str">
        <x:v>Quads</x:v>
      </x:c>
      <x:c r="L396" s="311" t="str">
        <x:v>Straight sets, crisp reps only</x:v>
      </x:c>
      <x:c r="M396" s="311" t="str"/>
      <x:c r="N396" s="311" t="n">
        <x:v>2</x:v>
      </x:c>
      <x:c r="O396" s="311" t="n">
        <x:v>6</x:v>
      </x:c>
      <x:c r="P396" s="311" t="n">
        <x:v>8</x:v>
      </x:c>
      <x:c r="Q396" s="311" t="n">
        <x:v>4</x:v>
      </x:c>
      <x:c r="R396" s="311" t="n">
        <x:v>90</x:v>
      </x:c>
      <x:c r="S396" s="311" t="str">
        <x:v>3-0-1</x:v>
      </x:c>
      <x:c r="T396" s="330" t="n">
        <x:v>0.9</x:v>
      </x:c>
      <x:c r="U396" s="330" t="n">
        <x:v>0</x:v>
      </x:c>
      <x:c r="V396" s="331" t="str">
        <x:v>load × reps</x:v>
      </x:c>
      <x:c r="W396" s="332" t="str">
        <x:f>'Readiness'!K49</x:f>
      </x:c>
      <x:c r="X396" s="314" t="n">
        <x:f>'Readiness'!L49</x:f>
        <x:v>1</x:v>
      </x:c>
      <x:c r="Y396" s="315" t="n">
        <x:f>IF(J396="Mobility",N396,MAX(1,ROUND(N396*X396,0)))</x:f>
        <x:v>2</x:v>
      </x:c>
      <x:c r="Z396" s="333" t="n">
        <x:f>ROUND((IF(AU343&gt;0,AU343,IF(Z343&gt;0,Z343,'Setup'!$D$44))*T396)/'Setup'!$B$9,0)*'Setup'!$B$9</x:f>
        <x:v>0</x:v>
      </x:c>
      <x:c r="AA396" s="334"/>
      <x:c r="AB396" s="334"/>
      <x:c r="AC396" s="334"/>
      <x:c r="AD396" s="334"/>
      <x:c r="AE396" s="334"/>
      <x:c r="AF396" s="334"/>
      <x:c r="AG396" s="334"/>
      <x:c r="AH396" s="334"/>
      <x:c r="AI396" s="334"/>
      <x:c r="AJ396" s="312"/>
      <x:c r="AK396" s="312"/>
      <x:c r="AL396" s="312"/>
      <x:c r="AM396" s="312"/>
      <x:c r="AN396" s="312"/>
      <x:c r="AO396" s="315" t="n">
        <x:f>COUNT(AB396,AD396,AF396,AH396,AJ396)</x:f>
        <x:v>0</x:v>
      </x:c>
      <x:c r="AP396" s="315" t="n">
        <x:f>SUM(AB396,AD396,AF396,AH396,AJ396)</x:f>
        <x:v>0</x:v>
      </x:c>
      <x:c r="AQ396" s="333" t="n">
        <x:f>AA396*AB396+AC396*AD396+AE396*AF396+AG396*AH396+AI396*AJ396</x:f>
        <x:v>0</x:v>
      </x:c>
      <x:c r="AR396" s="333" t="n">
        <x:f>IF(OR(J396="Strength",J396="Hypertrophy"),MAX(IF(AB396&gt;0,AA396*(1+AB396/30),0),IF(AD396&gt;0,AC396*(1+AD396/30),0),IF(AF396&gt;0,AE396*(1+AF396/30),0),IF(AH396&gt;0,AG396*(1+AH396/30),0),IF(AJ396&gt;0,AI396*(1+AJ396/30),0)),0)</x:f>
        <x:v>0</x:v>
      </x:c>
      <x:c r="AS396" s="315" t="str">
        <x:f>IF(AN396&lt;&gt;"Yes","Not logged",IF(AL396&gt;='Setup'!$B$14,"STOP / MODIFY",IF(Z396=0,"Complete",IF(OR(AO396=0,AK396=""),"Add set data + RIR",IF(AND(MAX(AB396,AD396,AF396,AH396,AJ396)&gt;=P396,AK396&gt;=Q396+1),"Progress",IF(OR(MAX(AB396,AD396,AF396,AH396,AJ396)&lt;O396,AK396&lt;Q396-1),"Regress","Hold"))))))</x:f>
        <x:v>Not logged</x:v>
      </x:c>
      <x:c r="AT396" s="335" t="n">
        <x:f>IF(OR(Z396=0,AN396&lt;&gt;"Yes",AO396=0,AK396=""),0,IF(AL396&gt;='Setup'!$B$14,-2*'Setup'!$B$11,IF(AND(MAX(AB396,AD396,AF396,AH396,AJ396)&gt;=P396,AK396&gt;=Q396+1),'Setup'!$B$10,IF(OR(MAX(AB396,AD396,AF396,AH396,AJ396)&lt;O396,AK396&lt;Q396-1),-'Setup'!$B$11,0))))</x:f>
        <x:v>0</x:v>
      </x:c>
      <x:c r="AU396" s="333" t="n">
        <x:f>IF(Z396=0,0,IF(AN396&lt;&gt;"Yes",Z396,IF(COUNT(AA396,AC396,AE396,AG396,AI396)=0,Z396,ROUND((MAX(AA396,AC396,AE396,AG396,AI396)*(1+AT396))/'Setup'!$B$9,0)*'Setup'!$B$9)))</x:f>
        <x:v>0</x:v>
      </x:c>
      <x:c r="AV396" s="336"/>
    </x:row>
    <x:row r="397">
      <x:c r="A397" s="310" t="n">
        <x:f>'Setup'!$B$3+(C397-1)*7+(D397-1)</x:f>
        <x:v>46293</x:v>
      </x:c>
      <x:c r="B397" s="311" t="str">
        <x:v>8|1|5</x:v>
      </x:c>
      <x:c r="C397" s="311" t="n">
        <x:v>8</x:v>
      </x:c>
      <x:c r="D397" s="311" t="n">
        <x:v>1</x:v>
      </x:c>
      <x:c r="E397" s="311" t="str">
        <x:v>Deload 2</x:v>
      </x:c>
      <x:c r="F397" s="311" t="str">
        <x:v>Lower Strength</x:v>
      </x:c>
      <x:c r="G397" s="311" t="str">
        <x:v>Squat and hinge strength</x:v>
      </x:c>
      <x:c r="H397" s="311" t="n">
        <x:v>5</x:v>
      </x:c>
      <x:c r="I397" s="311" t="str">
        <x:v>Nordic Hamstring Curl</x:v>
      </x:c>
      <x:c r="J397" s="311" t="str">
        <x:v>Strength</x:v>
      </x:c>
      <x:c r="K397" s="311" t="str">
        <x:v>Hamstrings</x:v>
      </x:c>
      <x:c r="L397" s="311" t="str">
        <x:v>Straight sets, crisp reps only</x:v>
      </x:c>
      <x:c r="M397" s="311" t="str"/>
      <x:c r="N397" s="311" t="n">
        <x:v>2</x:v>
      </x:c>
      <x:c r="O397" s="311" t="n">
        <x:v>5</x:v>
      </x:c>
      <x:c r="P397" s="311" t="n">
        <x:v>8</x:v>
      </x:c>
      <x:c r="Q397" s="311" t="n">
        <x:v>4</x:v>
      </x:c>
      <x:c r="R397" s="311" t="n">
        <x:v>90</x:v>
      </x:c>
      <x:c r="S397" s="311" t="str">
        <x:v>5-0-X</x:v>
      </x:c>
      <x:c r="T397" s="330" t="n">
        <x:v>0.9</x:v>
      </x:c>
      <x:c r="U397" s="330" t="n">
        <x:v>0</x:v>
      </x:c>
      <x:c r="V397" s="331" t="str">
        <x:v>reps</x:v>
      </x:c>
      <x:c r="W397" s="332" t="str">
        <x:f>'Readiness'!K49</x:f>
      </x:c>
      <x:c r="X397" s="314" t="n">
        <x:f>'Readiness'!L49</x:f>
        <x:v>1</x:v>
      </x:c>
      <x:c r="Y397" s="315" t="n">
        <x:f>IF(J397="Mobility",N397,MAX(1,ROUND(N397*X397,0)))</x:f>
        <x:v>2</x:v>
      </x:c>
      <x:c r="Z397" s="333" t="n">
        <x:f>0</x:f>
        <x:v>0</x:v>
      </x:c>
      <x:c r="AA397" s="334"/>
      <x:c r="AB397" s="334"/>
      <x:c r="AC397" s="334"/>
      <x:c r="AD397" s="334"/>
      <x:c r="AE397" s="334"/>
      <x:c r="AF397" s="334"/>
      <x:c r="AG397" s="334"/>
      <x:c r="AH397" s="334"/>
      <x:c r="AI397" s="334"/>
      <x:c r="AJ397" s="312"/>
      <x:c r="AK397" s="312"/>
      <x:c r="AL397" s="312"/>
      <x:c r="AM397" s="312"/>
      <x:c r="AN397" s="312"/>
      <x:c r="AO397" s="315" t="n">
        <x:f>COUNT(AB397,AD397,AF397,AH397,AJ397)</x:f>
        <x:v>0</x:v>
      </x:c>
      <x:c r="AP397" s="315" t="n">
        <x:f>SUM(AB397,AD397,AF397,AH397,AJ397)</x:f>
        <x:v>0</x:v>
      </x:c>
      <x:c r="AQ397" s="333" t="n">
        <x:f>AA397*AB397+AC397*AD397+AE397*AF397+AG397*AH397+AI397*AJ397</x:f>
        <x:v>0</x:v>
      </x:c>
      <x:c r="AR397" s="333" t="n">
        <x:f>IF(OR(J397="Strength",J397="Hypertrophy"),MAX(IF(AB397&gt;0,AA397*(1+AB397/30),0),IF(AD397&gt;0,AC397*(1+AD397/30),0),IF(AF397&gt;0,AE397*(1+AF397/30),0),IF(AH397&gt;0,AG397*(1+AH397/30),0),IF(AJ397&gt;0,AI397*(1+AJ397/30),0)),0)</x:f>
        <x:v>0</x:v>
      </x:c>
      <x:c r="AS397" s="315" t="str">
        <x:f>IF(AN397&lt;&gt;"Yes","Not logged",IF(AL397&gt;='Setup'!$B$14,"STOP / MODIFY",IF(Z397=0,"Complete",IF(OR(AO397=0,AK397=""),"Add set data + RIR",IF(AND(MAX(AB397,AD397,AF397,AH397,AJ397)&gt;=P397,AK397&gt;=Q397+1),"Progress",IF(OR(MAX(AB397,AD397,AF397,AH397,AJ397)&lt;O397,AK397&lt;Q397-1),"Regress","Hold"))))))</x:f>
        <x:v>Not logged</x:v>
      </x:c>
      <x:c r="AT397" s="335" t="n">
        <x:f>IF(OR(Z397=0,AN397&lt;&gt;"Yes",AO397=0,AK397=""),0,IF(AL397&gt;='Setup'!$B$14,-2*'Setup'!$B$11,IF(AND(MAX(AB397,AD397,AF397,AH397,AJ397)&gt;=P397,AK397&gt;=Q397+1),'Setup'!$B$10,IF(OR(MAX(AB397,AD397,AF397,AH397,AJ397)&lt;O397,AK397&lt;Q397-1),-'Setup'!$B$11,0))))</x:f>
        <x:v>0</x:v>
      </x:c>
      <x:c r="AU397" s="333" t="n">
        <x:f>IF(Z397=0,0,IF(AN397&lt;&gt;"Yes",Z397,IF(COUNT(AA397,AC397,AE397,AG397,AI397)=0,Z397,ROUND((MAX(AA397,AC397,AE397,AG397,AI397)*(1+AT397))/'Setup'!$B$9,0)*'Setup'!$B$9)))</x:f>
        <x:v>0</x:v>
      </x:c>
      <x:c r="AV397" s="336"/>
    </x:row>
    <x:row r="398">
      <x:c r="A398" s="310" t="n">
        <x:f>'Setup'!$B$3+(C398-1)*7+(D398-1)</x:f>
        <x:v>46293</x:v>
      </x:c>
      <x:c r="B398" s="311" t="str">
        <x:v>8|1|6</x:v>
      </x:c>
      <x:c r="C398" s="311" t="n">
        <x:v>8</x:v>
      </x:c>
      <x:c r="D398" s="311" t="n">
        <x:v>1</x:v>
      </x:c>
      <x:c r="E398" s="311" t="str">
        <x:v>Deload 2</x:v>
      </x:c>
      <x:c r="F398" s="311" t="str">
        <x:v>Lower Strength</x:v>
      </x:c>
      <x:c r="G398" s="311" t="str">
        <x:v>Squat and hinge strength</x:v>
      </x:c>
      <x:c r="H398" s="311" t="n">
        <x:v>6</x:v>
      </x:c>
      <x:c r="I398" s="311" t="str">
        <x:v>Standing Calf Raise</x:v>
      </x:c>
      <x:c r="J398" s="311" t="str">
        <x:v>Hypertrophy</x:v>
      </x:c>
      <x:c r="K398" s="311" t="str">
        <x:v>Calves</x:v>
      </x:c>
      <x:c r="L398" s="311" t="str">
        <x:v>Straight sets, crisp reps only</x:v>
      </x:c>
      <x:c r="M398" s="311" t="str"/>
      <x:c r="N398" s="311" t="n">
        <x:v>2</x:v>
      </x:c>
      <x:c r="O398" s="311" t="n">
        <x:v>8</x:v>
      </x:c>
      <x:c r="P398" s="311" t="n">
        <x:v>12</x:v>
      </x:c>
      <x:c r="Q398" s="311" t="n">
        <x:v>4</x:v>
      </x:c>
      <x:c r="R398" s="311" t="n">
        <x:v>60</x:v>
      </x:c>
      <x:c r="S398" s="311" t="str">
        <x:v>2-2-1</x:v>
      </x:c>
      <x:c r="T398" s="330" t="n">
        <x:v>0.9</x:v>
      </x:c>
      <x:c r="U398" s="330" t="n">
        <x:v>0</x:v>
      </x:c>
      <x:c r="V398" s="331" t="str">
        <x:v>load × reps</x:v>
      </x:c>
      <x:c r="W398" s="332" t="str">
        <x:f>'Readiness'!K49</x:f>
      </x:c>
      <x:c r="X398" s="314" t="n">
        <x:f>'Readiness'!L49</x:f>
        <x:v>1</x:v>
      </x:c>
      <x:c r="Y398" s="315" t="n">
        <x:f>IF(J398="Mobility",N398,MAX(1,ROUND(N398*X398,0)))</x:f>
        <x:v>2</x:v>
      </x:c>
      <x:c r="Z398" s="333" t="n">
        <x:f>ROUND((IF(AU345&gt;0,AU345,IF(Z345&gt;0,Z345,'Setup'!$D$90))*T398)/'Setup'!$B$9,0)*'Setup'!$B$9</x:f>
        <x:v>0</x:v>
      </x:c>
      <x:c r="AA398" s="334"/>
      <x:c r="AB398" s="334"/>
      <x:c r="AC398" s="334"/>
      <x:c r="AD398" s="334"/>
      <x:c r="AE398" s="334"/>
      <x:c r="AF398" s="334"/>
      <x:c r="AG398" s="334"/>
      <x:c r="AH398" s="334"/>
      <x:c r="AI398" s="334"/>
      <x:c r="AJ398" s="312"/>
      <x:c r="AK398" s="312"/>
      <x:c r="AL398" s="312"/>
      <x:c r="AM398" s="312"/>
      <x:c r="AN398" s="312"/>
      <x:c r="AO398" s="315" t="n">
        <x:f>COUNT(AB398,AD398,AF398,AH398,AJ398)</x:f>
        <x:v>0</x:v>
      </x:c>
      <x:c r="AP398" s="315" t="n">
        <x:f>SUM(AB398,AD398,AF398,AH398,AJ398)</x:f>
        <x:v>0</x:v>
      </x:c>
      <x:c r="AQ398" s="333" t="n">
        <x:f>AA398*AB398+AC398*AD398+AE398*AF398+AG398*AH398+AI398*AJ398</x:f>
        <x:v>0</x:v>
      </x:c>
      <x:c r="AR398" s="333" t="n">
        <x:f>IF(OR(J398="Strength",J398="Hypertrophy"),MAX(IF(AB398&gt;0,AA398*(1+AB398/30),0),IF(AD398&gt;0,AC398*(1+AD398/30),0),IF(AF398&gt;0,AE398*(1+AF398/30),0),IF(AH398&gt;0,AG398*(1+AH398/30),0),IF(AJ398&gt;0,AI398*(1+AJ398/30),0)),0)</x:f>
        <x:v>0</x:v>
      </x:c>
      <x:c r="AS398" s="315" t="str">
        <x:f>IF(AN398&lt;&gt;"Yes","Not logged",IF(AL398&gt;='Setup'!$B$14,"STOP / MODIFY",IF(Z398=0,"Complete",IF(OR(AO398=0,AK398=""),"Add set data + RIR",IF(AND(MAX(AB398,AD398,AF398,AH398,AJ398)&gt;=P398,AK398&gt;=Q398+1),"Progress",IF(OR(MAX(AB398,AD398,AF398,AH398,AJ398)&lt;O398,AK398&lt;Q398-1),"Regress","Hold"))))))</x:f>
        <x:v>Not logged</x:v>
      </x:c>
      <x:c r="AT398" s="335" t="n">
        <x:f>IF(OR(Z398=0,AN398&lt;&gt;"Yes",AO398=0,AK398=""),0,IF(AL398&gt;='Setup'!$B$14,-2*'Setup'!$B$11,IF(AND(MAX(AB398,AD398,AF398,AH398,AJ398)&gt;=P398,AK398&gt;=Q398+1),'Setup'!$B$10,IF(OR(MAX(AB398,AD398,AF398,AH398,AJ398)&lt;O398,AK398&lt;Q398-1),-'Setup'!$B$11,0))))</x:f>
        <x:v>0</x:v>
      </x:c>
      <x:c r="AU398" s="333" t="n">
        <x:f>IF(Z398=0,0,IF(AN398&lt;&gt;"Yes",Z398,IF(COUNT(AA398,AC398,AE398,AG398,AI398)=0,Z398,ROUND((MAX(AA398,AC398,AE398,AG398,AI398)*(1+AT398))/'Setup'!$B$9,0)*'Setup'!$B$9)))</x:f>
        <x:v>0</x:v>
      </x:c>
      <x:c r="AV398" s="336"/>
    </x:row>
    <x:row r="399">
      <x:c r="A399" s="310" t="n">
        <x:f>'Setup'!$B$3+(C399-1)*7+(D399-1)</x:f>
        <x:v>46293</x:v>
      </x:c>
      <x:c r="B399" s="311" t="str">
        <x:v>8|1|7</x:v>
      </x:c>
      <x:c r="C399" s="311" t="n">
        <x:v>8</x:v>
      </x:c>
      <x:c r="D399" s="311" t="n">
        <x:v>1</x:v>
      </x:c>
      <x:c r="E399" s="311" t="str">
        <x:v>Deload 2</x:v>
      </x:c>
      <x:c r="F399" s="311" t="str">
        <x:v>Lower Strength</x:v>
      </x:c>
      <x:c r="G399" s="311" t="str">
        <x:v>Squat and hinge strength</x:v>
      </x:c>
      <x:c r="H399" s="311" t="n">
        <x:v>7</x:v>
      </x:c>
      <x:c r="I399" s="311" t="str">
        <x:v>Ab Wheel Rollout</x:v>
      </x:c>
      <x:c r="J399" s="311" t="str">
        <x:v>Hypertrophy</x:v>
      </x:c>
      <x:c r="K399" s="311" t="str">
        <x:v>Core</x:v>
      </x:c>
      <x:c r="L399" s="311" t="str">
        <x:v>Straight sets, crisp reps only</x:v>
      </x:c>
      <x:c r="M399" s="311" t="str"/>
      <x:c r="N399" s="311" t="n">
        <x:v>2</x:v>
      </x:c>
      <x:c r="O399" s="311" t="n">
        <x:v>8</x:v>
      </x:c>
      <x:c r="P399" s="311" t="n">
        <x:v>12</x:v>
      </x:c>
      <x:c r="Q399" s="311" t="n">
        <x:v>4</x:v>
      </x:c>
      <x:c r="R399" s="311" t="n">
        <x:v>60</x:v>
      </x:c>
      <x:c r="S399" s="311" t="str">
        <x:v>3-0-1</x:v>
      </x:c>
      <x:c r="T399" s="330" t="n">
        <x:v>0.9</x:v>
      </x:c>
      <x:c r="U399" s="330" t="n">
        <x:v>0</x:v>
      </x:c>
      <x:c r="V399" s="331" t="str">
        <x:v>reps</x:v>
      </x:c>
      <x:c r="W399" s="332" t="str">
        <x:f>'Readiness'!K49</x:f>
      </x:c>
      <x:c r="X399" s="314" t="n">
        <x:f>'Readiness'!L49</x:f>
        <x:v>1</x:v>
      </x:c>
      <x:c r="Y399" s="315" t="n">
        <x:f>IF(J399="Mobility",N399,MAX(1,ROUND(N399*X399,0)))</x:f>
        <x:v>2</x:v>
      </x:c>
      <x:c r="Z399" s="333" t="n">
        <x:f>0</x:f>
        <x:v>0</x:v>
      </x:c>
      <x:c r="AA399" s="334"/>
      <x:c r="AB399" s="334"/>
      <x:c r="AC399" s="334"/>
      <x:c r="AD399" s="334"/>
      <x:c r="AE399" s="334"/>
      <x:c r="AF399" s="334"/>
      <x:c r="AG399" s="334"/>
      <x:c r="AH399" s="334"/>
      <x:c r="AI399" s="334"/>
      <x:c r="AJ399" s="312"/>
      <x:c r="AK399" s="312"/>
      <x:c r="AL399" s="312"/>
      <x:c r="AM399" s="312"/>
      <x:c r="AN399" s="312"/>
      <x:c r="AO399" s="315" t="n">
        <x:f>COUNT(AB399,AD399,AF399,AH399,AJ399)</x:f>
        <x:v>0</x:v>
      </x:c>
      <x:c r="AP399" s="315" t="n">
        <x:f>SUM(AB399,AD399,AF399,AH399,AJ399)</x:f>
        <x:v>0</x:v>
      </x:c>
      <x:c r="AQ399" s="333" t="n">
        <x:f>AA399*AB399+AC399*AD399+AE399*AF399+AG399*AH399+AI399*AJ399</x:f>
        <x:v>0</x:v>
      </x:c>
      <x:c r="AR399" s="333" t="n">
        <x:f>IF(OR(J399="Strength",J399="Hypertrophy"),MAX(IF(AB399&gt;0,AA399*(1+AB399/30),0),IF(AD399&gt;0,AC399*(1+AD399/30),0),IF(AF399&gt;0,AE399*(1+AF399/30),0),IF(AH399&gt;0,AG399*(1+AH399/30),0),IF(AJ399&gt;0,AI399*(1+AJ399/30),0)),0)</x:f>
        <x:v>0</x:v>
      </x:c>
      <x:c r="AS399" s="315" t="str">
        <x:f>IF(AN399&lt;&gt;"Yes","Not logged",IF(AL399&gt;='Setup'!$B$14,"STOP / MODIFY",IF(Z399=0,"Complete",IF(OR(AO399=0,AK399=""),"Add set data + RIR",IF(AND(MAX(AB399,AD399,AF399,AH399,AJ399)&gt;=P399,AK399&gt;=Q399+1),"Progress",IF(OR(MAX(AB399,AD399,AF399,AH399,AJ399)&lt;O399,AK399&lt;Q399-1),"Regress","Hold"))))))</x:f>
        <x:v>Not logged</x:v>
      </x:c>
      <x:c r="AT399" s="335" t="n">
        <x:f>IF(OR(Z399=0,AN399&lt;&gt;"Yes",AO399=0,AK399=""),0,IF(AL399&gt;='Setup'!$B$14,-2*'Setup'!$B$11,IF(AND(MAX(AB399,AD399,AF399,AH399,AJ399)&gt;=P399,AK399&gt;=Q399+1),'Setup'!$B$10,IF(OR(MAX(AB399,AD399,AF399,AH399,AJ399)&lt;O399,AK399&lt;Q399-1),-'Setup'!$B$11,0))))</x:f>
        <x:v>0</x:v>
      </x:c>
      <x:c r="AU399" s="333" t="n">
        <x:f>IF(Z399=0,0,IF(AN399&lt;&gt;"Yes",Z399,IF(COUNT(AA399,AC399,AE399,AG399,AI399)=0,Z399,ROUND((MAX(AA399,AC399,AE399,AG399,AI399)*(1+AT399))/'Setup'!$B$9,0)*'Setup'!$B$9)))</x:f>
        <x:v>0</x:v>
      </x:c>
      <x:c r="AV399" s="336"/>
    </x:row>
    <x:row r="400">
      <x:c r="A400" s="310" t="n">
        <x:f>'Setup'!$B$3+(C400-1)*7+(D400-1)</x:f>
        <x:v>46293</x:v>
      </x:c>
      <x:c r="B400" s="311" t="str">
        <x:v>8|1|8</x:v>
      </x:c>
      <x:c r="C400" s="311" t="n">
        <x:v>8</x:v>
      </x:c>
      <x:c r="D400" s="311" t="n">
        <x:v>1</x:v>
      </x:c>
      <x:c r="E400" s="311" t="str">
        <x:v>Deload 2</x:v>
      </x:c>
      <x:c r="F400" s="311" t="str">
        <x:v>Lower Strength</x:v>
      </x:c>
      <x:c r="G400" s="311" t="str">
        <x:v>Squat and hinge strength</x:v>
      </x:c>
      <x:c r="H400" s="311" t="n">
        <x:v>8</x:v>
      </x:c>
      <x:c r="I400" s="311" t="str">
        <x:v>Ankle Dorsiflexion Mobilization</x:v>
      </x:c>
      <x:c r="J400" s="311" t="str">
        <x:v>Mobility</x:v>
      </x:c>
      <x:c r="K400" s="311" t="str">
        <x:v>Ankles</x:v>
      </x:c>
      <x:c r="L400" s="311" t="str">
        <x:v>Straight sets, crisp reps only</x:v>
      </x:c>
      <x:c r="M400" s="311" t="str"/>
      <x:c r="N400" s="311" t="n">
        <x:v>2</x:v>
      </x:c>
      <x:c r="O400" s="311" t="n">
        <x:v>8</x:v>
      </x:c>
      <x:c r="P400" s="311" t="n">
        <x:v>12</x:v>
      </x:c>
      <x:c r="Q400" s="311" t="str"/>
      <x:c r="R400" s="311" t="n">
        <x:v>20</x:v>
      </x:c>
      <x:c r="S400" s="311" t="str">
        <x:v>Slow</x:v>
      </x:c>
      <x:c r="T400" s="330" t="n">
        <x:v>0.9</x:v>
      </x:c>
      <x:c r="U400" s="330" t="n">
        <x:v>0</x:v>
      </x:c>
      <x:c r="V400" s="331" t="str">
        <x:v>reps</x:v>
      </x:c>
      <x:c r="W400" s="332" t="str">
        <x:f>'Readiness'!K49</x:f>
      </x:c>
      <x:c r="X400" s="314" t="n">
        <x:f>'Readiness'!L49</x:f>
        <x:v>1</x:v>
      </x:c>
      <x:c r="Y400" s="315" t="n">
        <x:f>IF(J400="Mobility",N400,MAX(1,ROUND(N400*X400,0)))</x:f>
        <x:v>2</x:v>
      </x:c>
      <x:c r="Z400" s="333" t="n">
        <x:f>0</x:f>
        <x:v>0</x:v>
      </x:c>
      <x:c r="AA400" s="334"/>
      <x:c r="AB400" s="334"/>
      <x:c r="AC400" s="334"/>
      <x:c r="AD400" s="334"/>
      <x:c r="AE400" s="334"/>
      <x:c r="AF400" s="334"/>
      <x:c r="AG400" s="334"/>
      <x:c r="AH400" s="334"/>
      <x:c r="AI400" s="334"/>
      <x:c r="AJ400" s="312"/>
      <x:c r="AK400" s="312"/>
      <x:c r="AL400" s="312"/>
      <x:c r="AM400" s="312"/>
      <x:c r="AN400" s="312"/>
      <x:c r="AO400" s="315" t="n">
        <x:f>COUNT(AB400,AD400,AF400,AH400,AJ400)</x:f>
        <x:v>0</x:v>
      </x:c>
      <x:c r="AP400" s="315" t="n">
        <x:f>SUM(AB400,AD400,AF400,AH400,AJ400)</x:f>
        <x:v>0</x:v>
      </x:c>
      <x:c r="AQ400" s="333" t="n">
        <x:f>AA400*AB400+AC400*AD400+AE400*AF400+AG400*AH400+AI400*AJ400</x:f>
        <x:v>0</x:v>
      </x:c>
      <x:c r="AR400" s="333" t="n">
        <x:f>IF(OR(J400="Strength",J400="Hypertrophy"),MAX(IF(AB400&gt;0,AA400*(1+AB400/30),0),IF(AD400&gt;0,AC400*(1+AD400/30),0),IF(AF400&gt;0,AE400*(1+AF400/30),0),IF(AH400&gt;0,AG400*(1+AH400/30),0),IF(AJ400&gt;0,AI400*(1+AJ400/30),0)),0)</x:f>
        <x:v>0</x:v>
      </x:c>
      <x:c r="AS400" s="315" t="str">
        <x:f>IF(AN400&lt;&gt;"Yes","Not logged",IF(AL400&gt;='Setup'!$B$14,"STOP / MODIFY",IF(Z400=0,"Complete",IF(OR(AO400=0,AK400=""),"Add set data + RIR",IF(AND(MAX(AB400,AD400,AF400,AH400,AJ400)&gt;=P400,AK400&gt;=Q400+1),"Progress",IF(OR(MAX(AB400,AD400,AF400,AH400,AJ400)&lt;O400,AK400&lt;Q400-1),"Regress","Hold"))))))</x:f>
        <x:v>Not logged</x:v>
      </x:c>
      <x:c r="AT400" s="335" t="n">
        <x:f>IF(OR(Z400=0,AN400&lt;&gt;"Yes",AO400=0,AK400=""),0,IF(AL400&gt;='Setup'!$B$14,-2*'Setup'!$B$11,IF(AND(MAX(AB400,AD400,AF400,AH400,AJ400)&gt;=P400,AK400&gt;=Q400+1),'Setup'!$B$10,IF(OR(MAX(AB400,AD400,AF400,AH400,AJ400)&lt;O400,AK400&lt;Q400-1),-'Setup'!$B$11,0))))</x:f>
        <x:v>0</x:v>
      </x:c>
      <x:c r="AU400" s="333" t="n">
        <x:f>IF(Z400=0,0,IF(AN400&lt;&gt;"Yes",Z400,IF(COUNT(AA400,AC400,AE400,AG400,AI400)=0,Z400,ROUND((MAX(AA400,AC400,AE400,AG400,AI400)*(1+AT400))/'Setup'!$B$9,0)*'Setup'!$B$9)))</x:f>
        <x:v>0</x:v>
      </x:c>
      <x:c r="AV400" s="336"/>
    </x:row>
    <x:row r="401">
      <x:c r="A401" s="310" t="n">
        <x:f>'Setup'!$B$3+(C401-1)*7+(D401-1)</x:f>
        <x:v>46293</x:v>
      </x:c>
      <x:c r="B401" s="311" t="str">
        <x:v>8|1|9</x:v>
      </x:c>
      <x:c r="C401" s="311" t="n">
        <x:v>8</x:v>
      </x:c>
      <x:c r="D401" s="311" t="n">
        <x:v>1</x:v>
      </x:c>
      <x:c r="E401" s="311" t="str">
        <x:v>Deload 2</x:v>
      </x:c>
      <x:c r="F401" s="311" t="str">
        <x:v>Lower Strength</x:v>
      </x:c>
      <x:c r="G401" s="311" t="str">
        <x:v>Squat and hinge strength</x:v>
      </x:c>
      <x:c r="H401" s="311" t="n">
        <x:v>9</x:v>
      </x:c>
      <x:c r="I401" s="311" t="str">
        <x:v>90/90 Hip Switch</x:v>
      </x:c>
      <x:c r="J401" s="311" t="str">
        <x:v>Mobility</x:v>
      </x:c>
      <x:c r="K401" s="311" t="str">
        <x:v>Hips</x:v>
      </x:c>
      <x:c r="L401" s="311" t="str">
        <x:v>Straight sets, crisp reps only</x:v>
      </x:c>
      <x:c r="M401" s="311" t="str"/>
      <x:c r="N401" s="311" t="n">
        <x:v>2</x:v>
      </x:c>
      <x:c r="O401" s="311" t="n">
        <x:v>6</x:v>
      </x:c>
      <x:c r="P401" s="311" t="n">
        <x:v>10</x:v>
      </x:c>
      <x:c r="Q401" s="311" t="str"/>
      <x:c r="R401" s="311" t="n">
        <x:v>20</x:v>
      </x:c>
      <x:c r="S401" s="311" t="str">
        <x:v>Slow</x:v>
      </x:c>
      <x:c r="T401" s="330" t="n">
        <x:v>0.9</x:v>
      </x:c>
      <x:c r="U401" s="330" t="n">
        <x:v>0</x:v>
      </x:c>
      <x:c r="V401" s="331" t="str">
        <x:v>reps</x:v>
      </x:c>
      <x:c r="W401" s="332" t="str">
        <x:f>'Readiness'!K49</x:f>
      </x:c>
      <x:c r="X401" s="314" t="n">
        <x:f>'Readiness'!L49</x:f>
        <x:v>1</x:v>
      </x:c>
      <x:c r="Y401" s="315" t="n">
        <x:f>IF(J401="Mobility",N401,MAX(1,ROUND(N401*X401,0)))</x:f>
        <x:v>2</x:v>
      </x:c>
      <x:c r="Z401" s="333" t="n">
        <x:f>0</x:f>
        <x:v>0</x:v>
      </x:c>
      <x:c r="AA401" s="334"/>
      <x:c r="AB401" s="334"/>
      <x:c r="AC401" s="334"/>
      <x:c r="AD401" s="334"/>
      <x:c r="AE401" s="334"/>
      <x:c r="AF401" s="334"/>
      <x:c r="AG401" s="334"/>
      <x:c r="AH401" s="334"/>
      <x:c r="AI401" s="334"/>
      <x:c r="AJ401" s="312"/>
      <x:c r="AK401" s="312"/>
      <x:c r="AL401" s="312"/>
      <x:c r="AM401" s="312"/>
      <x:c r="AN401" s="312"/>
      <x:c r="AO401" s="315" t="n">
        <x:f>COUNT(AB401,AD401,AF401,AH401,AJ401)</x:f>
        <x:v>0</x:v>
      </x:c>
      <x:c r="AP401" s="315" t="n">
        <x:f>SUM(AB401,AD401,AF401,AH401,AJ401)</x:f>
        <x:v>0</x:v>
      </x:c>
      <x:c r="AQ401" s="333" t="n">
        <x:f>AA401*AB401+AC401*AD401+AE401*AF401+AG401*AH401+AI401*AJ401</x:f>
        <x:v>0</x:v>
      </x:c>
      <x:c r="AR401" s="333" t="n">
        <x:f>IF(OR(J401="Strength",J401="Hypertrophy"),MAX(IF(AB401&gt;0,AA401*(1+AB401/30),0),IF(AD401&gt;0,AC401*(1+AD401/30),0),IF(AF401&gt;0,AE401*(1+AF401/30),0),IF(AH401&gt;0,AG401*(1+AH401/30),0),IF(AJ401&gt;0,AI401*(1+AJ401/30),0)),0)</x:f>
        <x:v>0</x:v>
      </x:c>
      <x:c r="AS401" s="315" t="str">
        <x:f>IF(AN401&lt;&gt;"Yes","Not logged",IF(AL401&gt;='Setup'!$B$14,"STOP / MODIFY",IF(Z401=0,"Complete",IF(OR(AO401=0,AK401=""),"Add set data + RIR",IF(AND(MAX(AB401,AD401,AF401,AH401,AJ401)&gt;=P401,AK401&gt;=Q401+1),"Progress",IF(OR(MAX(AB401,AD401,AF401,AH401,AJ401)&lt;O401,AK401&lt;Q401-1),"Regress","Hold"))))))</x:f>
        <x:v>Not logged</x:v>
      </x:c>
      <x:c r="AT401" s="335" t="n">
        <x:f>IF(OR(Z401=0,AN401&lt;&gt;"Yes",AO401=0,AK401=""),0,IF(AL401&gt;='Setup'!$B$14,-2*'Setup'!$B$11,IF(AND(MAX(AB401,AD401,AF401,AH401,AJ401)&gt;=P401,AK401&gt;=Q401+1),'Setup'!$B$10,IF(OR(MAX(AB401,AD401,AF401,AH401,AJ401)&lt;O401,AK401&lt;Q401-1),-'Setup'!$B$11,0))))</x:f>
        <x:v>0</x:v>
      </x:c>
      <x:c r="AU401" s="333" t="n">
        <x:f>IF(Z401=0,0,IF(AN401&lt;&gt;"Yes",Z401,IF(COUNT(AA401,AC401,AE401,AG401,AI401)=0,Z401,ROUND((MAX(AA401,AC401,AE401,AG401,AI401)*(1+AT401))/'Setup'!$B$9,0)*'Setup'!$B$9)))</x:f>
        <x:v>0</x:v>
      </x:c>
      <x:c r="AV401" s="336"/>
    </x:row>
    <x:row r="402">
      <x:c r="A402" s="310" t="n">
        <x:f>'Setup'!$B$3+(C402-1)*7+(D402-1)</x:f>
        <x:v>46294</x:v>
      </x:c>
      <x:c r="B402" s="311" t="str">
        <x:v>8|2|1</x:v>
      </x:c>
      <x:c r="C402" s="311" t="n">
        <x:v>8</x:v>
      </x:c>
      <x:c r="D402" s="311" t="n">
        <x:v>2</x:v>
      </x:c>
      <x:c r="E402" s="311" t="str">
        <x:v>Deload 2</x:v>
      </x:c>
      <x:c r="F402" s="311" t="str">
        <x:v>Upper Strength</x:v>
      </x:c>
      <x:c r="G402" s="311" t="str">
        <x:v>Heavy press, pull, and carry</x:v>
      </x:c>
      <x:c r="H402" s="311" t="n">
        <x:v>1</x:v>
      </x:c>
      <x:c r="I402" s="311" t="str">
        <x:v>Medicine Ball Chest Pass</x:v>
      </x:c>
      <x:c r="J402" s="311" t="str">
        <x:v>Power</x:v>
      </x:c>
      <x:c r="K402" s="311" t="str">
        <x:v>Chest</x:v>
      </x:c>
      <x:c r="L402" s="311" t="str">
        <x:v>Straight sets, crisp reps only</x:v>
      </x:c>
      <x:c r="M402" s="311" t="str"/>
      <x:c r="N402" s="311" t="n">
        <x:v>2</x:v>
      </x:c>
      <x:c r="O402" s="311" t="n">
        <x:v>3</x:v>
      </x:c>
      <x:c r="P402" s="311" t="n">
        <x:v>3</x:v>
      </x:c>
      <x:c r="Q402" s="311" t="n">
        <x:v>4</x:v>
      </x:c>
      <x:c r="R402" s="311" t="n">
        <x:v>60</x:v>
      </x:c>
      <x:c r="S402" s="311" t="str">
        <x:v>Explosive</x:v>
      </x:c>
      <x:c r="T402" s="330" t="n">
        <x:v>0.9</x:v>
      </x:c>
      <x:c r="U402" s="330" t="n">
        <x:v>0</x:v>
      </x:c>
      <x:c r="V402" s="331" t="str">
        <x:v>throw quality</x:v>
      </x:c>
      <x:c r="W402" s="332" t="str">
        <x:f>'Readiness'!K50</x:f>
      </x:c>
      <x:c r="X402" s="314" t="n">
        <x:f>'Readiness'!L50</x:f>
        <x:v>1</x:v>
      </x:c>
      <x:c r="Y402" s="315" t="n">
        <x:f>IF(J402="Mobility",N402,MAX(1,ROUND(N402*X402,0)))</x:f>
        <x:v>2</x:v>
      </x:c>
      <x:c r="Z402" s="333" t="n">
        <x:f>0</x:f>
        <x:v>0</x:v>
      </x:c>
      <x:c r="AA402" s="334"/>
      <x:c r="AB402" s="334"/>
      <x:c r="AC402" s="334"/>
      <x:c r="AD402" s="334"/>
      <x:c r="AE402" s="334"/>
      <x:c r="AF402" s="334"/>
      <x:c r="AG402" s="334"/>
      <x:c r="AH402" s="334"/>
      <x:c r="AI402" s="334"/>
      <x:c r="AJ402" s="312"/>
      <x:c r="AK402" s="312"/>
      <x:c r="AL402" s="312"/>
      <x:c r="AM402" s="312"/>
      <x:c r="AN402" s="312"/>
      <x:c r="AO402" s="315" t="n">
        <x:f>COUNT(AB402,AD402,AF402,AH402,AJ402)</x:f>
        <x:v>0</x:v>
      </x:c>
      <x:c r="AP402" s="315" t="n">
        <x:f>SUM(AB402,AD402,AF402,AH402,AJ402)</x:f>
        <x:v>0</x:v>
      </x:c>
      <x:c r="AQ402" s="333" t="n">
        <x:f>AA402*AB402+AC402*AD402+AE402*AF402+AG402*AH402+AI402*AJ402</x:f>
        <x:v>0</x:v>
      </x:c>
      <x:c r="AR402" s="333" t="n">
        <x:f>IF(OR(J402="Strength",J402="Hypertrophy"),MAX(IF(AB402&gt;0,AA402*(1+AB402/30),0),IF(AD402&gt;0,AC402*(1+AD402/30),0),IF(AF402&gt;0,AE402*(1+AF402/30),0),IF(AH402&gt;0,AG402*(1+AH402/30),0),IF(AJ402&gt;0,AI402*(1+AJ402/30),0)),0)</x:f>
        <x:v>0</x:v>
      </x:c>
      <x:c r="AS402" s="315" t="str">
        <x:f>IF(AN402&lt;&gt;"Yes","Not logged",IF(AL402&gt;='Setup'!$B$14,"STOP / MODIFY",IF(Z402=0,"Complete",IF(OR(AO402=0,AK402=""),"Add set data + RIR",IF(AND(MAX(AB402,AD402,AF402,AH402,AJ402)&gt;=P402,AK402&gt;=Q402+1),"Progress",IF(OR(MAX(AB402,AD402,AF402,AH402,AJ402)&lt;O402,AK402&lt;Q402-1),"Regress","Hold"))))))</x:f>
        <x:v>Not logged</x:v>
      </x:c>
      <x:c r="AT402" s="335" t="n">
        <x:f>IF(OR(Z402=0,AN402&lt;&gt;"Yes",AO402=0,AK402=""),0,IF(AL402&gt;='Setup'!$B$14,-2*'Setup'!$B$11,IF(AND(MAX(AB402,AD402,AF402,AH402,AJ402)&gt;=P402,AK402&gt;=Q402+1),'Setup'!$B$10,IF(OR(MAX(AB402,AD402,AF402,AH402,AJ402)&lt;O402,AK402&lt;Q402-1),-'Setup'!$B$11,0))))</x:f>
        <x:v>0</x:v>
      </x:c>
      <x:c r="AU402" s="333" t="n">
        <x:f>IF(Z402=0,0,IF(AN402&lt;&gt;"Yes",Z402,IF(COUNT(AA402,AC402,AE402,AG402,AI402)=0,Z402,ROUND((MAX(AA402,AC402,AE402,AG402,AI402)*(1+AT402))/'Setup'!$B$9,0)*'Setup'!$B$9)))</x:f>
        <x:v>0</x:v>
      </x:c>
      <x:c r="AV402" s="336"/>
    </x:row>
    <x:row r="403">
      <x:c r="A403" s="310" t="n">
        <x:f>'Setup'!$B$3+(C403-1)*7+(D403-1)</x:f>
        <x:v>46294</x:v>
      </x:c>
      <x:c r="B403" s="311" t="str">
        <x:v>8|2|2</x:v>
      </x:c>
      <x:c r="C403" s="311" t="n">
        <x:v>8</x:v>
      </x:c>
      <x:c r="D403" s="311" t="n">
        <x:v>2</x:v>
      </x:c>
      <x:c r="E403" s="311" t="str">
        <x:v>Deload 2</x:v>
      </x:c>
      <x:c r="F403" s="311" t="str">
        <x:v>Upper Strength</x:v>
      </x:c>
      <x:c r="G403" s="311" t="str">
        <x:v>Heavy press, pull, and carry</x:v>
      </x:c>
      <x:c r="H403" s="311" t="n">
        <x:v>2</x:v>
      </x:c>
      <x:c r="I403" s="311" t="str">
        <x:v>Bench Press</x:v>
      </x:c>
      <x:c r="J403" s="311" t="str">
        <x:v>Strength</x:v>
      </x:c>
      <x:c r="K403" s="311" t="str">
        <x:v>Chest</x:v>
      </x:c>
      <x:c r="L403" s="311" t="str">
        <x:v>Straight sets, crisp reps only</x:v>
      </x:c>
      <x:c r="M403" s="311" t="str"/>
      <x:c r="N403" s="311" t="n">
        <x:v>3</x:v>
      </x:c>
      <x:c r="O403" s="311" t="n">
        <x:v>3</x:v>
      </x:c>
      <x:c r="P403" s="311" t="n">
        <x:v>5</x:v>
      </x:c>
      <x:c r="Q403" s="311" t="n">
        <x:v>4</x:v>
      </x:c>
      <x:c r="R403" s="311" t="n">
        <x:v>180</x:v>
      </x:c>
      <x:c r="S403" s="311" t="str">
        <x:v>2-0-X</x:v>
      </x:c>
      <x:c r="T403" s="330" t="n">
        <x:v>0.9</x:v>
      </x:c>
      <x:c r="U403" s="330" t="n">
        <x:v>0.8</x:v>
      </x:c>
      <x:c r="V403" s="331" t="str">
        <x:v>load × reps</x:v>
      </x:c>
      <x:c r="W403" s="332" t="str">
        <x:f>'Readiness'!K50</x:f>
      </x:c>
      <x:c r="X403" s="314" t="n">
        <x:f>'Readiness'!L50</x:f>
        <x:v>1</x:v>
      </x:c>
      <x:c r="Y403" s="315" t="n">
        <x:f>IF(J403="Mobility",N403,MAX(1,ROUND(N403*X403,0)))</x:f>
        <x:v>3</x:v>
      </x:c>
      <x:c r="Z403" s="333" t="n">
        <x:f>ROUND((IF(AU350&gt;0,AU350,IF(Z350&gt;0,Z350,'Setup'!$D$27))*T403)/'Setup'!$B$9,0)*'Setup'!$B$9</x:f>
        <x:v>0</x:v>
      </x:c>
      <x:c r="AA403" s="334"/>
      <x:c r="AB403" s="334"/>
      <x:c r="AC403" s="334"/>
      <x:c r="AD403" s="334"/>
      <x:c r="AE403" s="334"/>
      <x:c r="AF403" s="334"/>
      <x:c r="AG403" s="334"/>
      <x:c r="AH403" s="334"/>
      <x:c r="AI403" s="334"/>
      <x:c r="AJ403" s="312"/>
      <x:c r="AK403" s="312"/>
      <x:c r="AL403" s="312"/>
      <x:c r="AM403" s="312"/>
      <x:c r="AN403" s="312"/>
      <x:c r="AO403" s="315" t="n">
        <x:f>COUNT(AB403,AD403,AF403,AH403,AJ403)</x:f>
        <x:v>0</x:v>
      </x:c>
      <x:c r="AP403" s="315" t="n">
        <x:f>SUM(AB403,AD403,AF403,AH403,AJ403)</x:f>
        <x:v>0</x:v>
      </x:c>
      <x:c r="AQ403" s="333" t="n">
        <x:f>AA403*AB403+AC403*AD403+AE403*AF403+AG403*AH403+AI403*AJ403</x:f>
        <x:v>0</x:v>
      </x:c>
      <x:c r="AR403" s="333" t="n">
        <x:f>IF(OR(J403="Strength",J403="Hypertrophy"),MAX(IF(AB403&gt;0,AA403*(1+AB403/30),0),IF(AD403&gt;0,AC403*(1+AD403/30),0),IF(AF403&gt;0,AE403*(1+AF403/30),0),IF(AH403&gt;0,AG403*(1+AH403/30),0),IF(AJ403&gt;0,AI403*(1+AJ403/30),0)),0)</x:f>
        <x:v>0</x:v>
      </x:c>
      <x:c r="AS403" s="315" t="str">
        <x:f>IF(AN403&lt;&gt;"Yes","Not logged",IF(AL403&gt;='Setup'!$B$14,"STOP / MODIFY",IF(Z403=0,"Complete",IF(OR(AO403=0,AK403=""),"Add set data + RIR",IF(AND(MAX(AB403,AD403,AF403,AH403,AJ403)&gt;=P403,AK403&gt;=Q403+1),"Progress",IF(OR(MAX(AB403,AD403,AF403,AH403,AJ403)&lt;O403,AK403&lt;Q403-1),"Regress","Hold"))))))</x:f>
        <x:v>Not logged</x:v>
      </x:c>
      <x:c r="AT403" s="335" t="n">
        <x:f>IF(OR(Z403=0,AN403&lt;&gt;"Yes",AO403=0,AK403=""),0,IF(AL403&gt;='Setup'!$B$14,-2*'Setup'!$B$11,IF(AND(MAX(AB403,AD403,AF403,AH403,AJ403)&gt;=P403,AK403&gt;=Q403+1),'Setup'!$B$10,IF(OR(MAX(AB403,AD403,AF403,AH403,AJ403)&lt;O403,AK403&lt;Q403-1),-'Setup'!$B$11,0))))</x:f>
        <x:v>0</x:v>
      </x:c>
      <x:c r="AU403" s="333" t="n">
        <x:f>IF(Z403=0,0,IF(AN403&lt;&gt;"Yes",Z403,IF(COUNT(AA403,AC403,AE403,AG403,AI403)=0,Z403,ROUND((MAX(AA403,AC403,AE403,AG403,AI403)*(1+AT403))/'Setup'!$B$9,0)*'Setup'!$B$9)))</x:f>
        <x:v>0</x:v>
      </x:c>
      <x:c r="AV403" s="336"/>
    </x:row>
    <x:row r="404">
      <x:c r="A404" s="310" t="n">
        <x:f>'Setup'!$B$3+(C404-1)*7+(D404-1)</x:f>
        <x:v>46294</x:v>
      </x:c>
      <x:c r="B404" s="311" t="str">
        <x:v>8|2|3</x:v>
      </x:c>
      <x:c r="C404" s="311" t="n">
        <x:v>8</x:v>
      </x:c>
      <x:c r="D404" s="311" t="n">
        <x:v>2</x:v>
      </x:c>
      <x:c r="E404" s="311" t="str">
        <x:v>Deload 2</x:v>
      </x:c>
      <x:c r="F404" s="311" t="str">
        <x:v>Upper Strength</x:v>
      </x:c>
      <x:c r="G404" s="311" t="str">
        <x:v>Heavy press, pull, and carry</x:v>
      </x:c>
      <x:c r="H404" s="311" t="n">
        <x:v>3</x:v>
      </x:c>
      <x:c r="I404" s="311" t="str">
        <x:v>Weighted Pull-Up</x:v>
      </x:c>
      <x:c r="J404" s="311" t="str">
        <x:v>Strength</x:v>
      </x:c>
      <x:c r="K404" s="311" t="str">
        <x:v>Back</x:v>
      </x:c>
      <x:c r="L404" s="311" t="str">
        <x:v>Straight sets, crisp reps only</x:v>
      </x:c>
      <x:c r="M404" s="311" t="str"/>
      <x:c r="N404" s="311" t="n">
        <x:v>2</x:v>
      </x:c>
      <x:c r="O404" s="311" t="n">
        <x:v>4</x:v>
      </x:c>
      <x:c r="P404" s="311" t="n">
        <x:v>6</x:v>
      </x:c>
      <x:c r="Q404" s="311" t="n">
        <x:v>4</x:v>
      </x:c>
      <x:c r="R404" s="311" t="n">
        <x:v>150</x:v>
      </x:c>
      <x:c r="S404" s="311" t="str">
        <x:v>2-1-X</x:v>
      </x:c>
      <x:c r="T404" s="330" t="n">
        <x:v>0.9</x:v>
      </x:c>
      <x:c r="U404" s="330" t="n">
        <x:v>0</x:v>
      </x:c>
      <x:c r="V404" s="331" t="str">
        <x:v>load × reps</x:v>
      </x:c>
      <x:c r="W404" s="332" t="str">
        <x:f>'Readiness'!K50</x:f>
      </x:c>
      <x:c r="X404" s="314" t="n">
        <x:f>'Readiness'!L50</x:f>
        <x:v>1</x:v>
      </x:c>
      <x:c r="Y404" s="315" t="n">
        <x:f>IF(J404="Mobility",N404,MAX(1,ROUND(N404*X404,0)))</x:f>
        <x:v>2</x:v>
      </x:c>
      <x:c r="Z404" s="333" t="n">
        <x:f>ROUND((IF(AU351&gt;0,AU351,IF(Z351&gt;0,Z351,'Setup'!$D$94))*T404)/'Setup'!$B$9,0)*'Setup'!$B$9</x:f>
        <x:v>0</x:v>
      </x:c>
      <x:c r="AA404" s="334"/>
      <x:c r="AB404" s="334"/>
      <x:c r="AC404" s="334"/>
      <x:c r="AD404" s="334"/>
      <x:c r="AE404" s="334"/>
      <x:c r="AF404" s="334"/>
      <x:c r="AG404" s="334"/>
      <x:c r="AH404" s="334"/>
      <x:c r="AI404" s="334"/>
      <x:c r="AJ404" s="312"/>
      <x:c r="AK404" s="312"/>
      <x:c r="AL404" s="312"/>
      <x:c r="AM404" s="312"/>
      <x:c r="AN404" s="312"/>
      <x:c r="AO404" s="315" t="n">
        <x:f>COUNT(AB404,AD404,AF404,AH404,AJ404)</x:f>
        <x:v>0</x:v>
      </x:c>
      <x:c r="AP404" s="315" t="n">
        <x:f>SUM(AB404,AD404,AF404,AH404,AJ404)</x:f>
        <x:v>0</x:v>
      </x:c>
      <x:c r="AQ404" s="333" t="n">
        <x:f>AA404*AB404+AC404*AD404+AE404*AF404+AG404*AH404+AI404*AJ404</x:f>
        <x:v>0</x:v>
      </x:c>
      <x:c r="AR404" s="333" t="n">
        <x:f>IF(OR(J404="Strength",J404="Hypertrophy"),MAX(IF(AB404&gt;0,AA404*(1+AB404/30),0),IF(AD404&gt;0,AC404*(1+AD404/30),0),IF(AF404&gt;0,AE404*(1+AF404/30),0),IF(AH404&gt;0,AG404*(1+AH404/30),0),IF(AJ404&gt;0,AI404*(1+AJ404/30),0)),0)</x:f>
        <x:v>0</x:v>
      </x:c>
      <x:c r="AS404" s="315" t="str">
        <x:f>IF(AN404&lt;&gt;"Yes","Not logged",IF(AL404&gt;='Setup'!$B$14,"STOP / MODIFY",IF(Z404=0,"Complete",IF(OR(AO404=0,AK404=""),"Add set data + RIR",IF(AND(MAX(AB404,AD404,AF404,AH404,AJ404)&gt;=P404,AK404&gt;=Q404+1),"Progress",IF(OR(MAX(AB404,AD404,AF404,AH404,AJ404)&lt;O404,AK404&lt;Q404-1),"Regress","Hold"))))))</x:f>
        <x:v>Not logged</x:v>
      </x:c>
      <x:c r="AT404" s="335" t="n">
        <x:f>IF(OR(Z404=0,AN404&lt;&gt;"Yes",AO404=0,AK404=""),0,IF(AL404&gt;='Setup'!$B$14,-2*'Setup'!$B$11,IF(AND(MAX(AB404,AD404,AF404,AH404,AJ404)&gt;=P404,AK404&gt;=Q404+1),'Setup'!$B$10,IF(OR(MAX(AB404,AD404,AF404,AH404,AJ404)&lt;O404,AK404&lt;Q404-1),-'Setup'!$B$11,0))))</x:f>
        <x:v>0</x:v>
      </x:c>
      <x:c r="AU404" s="333" t="n">
        <x:f>IF(Z404=0,0,IF(AN404&lt;&gt;"Yes",Z404,IF(COUNT(AA404,AC404,AE404,AG404,AI404)=0,Z404,ROUND((MAX(AA404,AC404,AE404,AG404,AI404)*(1+AT404))/'Setup'!$B$9,0)*'Setup'!$B$9)))</x:f>
        <x:v>0</x:v>
      </x:c>
      <x:c r="AV404" s="336"/>
    </x:row>
    <x:row r="405">
      <x:c r="A405" s="310" t="n">
        <x:f>'Setup'!$B$3+(C405-1)*7+(D405-1)</x:f>
        <x:v>46294</x:v>
      </x:c>
      <x:c r="B405" s="311" t="str">
        <x:v>8|2|4</x:v>
      </x:c>
      <x:c r="C405" s="311" t="n">
        <x:v>8</x:v>
      </x:c>
      <x:c r="D405" s="311" t="n">
        <x:v>2</x:v>
      </x:c>
      <x:c r="E405" s="311" t="str">
        <x:v>Deload 2</x:v>
      </x:c>
      <x:c r="F405" s="311" t="str">
        <x:v>Upper Strength</x:v>
      </x:c>
      <x:c r="G405" s="311" t="str">
        <x:v>Heavy press, pull, and carry</x:v>
      </x:c>
      <x:c r="H405" s="311" t="n">
        <x:v>4</x:v>
      </x:c>
      <x:c r="I405" s="311" t="str">
        <x:v>Overhead Press</x:v>
      </x:c>
      <x:c r="J405" s="311" t="str">
        <x:v>Strength</x:v>
      </x:c>
      <x:c r="K405" s="311" t="str">
        <x:v>Shoulders</x:v>
      </x:c>
      <x:c r="L405" s="311" t="str">
        <x:v>Straight sets, crisp reps only</x:v>
      </x:c>
      <x:c r="M405" s="311" t="str"/>
      <x:c r="N405" s="311" t="n">
        <x:v>2</x:v>
      </x:c>
      <x:c r="O405" s="311" t="n">
        <x:v>4</x:v>
      </x:c>
      <x:c r="P405" s="311" t="n">
        <x:v>6</x:v>
      </x:c>
      <x:c r="Q405" s="311" t="n">
        <x:v>4</x:v>
      </x:c>
      <x:c r="R405" s="311" t="n">
        <x:v>150</x:v>
      </x:c>
      <x:c r="S405" s="311" t="str">
        <x:v>2-0-X</x:v>
      </x:c>
      <x:c r="T405" s="330" t="n">
        <x:v>0.9</x:v>
      </x:c>
      <x:c r="U405" s="330" t="n">
        <x:v>0.76</x:v>
      </x:c>
      <x:c r="V405" s="331" t="str">
        <x:v>load × reps</x:v>
      </x:c>
      <x:c r="W405" s="332" t="str">
        <x:f>'Readiness'!K50</x:f>
      </x:c>
      <x:c r="X405" s="314" t="n">
        <x:f>'Readiness'!L50</x:f>
        <x:v>1</x:v>
      </x:c>
      <x:c r="Y405" s="315" t="n">
        <x:f>IF(J405="Mobility",N405,MAX(1,ROUND(N405*X405,0)))</x:f>
        <x:v>2</x:v>
      </x:c>
      <x:c r="Z405" s="333" t="n">
        <x:f>ROUND((IF(AU352&gt;0,AU352,IF(Z352&gt;0,Z352,'Setup'!$D$70))*T405)/'Setup'!$B$9,0)*'Setup'!$B$9</x:f>
        <x:v>0</x:v>
      </x:c>
      <x:c r="AA405" s="334"/>
      <x:c r="AB405" s="334"/>
      <x:c r="AC405" s="334"/>
      <x:c r="AD405" s="334"/>
      <x:c r="AE405" s="334"/>
      <x:c r="AF405" s="334"/>
      <x:c r="AG405" s="334"/>
      <x:c r="AH405" s="334"/>
      <x:c r="AI405" s="334"/>
      <x:c r="AJ405" s="312"/>
      <x:c r="AK405" s="312"/>
      <x:c r="AL405" s="312"/>
      <x:c r="AM405" s="312"/>
      <x:c r="AN405" s="312"/>
      <x:c r="AO405" s="315" t="n">
        <x:f>COUNT(AB405,AD405,AF405,AH405,AJ405)</x:f>
        <x:v>0</x:v>
      </x:c>
      <x:c r="AP405" s="315" t="n">
        <x:f>SUM(AB405,AD405,AF405,AH405,AJ405)</x:f>
        <x:v>0</x:v>
      </x:c>
      <x:c r="AQ405" s="333" t="n">
        <x:f>AA405*AB405+AC405*AD405+AE405*AF405+AG405*AH405+AI405*AJ405</x:f>
        <x:v>0</x:v>
      </x:c>
      <x:c r="AR405" s="333" t="n">
        <x:f>IF(OR(J405="Strength",J405="Hypertrophy"),MAX(IF(AB405&gt;0,AA405*(1+AB405/30),0),IF(AD405&gt;0,AC405*(1+AD405/30),0),IF(AF405&gt;0,AE405*(1+AF405/30),0),IF(AH405&gt;0,AG405*(1+AH405/30),0),IF(AJ405&gt;0,AI405*(1+AJ405/30),0)),0)</x:f>
        <x:v>0</x:v>
      </x:c>
      <x:c r="AS405" s="315" t="str">
        <x:f>IF(AN405&lt;&gt;"Yes","Not logged",IF(AL405&gt;='Setup'!$B$14,"STOP / MODIFY",IF(Z405=0,"Complete",IF(OR(AO405=0,AK405=""),"Add set data + RIR",IF(AND(MAX(AB405,AD405,AF405,AH405,AJ405)&gt;=P405,AK405&gt;=Q405+1),"Progress",IF(OR(MAX(AB405,AD405,AF405,AH405,AJ405)&lt;O405,AK405&lt;Q405-1),"Regress","Hold"))))))</x:f>
        <x:v>Not logged</x:v>
      </x:c>
      <x:c r="AT405" s="335" t="n">
        <x:f>IF(OR(Z405=0,AN405&lt;&gt;"Yes",AO405=0,AK405=""),0,IF(AL405&gt;='Setup'!$B$14,-2*'Setup'!$B$11,IF(AND(MAX(AB405,AD405,AF405,AH405,AJ405)&gt;=P405,AK405&gt;=Q405+1),'Setup'!$B$10,IF(OR(MAX(AB405,AD405,AF405,AH405,AJ405)&lt;O405,AK405&lt;Q405-1),-'Setup'!$B$11,0))))</x:f>
        <x:v>0</x:v>
      </x:c>
      <x:c r="AU405" s="333" t="n">
        <x:f>IF(Z405=0,0,IF(AN405&lt;&gt;"Yes",Z405,IF(COUNT(AA405,AC405,AE405,AG405,AI405)=0,Z405,ROUND((MAX(AA405,AC405,AE405,AG405,AI405)*(1+AT405))/'Setup'!$B$9,0)*'Setup'!$B$9)))</x:f>
        <x:v>0</x:v>
      </x:c>
      <x:c r="AV405" s="336"/>
    </x:row>
    <x:row r="406">
      <x:c r="A406" s="310" t="n">
        <x:f>'Setup'!$B$3+(C406-1)*7+(D406-1)</x:f>
        <x:v>46294</x:v>
      </x:c>
      <x:c r="B406" s="311" t="str">
        <x:v>8|2|5</x:v>
      </x:c>
      <x:c r="C406" s="311" t="n">
        <x:v>8</x:v>
      </x:c>
      <x:c r="D406" s="311" t="n">
        <x:v>2</x:v>
      </x:c>
      <x:c r="E406" s="311" t="str">
        <x:v>Deload 2</x:v>
      </x:c>
      <x:c r="F406" s="311" t="str">
        <x:v>Upper Strength</x:v>
      </x:c>
      <x:c r="G406" s="311" t="str">
        <x:v>Heavy press, pull, and carry</x:v>
      </x:c>
      <x:c r="H406" s="311" t="n">
        <x:v>5</x:v>
      </x:c>
      <x:c r="I406" s="311" t="str">
        <x:v>Barbell Row</x:v>
      </x:c>
      <x:c r="J406" s="311" t="str">
        <x:v>Strength</x:v>
      </x:c>
      <x:c r="K406" s="311" t="str">
        <x:v>Back</x:v>
      </x:c>
      <x:c r="L406" s="311" t="str">
        <x:v>Straight sets, crisp reps only</x:v>
      </x:c>
      <x:c r="M406" s="311" t="str"/>
      <x:c r="N406" s="311" t="n">
        <x:v>2</x:v>
      </x:c>
      <x:c r="O406" s="311" t="n">
        <x:v>5</x:v>
      </x:c>
      <x:c r="P406" s="311" t="n">
        <x:v>7</x:v>
      </x:c>
      <x:c r="Q406" s="311" t="n">
        <x:v>4</x:v>
      </x:c>
      <x:c r="R406" s="311" t="n">
        <x:v>120</x:v>
      </x:c>
      <x:c r="S406" s="311" t="str">
        <x:v>2-1-1</x:v>
      </x:c>
      <x:c r="T406" s="330" t="n">
        <x:v>0.9</x:v>
      </x:c>
      <x:c r="U406" s="330" t="n">
        <x:v>0</x:v>
      </x:c>
      <x:c r="V406" s="331" t="str">
        <x:v>load × reps</x:v>
      </x:c>
      <x:c r="W406" s="332" t="str">
        <x:f>'Readiness'!K50</x:f>
      </x:c>
      <x:c r="X406" s="314" t="n">
        <x:f>'Readiness'!L50</x:f>
        <x:v>1</x:v>
      </x:c>
      <x:c r="Y406" s="315" t="n">
        <x:f>IF(J406="Mobility",N406,MAX(1,ROUND(N406*X406,0)))</x:f>
        <x:v>2</x:v>
      </x:c>
      <x:c r="Z406" s="333" t="n">
        <x:f>ROUND((IF(AU353&gt;0,AU353,IF(Z353&gt;0,Z353,'Setup'!$D$26))*T406)/'Setup'!$B$9,0)*'Setup'!$B$9</x:f>
        <x:v>0</x:v>
      </x:c>
      <x:c r="AA406" s="334"/>
      <x:c r="AB406" s="334"/>
      <x:c r="AC406" s="334"/>
      <x:c r="AD406" s="334"/>
      <x:c r="AE406" s="334"/>
      <x:c r="AF406" s="334"/>
      <x:c r="AG406" s="334"/>
      <x:c r="AH406" s="334"/>
      <x:c r="AI406" s="334"/>
      <x:c r="AJ406" s="312"/>
      <x:c r="AK406" s="312"/>
      <x:c r="AL406" s="312"/>
      <x:c r="AM406" s="312"/>
      <x:c r="AN406" s="312"/>
      <x:c r="AO406" s="315" t="n">
        <x:f>COUNT(AB406,AD406,AF406,AH406,AJ406)</x:f>
        <x:v>0</x:v>
      </x:c>
      <x:c r="AP406" s="315" t="n">
        <x:f>SUM(AB406,AD406,AF406,AH406,AJ406)</x:f>
        <x:v>0</x:v>
      </x:c>
      <x:c r="AQ406" s="333" t="n">
        <x:f>AA406*AB406+AC406*AD406+AE406*AF406+AG406*AH406+AI406*AJ406</x:f>
        <x:v>0</x:v>
      </x:c>
      <x:c r="AR406" s="333" t="n">
        <x:f>IF(OR(J406="Strength",J406="Hypertrophy"),MAX(IF(AB406&gt;0,AA406*(1+AB406/30),0),IF(AD406&gt;0,AC406*(1+AD406/30),0),IF(AF406&gt;0,AE406*(1+AF406/30),0),IF(AH406&gt;0,AG406*(1+AH406/30),0),IF(AJ406&gt;0,AI406*(1+AJ406/30),0)),0)</x:f>
        <x:v>0</x:v>
      </x:c>
      <x:c r="AS406" s="315" t="str">
        <x:f>IF(AN406&lt;&gt;"Yes","Not logged",IF(AL406&gt;='Setup'!$B$14,"STOP / MODIFY",IF(Z406=0,"Complete",IF(OR(AO406=0,AK406=""),"Add set data + RIR",IF(AND(MAX(AB406,AD406,AF406,AH406,AJ406)&gt;=P406,AK406&gt;=Q406+1),"Progress",IF(OR(MAX(AB406,AD406,AF406,AH406,AJ406)&lt;O406,AK406&lt;Q406-1),"Regress","Hold"))))))</x:f>
        <x:v>Not logged</x:v>
      </x:c>
      <x:c r="AT406" s="335" t="n">
        <x:f>IF(OR(Z406=0,AN406&lt;&gt;"Yes",AO406=0,AK406=""),0,IF(AL406&gt;='Setup'!$B$14,-2*'Setup'!$B$11,IF(AND(MAX(AB406,AD406,AF406,AH406,AJ406)&gt;=P406,AK406&gt;=Q406+1),'Setup'!$B$10,IF(OR(MAX(AB406,AD406,AF406,AH406,AJ406)&lt;O406,AK406&lt;Q406-1),-'Setup'!$B$11,0))))</x:f>
        <x:v>0</x:v>
      </x:c>
      <x:c r="AU406" s="333" t="n">
        <x:f>IF(Z406=0,0,IF(AN406&lt;&gt;"Yes",Z406,IF(COUNT(AA406,AC406,AE406,AG406,AI406)=0,Z406,ROUND((MAX(AA406,AC406,AE406,AG406,AI406)*(1+AT406))/'Setup'!$B$9,0)*'Setup'!$B$9)))</x:f>
        <x:v>0</x:v>
      </x:c>
      <x:c r="AV406" s="336"/>
    </x:row>
    <x:row r="407">
      <x:c r="A407" s="310" t="n">
        <x:f>'Setup'!$B$3+(C407-1)*7+(D407-1)</x:f>
        <x:v>46294</x:v>
      </x:c>
      <x:c r="B407" s="311" t="str">
        <x:v>8|2|6</x:v>
      </x:c>
      <x:c r="C407" s="311" t="n">
        <x:v>8</x:v>
      </x:c>
      <x:c r="D407" s="311" t="n">
        <x:v>2</x:v>
      </x:c>
      <x:c r="E407" s="311" t="str">
        <x:v>Deload 2</x:v>
      </x:c>
      <x:c r="F407" s="311" t="str">
        <x:v>Upper Strength</x:v>
      </x:c>
      <x:c r="G407" s="311" t="str">
        <x:v>Heavy press, pull, and carry</x:v>
      </x:c>
      <x:c r="H407" s="311" t="n">
        <x:v>6</x:v>
      </x:c>
      <x:c r="I407" s="311" t="str">
        <x:v>Kettlebell Bottom-Up Carry</x:v>
      </x:c>
      <x:c r="J407" s="311" t="str">
        <x:v>Athletic</x:v>
      </x:c>
      <x:c r="K407" s="311" t="str">
        <x:v>Shoulders</x:v>
      </x:c>
      <x:c r="L407" s="311" t="str">
        <x:v>Straight sets, crisp reps only</x:v>
      </x:c>
      <x:c r="M407" s="311" t="str"/>
      <x:c r="N407" s="311" t="n">
        <x:v>2</x:v>
      </x:c>
      <x:c r="O407" s="311" t="n">
        <x:v>20</x:v>
      </x:c>
      <x:c r="P407" s="311" t="n">
        <x:v>30</x:v>
      </x:c>
      <x:c r="Q407" s="311" t="n">
        <x:v>4</x:v>
      </x:c>
      <x:c r="R407" s="311" t="n">
        <x:v>60</x:v>
      </x:c>
      <x:c r="S407" s="311" t="str">
        <x:v>Controlled</x:v>
      </x:c>
      <x:c r="T407" s="330" t="n">
        <x:v>0.9</x:v>
      </x:c>
      <x:c r="U407" s="330" t="n">
        <x:v>0</x:v>
      </x:c>
      <x:c r="V407" s="331" t="str">
        <x:v>load + meters</x:v>
      </x:c>
      <x:c r="W407" s="332" t="str">
        <x:f>'Readiness'!K50</x:f>
      </x:c>
      <x:c r="X407" s="314" t="n">
        <x:f>'Readiness'!L50</x:f>
        <x:v>1</x:v>
      </x:c>
      <x:c r="Y407" s="315" t="n">
        <x:f>IF(J407="Mobility",N407,MAX(1,ROUND(N407*X407,0)))</x:f>
        <x:v>2</x:v>
      </x:c>
      <x:c r="Z407" s="333" t="n">
        <x:f>0</x:f>
        <x:v>0</x:v>
      </x:c>
      <x:c r="AA407" s="334"/>
      <x:c r="AB407" s="334"/>
      <x:c r="AC407" s="334"/>
      <x:c r="AD407" s="334"/>
      <x:c r="AE407" s="334"/>
      <x:c r="AF407" s="334"/>
      <x:c r="AG407" s="334"/>
      <x:c r="AH407" s="334"/>
      <x:c r="AI407" s="334"/>
      <x:c r="AJ407" s="312"/>
      <x:c r="AK407" s="312"/>
      <x:c r="AL407" s="312"/>
      <x:c r="AM407" s="312"/>
      <x:c r="AN407" s="312"/>
      <x:c r="AO407" s="315" t="n">
        <x:f>COUNT(AB407,AD407,AF407,AH407,AJ407)</x:f>
        <x:v>0</x:v>
      </x:c>
      <x:c r="AP407" s="315" t="n">
        <x:f>SUM(AB407,AD407,AF407,AH407,AJ407)</x:f>
        <x:v>0</x:v>
      </x:c>
      <x:c r="AQ407" s="333" t="n">
        <x:f>AA407*AB407+AC407*AD407+AE407*AF407+AG407*AH407+AI407*AJ407</x:f>
        <x:v>0</x:v>
      </x:c>
      <x:c r="AR407" s="333" t="n">
        <x:f>IF(OR(J407="Strength",J407="Hypertrophy"),MAX(IF(AB407&gt;0,AA407*(1+AB407/30),0),IF(AD407&gt;0,AC407*(1+AD407/30),0),IF(AF407&gt;0,AE407*(1+AF407/30),0),IF(AH407&gt;0,AG407*(1+AH407/30),0),IF(AJ407&gt;0,AI407*(1+AJ407/30),0)),0)</x:f>
        <x:v>0</x:v>
      </x:c>
      <x:c r="AS407" s="315" t="str">
        <x:f>IF(AN407&lt;&gt;"Yes","Not logged",IF(AL407&gt;='Setup'!$B$14,"STOP / MODIFY",IF(Z407=0,"Complete",IF(OR(AO407=0,AK407=""),"Add set data + RIR",IF(AND(MAX(AB407,AD407,AF407,AH407,AJ407)&gt;=P407,AK407&gt;=Q407+1),"Progress",IF(OR(MAX(AB407,AD407,AF407,AH407,AJ407)&lt;O407,AK407&lt;Q407-1),"Regress","Hold"))))))</x:f>
        <x:v>Not logged</x:v>
      </x:c>
      <x:c r="AT407" s="335" t="n">
        <x:f>IF(OR(Z407=0,AN407&lt;&gt;"Yes",AO407=0,AK407=""),0,IF(AL407&gt;='Setup'!$B$14,-2*'Setup'!$B$11,IF(AND(MAX(AB407,AD407,AF407,AH407,AJ407)&gt;=P407,AK407&gt;=Q407+1),'Setup'!$B$10,IF(OR(MAX(AB407,AD407,AF407,AH407,AJ407)&lt;O407,AK407&lt;Q407-1),-'Setup'!$B$11,0))))</x:f>
        <x:v>0</x:v>
      </x:c>
      <x:c r="AU407" s="333" t="n">
        <x:f>IF(Z407=0,0,IF(AN407&lt;&gt;"Yes",Z407,IF(COUNT(AA407,AC407,AE407,AG407,AI407)=0,Z407,ROUND((MAX(AA407,AC407,AE407,AG407,AI407)*(1+AT407))/'Setup'!$B$9,0)*'Setup'!$B$9)))</x:f>
        <x:v>0</x:v>
      </x:c>
      <x:c r="AV407" s="336"/>
    </x:row>
    <x:row r="408">
      <x:c r="A408" s="310" t="n">
        <x:f>'Setup'!$B$3+(C408-1)*7+(D408-1)</x:f>
        <x:v>46294</x:v>
      </x:c>
      <x:c r="B408" s="311" t="str">
        <x:v>8|2|7</x:v>
      </x:c>
      <x:c r="C408" s="311" t="n">
        <x:v>8</x:v>
      </x:c>
      <x:c r="D408" s="311" t="n">
        <x:v>2</x:v>
      </x:c>
      <x:c r="E408" s="311" t="str">
        <x:v>Deload 2</x:v>
      </x:c>
      <x:c r="F408" s="311" t="str">
        <x:v>Upper Strength</x:v>
      </x:c>
      <x:c r="G408" s="311" t="str">
        <x:v>Heavy press, pull, and carry</x:v>
      </x:c>
      <x:c r="H408" s="311" t="n">
        <x:v>7</x:v>
      </x:c>
      <x:c r="I408" s="311" t="str">
        <x:v>Chest-Supported Dumbbell Row</x:v>
      </x:c>
      <x:c r="J408" s="311" t="str">
        <x:v>Hypertrophy</x:v>
      </x:c>
      <x:c r="K408" s="311" t="str">
        <x:v>Back</x:v>
      </x:c>
      <x:c r="L408" s="311" t="str">
        <x:v>Straight sets, crisp reps only</x:v>
      </x:c>
      <x:c r="M408" s="311" t="str"/>
      <x:c r="N408" s="311" t="n">
        <x:v>2</x:v>
      </x:c>
      <x:c r="O408" s="311" t="n">
        <x:v>6</x:v>
      </x:c>
      <x:c r="P408" s="311" t="n">
        <x:v>8</x:v>
      </x:c>
      <x:c r="Q408" s="311" t="n">
        <x:v>4</x:v>
      </x:c>
      <x:c r="R408" s="311" t="n">
        <x:v>90</x:v>
      </x:c>
      <x:c r="S408" s="311" t="str">
        <x:v>2-1-1</x:v>
      </x:c>
      <x:c r="T408" s="330" t="n">
        <x:v>0.9</x:v>
      </x:c>
      <x:c r="U408" s="330" t="n">
        <x:v>0</x:v>
      </x:c>
      <x:c r="V408" s="331" t="str">
        <x:v>load × reps</x:v>
      </x:c>
      <x:c r="W408" s="332" t="str">
        <x:f>'Readiness'!K50</x:f>
      </x:c>
      <x:c r="X408" s="314" t="n">
        <x:f>'Readiness'!L50</x:f>
        <x:v>1</x:v>
      </x:c>
      <x:c r="Y408" s="315" t="n">
        <x:f>IF(J408="Mobility",N408,MAX(1,ROUND(N408*X408,0)))</x:f>
        <x:v>2</x:v>
      </x:c>
      <x:c r="Z408" s="333" t="n">
        <x:f>ROUND((IF(AU375&gt;0,AU375,IF(Z375&gt;0,Z375,'Setup'!$D$34))*T408)/'Setup'!$B$9,0)*'Setup'!$B$9</x:f>
        <x:v>0</x:v>
      </x:c>
      <x:c r="AA408" s="334"/>
      <x:c r="AB408" s="334"/>
      <x:c r="AC408" s="334"/>
      <x:c r="AD408" s="334"/>
      <x:c r="AE408" s="334"/>
      <x:c r="AF408" s="334"/>
      <x:c r="AG408" s="334"/>
      <x:c r="AH408" s="334"/>
      <x:c r="AI408" s="334"/>
      <x:c r="AJ408" s="312"/>
      <x:c r="AK408" s="312"/>
      <x:c r="AL408" s="312"/>
      <x:c r="AM408" s="312"/>
      <x:c r="AN408" s="312"/>
      <x:c r="AO408" s="315" t="n">
        <x:f>COUNT(AB408,AD408,AF408,AH408,AJ408)</x:f>
        <x:v>0</x:v>
      </x:c>
      <x:c r="AP408" s="315" t="n">
        <x:f>SUM(AB408,AD408,AF408,AH408,AJ408)</x:f>
        <x:v>0</x:v>
      </x:c>
      <x:c r="AQ408" s="333" t="n">
        <x:f>AA408*AB408+AC408*AD408+AE408*AF408+AG408*AH408+AI408*AJ408</x:f>
        <x:v>0</x:v>
      </x:c>
      <x:c r="AR408" s="333" t="n">
        <x:f>IF(OR(J408="Strength",J408="Hypertrophy"),MAX(IF(AB408&gt;0,AA408*(1+AB408/30),0),IF(AD408&gt;0,AC408*(1+AD408/30),0),IF(AF408&gt;0,AE408*(1+AF408/30),0),IF(AH408&gt;0,AG408*(1+AH408/30),0),IF(AJ408&gt;0,AI408*(1+AJ408/30),0)),0)</x:f>
        <x:v>0</x:v>
      </x:c>
      <x:c r="AS408" s="315" t="str">
        <x:f>IF(AN408&lt;&gt;"Yes","Not logged",IF(AL408&gt;='Setup'!$B$14,"STOP / MODIFY",IF(Z408=0,"Complete",IF(OR(AO408=0,AK408=""),"Add set data + RIR",IF(AND(MAX(AB408,AD408,AF408,AH408,AJ408)&gt;=P408,AK408&gt;=Q408+1),"Progress",IF(OR(MAX(AB408,AD408,AF408,AH408,AJ408)&lt;O408,AK408&lt;Q408-1),"Regress","Hold"))))))</x:f>
        <x:v>Not logged</x:v>
      </x:c>
      <x:c r="AT408" s="335" t="n">
        <x:f>IF(OR(Z408=0,AN408&lt;&gt;"Yes",AO408=0,AK408=""),0,IF(AL408&gt;='Setup'!$B$14,-2*'Setup'!$B$11,IF(AND(MAX(AB408,AD408,AF408,AH408,AJ408)&gt;=P408,AK408&gt;=Q408+1),'Setup'!$B$10,IF(OR(MAX(AB408,AD408,AF408,AH408,AJ408)&lt;O408,AK408&lt;Q408-1),-'Setup'!$B$11,0))))</x:f>
        <x:v>0</x:v>
      </x:c>
      <x:c r="AU408" s="333" t="n">
        <x:f>IF(Z408=0,0,IF(AN408&lt;&gt;"Yes",Z408,IF(COUNT(AA408,AC408,AE408,AG408,AI408)=0,Z408,ROUND((MAX(AA408,AC408,AE408,AG408,AI408)*(1+AT408))/'Setup'!$B$9,0)*'Setup'!$B$9)))</x:f>
        <x:v>0</x:v>
      </x:c>
      <x:c r="AV408" s="336"/>
    </x:row>
    <x:row r="409">
      <x:c r="A409" s="310" t="n">
        <x:f>'Setup'!$B$3+(C409-1)*7+(D409-1)</x:f>
        <x:v>46294</x:v>
      </x:c>
      <x:c r="B409" s="311" t="str">
        <x:v>8|2|8</x:v>
      </x:c>
      <x:c r="C409" s="311" t="n">
        <x:v>8</x:v>
      </x:c>
      <x:c r="D409" s="311" t="n">
        <x:v>2</x:v>
      </x:c>
      <x:c r="E409" s="311" t="str">
        <x:v>Deload 2</x:v>
      </x:c>
      <x:c r="F409" s="311" t="str">
        <x:v>Upper Strength</x:v>
      </x:c>
      <x:c r="G409" s="311" t="str">
        <x:v>Heavy press, pull, and carry</x:v>
      </x:c>
      <x:c r="H409" s="311" t="n">
        <x:v>8</x:v>
      </x:c>
      <x:c r="I409" s="311" t="str">
        <x:v>Farmer Carry</x:v>
      </x:c>
      <x:c r="J409" s="311" t="str">
        <x:v>Athletic</x:v>
      </x:c>
      <x:c r="K409" s="311" t="str">
        <x:v>Full Body</x:v>
      </x:c>
      <x:c r="L409" s="311" t="str">
        <x:v>Straight sets, crisp reps only</x:v>
      </x:c>
      <x:c r="M409" s="311" t="str"/>
      <x:c r="N409" s="311" t="n">
        <x:v>2</x:v>
      </x:c>
      <x:c r="O409" s="311" t="n">
        <x:v>30</x:v>
      </x:c>
      <x:c r="P409" s="311" t="n">
        <x:v>40</x:v>
      </x:c>
      <x:c r="Q409" s="311" t="n">
        <x:v>4</x:v>
      </x:c>
      <x:c r="R409" s="311" t="n">
        <x:v>75</x:v>
      </x:c>
      <x:c r="S409" s="311" t="str">
        <x:v>Controlled</x:v>
      </x:c>
      <x:c r="T409" s="330" t="n">
        <x:v>0.9</x:v>
      </x:c>
      <x:c r="U409" s="330" t="n">
        <x:v>0</x:v>
      </x:c>
      <x:c r="V409" s="331" t="str">
        <x:v>load + meters</x:v>
      </x:c>
      <x:c r="W409" s="332" t="str">
        <x:f>'Readiness'!K50</x:f>
      </x:c>
      <x:c r="X409" s="314" t="n">
        <x:f>'Readiness'!L50</x:f>
        <x:v>1</x:v>
      </x:c>
      <x:c r="Y409" s="315" t="n">
        <x:f>IF(J409="Mobility",N409,MAX(1,ROUND(N409*X409,0)))</x:f>
        <x:v>2</x:v>
      </x:c>
      <x:c r="Z409" s="333" t="n">
        <x:f>0</x:f>
        <x:v>0</x:v>
      </x:c>
      <x:c r="AA409" s="334"/>
      <x:c r="AB409" s="334"/>
      <x:c r="AC409" s="334"/>
      <x:c r="AD409" s="334"/>
      <x:c r="AE409" s="334"/>
      <x:c r="AF409" s="334"/>
      <x:c r="AG409" s="334"/>
      <x:c r="AH409" s="334"/>
      <x:c r="AI409" s="334"/>
      <x:c r="AJ409" s="312"/>
      <x:c r="AK409" s="312"/>
      <x:c r="AL409" s="312"/>
      <x:c r="AM409" s="312"/>
      <x:c r="AN409" s="312"/>
      <x:c r="AO409" s="315" t="n">
        <x:f>COUNT(AB409,AD409,AF409,AH409,AJ409)</x:f>
        <x:v>0</x:v>
      </x:c>
      <x:c r="AP409" s="315" t="n">
        <x:f>SUM(AB409,AD409,AF409,AH409,AJ409)</x:f>
        <x:v>0</x:v>
      </x:c>
      <x:c r="AQ409" s="333" t="n">
        <x:f>AA409*AB409+AC409*AD409+AE409*AF409+AG409*AH409+AI409*AJ409</x:f>
        <x:v>0</x:v>
      </x:c>
      <x:c r="AR409" s="333" t="n">
        <x:f>IF(OR(J409="Strength",J409="Hypertrophy"),MAX(IF(AB409&gt;0,AA409*(1+AB409/30),0),IF(AD409&gt;0,AC409*(1+AD409/30),0),IF(AF409&gt;0,AE409*(1+AF409/30),0),IF(AH409&gt;0,AG409*(1+AH409/30),0),IF(AJ409&gt;0,AI409*(1+AJ409/30),0)),0)</x:f>
        <x:v>0</x:v>
      </x:c>
      <x:c r="AS409" s="315" t="str">
        <x:f>IF(AN409&lt;&gt;"Yes","Not logged",IF(AL409&gt;='Setup'!$B$14,"STOP / MODIFY",IF(Z409=0,"Complete",IF(OR(AO409=0,AK409=""),"Add set data + RIR",IF(AND(MAX(AB409,AD409,AF409,AH409,AJ409)&gt;=P409,AK409&gt;=Q409+1),"Progress",IF(OR(MAX(AB409,AD409,AF409,AH409,AJ409)&lt;O409,AK409&lt;Q409-1),"Regress","Hold"))))))</x:f>
        <x:v>Not logged</x:v>
      </x:c>
      <x:c r="AT409" s="335" t="n">
        <x:f>IF(OR(Z409=0,AN409&lt;&gt;"Yes",AO409=0,AK409=""),0,IF(AL409&gt;='Setup'!$B$14,-2*'Setup'!$B$11,IF(AND(MAX(AB409,AD409,AF409,AH409,AJ409)&gt;=P409,AK409&gt;=Q409+1),'Setup'!$B$10,IF(OR(MAX(AB409,AD409,AF409,AH409,AJ409)&lt;O409,AK409&lt;Q409-1),-'Setup'!$B$11,0))))</x:f>
        <x:v>0</x:v>
      </x:c>
      <x:c r="AU409" s="333" t="n">
        <x:f>IF(Z409=0,0,IF(AN409&lt;&gt;"Yes",Z409,IF(COUNT(AA409,AC409,AE409,AG409,AI409)=0,Z409,ROUND((MAX(AA409,AC409,AE409,AG409,AI409)*(1+AT409))/'Setup'!$B$9,0)*'Setup'!$B$9)))</x:f>
        <x:v>0</x:v>
      </x:c>
      <x:c r="AV409" s="336"/>
    </x:row>
    <x:row r="410">
      <x:c r="A410" s="310" t="n">
        <x:f>'Setup'!$B$3+(C410-1)*7+(D410-1)</x:f>
        <x:v>46294</x:v>
      </x:c>
      <x:c r="B410" s="311" t="str">
        <x:v>8|2|9</x:v>
      </x:c>
      <x:c r="C410" s="311" t="n">
        <x:v>8</x:v>
      </x:c>
      <x:c r="D410" s="311" t="n">
        <x:v>2</x:v>
      </x:c>
      <x:c r="E410" s="311" t="str">
        <x:v>Deload 2</x:v>
      </x:c>
      <x:c r="F410" s="311" t="str">
        <x:v>Upper Strength</x:v>
      </x:c>
      <x:c r="G410" s="311" t="str">
        <x:v>Heavy press, pull, and carry</x:v>
      </x:c>
      <x:c r="H410" s="311" t="n">
        <x:v>9</x:v>
      </x:c>
      <x:c r="I410" s="311" t="str">
        <x:v>Shoulder CARs</x:v>
      </x:c>
      <x:c r="J410" s="311" t="str">
        <x:v>Mobility</x:v>
      </x:c>
      <x:c r="K410" s="311" t="str">
        <x:v>Shoulders</x:v>
      </x:c>
      <x:c r="L410" s="311" t="str">
        <x:v>Straight sets, crisp reps only</x:v>
      </x:c>
      <x:c r="M410" s="311" t="str"/>
      <x:c r="N410" s="311" t="n">
        <x:v>2</x:v>
      </x:c>
      <x:c r="O410" s="311" t="n">
        <x:v>3</x:v>
      </x:c>
      <x:c r="P410" s="311" t="n">
        <x:v>5</x:v>
      </x:c>
      <x:c r="Q410" s="311" t="str"/>
      <x:c r="R410" s="311" t="n">
        <x:v>20</x:v>
      </x:c>
      <x:c r="S410" s="311" t="str">
        <x:v>Slow</x:v>
      </x:c>
      <x:c r="T410" s="330" t="n">
        <x:v>0.9</x:v>
      </x:c>
      <x:c r="U410" s="330" t="n">
        <x:v>0</x:v>
      </x:c>
      <x:c r="V410" s="331" t="str">
        <x:v>reps</x:v>
      </x:c>
      <x:c r="W410" s="332" t="str">
        <x:f>'Readiness'!K50</x:f>
      </x:c>
      <x:c r="X410" s="314" t="n">
        <x:f>'Readiness'!L50</x:f>
        <x:v>1</x:v>
      </x:c>
      <x:c r="Y410" s="315" t="n">
        <x:f>IF(J410="Mobility",N410,MAX(1,ROUND(N410*X410,0)))</x:f>
        <x:v>2</x:v>
      </x:c>
      <x:c r="Z410" s="333" t="n">
        <x:f>0</x:f>
        <x:v>0</x:v>
      </x:c>
      <x:c r="AA410" s="334"/>
      <x:c r="AB410" s="334"/>
      <x:c r="AC410" s="334"/>
      <x:c r="AD410" s="334"/>
      <x:c r="AE410" s="334"/>
      <x:c r="AF410" s="334"/>
      <x:c r="AG410" s="334"/>
      <x:c r="AH410" s="334"/>
      <x:c r="AI410" s="334"/>
      <x:c r="AJ410" s="312"/>
      <x:c r="AK410" s="312"/>
      <x:c r="AL410" s="312"/>
      <x:c r="AM410" s="312"/>
      <x:c r="AN410" s="312"/>
      <x:c r="AO410" s="315" t="n">
        <x:f>COUNT(AB410,AD410,AF410,AH410,AJ410)</x:f>
        <x:v>0</x:v>
      </x:c>
      <x:c r="AP410" s="315" t="n">
        <x:f>SUM(AB410,AD410,AF410,AH410,AJ410)</x:f>
        <x:v>0</x:v>
      </x:c>
      <x:c r="AQ410" s="333" t="n">
        <x:f>AA410*AB410+AC410*AD410+AE410*AF410+AG410*AH410+AI410*AJ410</x:f>
        <x:v>0</x:v>
      </x:c>
      <x:c r="AR410" s="333" t="n">
        <x:f>IF(OR(J410="Strength",J410="Hypertrophy"),MAX(IF(AB410&gt;0,AA410*(1+AB410/30),0),IF(AD410&gt;0,AC410*(1+AD410/30),0),IF(AF410&gt;0,AE410*(1+AF410/30),0),IF(AH410&gt;0,AG410*(1+AH410/30),0),IF(AJ410&gt;0,AI410*(1+AJ410/30),0)),0)</x:f>
        <x:v>0</x:v>
      </x:c>
      <x:c r="AS410" s="315" t="str">
        <x:f>IF(AN410&lt;&gt;"Yes","Not logged",IF(AL410&gt;='Setup'!$B$14,"STOP / MODIFY",IF(Z410=0,"Complete",IF(OR(AO410=0,AK410=""),"Add set data + RIR",IF(AND(MAX(AB410,AD410,AF410,AH410,AJ410)&gt;=P410,AK410&gt;=Q410+1),"Progress",IF(OR(MAX(AB410,AD410,AF410,AH410,AJ410)&lt;O410,AK410&lt;Q410-1),"Regress","Hold"))))))</x:f>
        <x:v>Not logged</x:v>
      </x:c>
      <x:c r="AT410" s="335" t="n">
        <x:f>IF(OR(Z410=0,AN410&lt;&gt;"Yes",AO410=0,AK410=""),0,IF(AL410&gt;='Setup'!$B$14,-2*'Setup'!$B$11,IF(AND(MAX(AB410,AD410,AF410,AH410,AJ410)&gt;=P410,AK410&gt;=Q410+1),'Setup'!$B$10,IF(OR(MAX(AB410,AD410,AF410,AH410,AJ410)&lt;O410,AK410&lt;Q410-1),-'Setup'!$B$11,0))))</x:f>
        <x:v>0</x:v>
      </x:c>
      <x:c r="AU410" s="333" t="n">
        <x:f>IF(Z410=0,0,IF(AN410&lt;&gt;"Yes",Z410,IF(COUNT(AA410,AC410,AE410,AG410,AI410)=0,Z410,ROUND((MAX(AA410,AC410,AE410,AG410,AI410)*(1+AT410))/'Setup'!$B$9,0)*'Setup'!$B$9)))</x:f>
        <x:v>0</x:v>
      </x:c>
      <x:c r="AV410" s="336"/>
    </x:row>
    <x:row r="411">
      <x:c r="A411" s="310" t="n">
        <x:f>'Setup'!$B$3+(C411-1)*7+(D411-1)</x:f>
        <x:v>46295</x:v>
      </x:c>
      <x:c r="B411" s="311" t="str">
        <x:v>8|3|1</x:v>
      </x:c>
      <x:c r="C411" s="311" t="n">
        <x:v>8</x:v>
      </x:c>
      <x:c r="D411" s="311" t="n">
        <x:v>3</x:v>
      </x:c>
      <x:c r="E411" s="311" t="str">
        <x:v>Deload 2</x:v>
      </x:c>
      <x:c r="F411" s="311" t="str">
        <x:v>Legs Hypertrophy</x:v>
      </x:c>
      <x:c r="G411" s="311" t="str">
        <x:v>Quad, hamstring, and calf volume</x:v>
      </x:c>
      <x:c r="H411" s="311" t="n">
        <x:v>1</x:v>
      </x:c>
      <x:c r="I411" s="311" t="str">
        <x:v>Hack Squat</x:v>
      </x:c>
      <x:c r="J411" s="311" t="str">
        <x:v>Hypertrophy</x:v>
      </x:c>
      <x:c r="K411" s="311" t="str">
        <x:v>Quads</x:v>
      </x:c>
      <x:c r="L411" s="311" t="str">
        <x:v>Straight sets, crisp reps only</x:v>
      </x:c>
      <x:c r="M411" s="311" t="str"/>
      <x:c r="N411" s="311" t="n">
        <x:v>2</x:v>
      </x:c>
      <x:c r="O411" s="311" t="n">
        <x:v>8</x:v>
      </x:c>
      <x:c r="P411" s="311" t="n">
        <x:v>12</x:v>
      </x:c>
      <x:c r="Q411" s="311" t="n">
        <x:v>4</x:v>
      </x:c>
      <x:c r="R411" s="311" t="n">
        <x:v>120</x:v>
      </x:c>
      <x:c r="S411" s="311" t="str">
        <x:v>3-1-1</x:v>
      </x:c>
      <x:c r="T411" s="330" t="n">
        <x:v>0.9</x:v>
      </x:c>
      <x:c r="U411" s="330" t="n">
        <x:v>0</x:v>
      </x:c>
      <x:c r="V411" s="331" t="str">
        <x:v>load × reps</x:v>
      </x:c>
      <x:c r="W411" s="332" t="str">
        <x:f>'Readiness'!K51</x:f>
      </x:c>
      <x:c r="X411" s="314" t="n">
        <x:f>'Readiness'!L51</x:f>
        <x:v>1</x:v>
      </x:c>
      <x:c r="Y411" s="315" t="n">
        <x:f>IF(J411="Mobility",N411,MAX(1,ROUND(N411*X411,0)))</x:f>
        <x:v>2</x:v>
      </x:c>
      <x:c r="Z411" s="333" t="n">
        <x:f>ROUND((IF(AU358&gt;0,AU358,IF(Z358&gt;0,Z358,'Setup'!$D$46))*T411)/'Setup'!$B$9,0)*'Setup'!$B$9</x:f>
        <x:v>0</x:v>
      </x:c>
      <x:c r="AA411" s="334"/>
      <x:c r="AB411" s="334"/>
      <x:c r="AC411" s="334"/>
      <x:c r="AD411" s="334"/>
      <x:c r="AE411" s="334"/>
      <x:c r="AF411" s="334"/>
      <x:c r="AG411" s="334"/>
      <x:c r="AH411" s="334"/>
      <x:c r="AI411" s="334"/>
      <x:c r="AJ411" s="312"/>
      <x:c r="AK411" s="312"/>
      <x:c r="AL411" s="312"/>
      <x:c r="AM411" s="312"/>
      <x:c r="AN411" s="312"/>
      <x:c r="AO411" s="315" t="n">
        <x:f>COUNT(AB411,AD411,AF411,AH411,AJ411)</x:f>
        <x:v>0</x:v>
      </x:c>
      <x:c r="AP411" s="315" t="n">
        <x:f>SUM(AB411,AD411,AF411,AH411,AJ411)</x:f>
        <x:v>0</x:v>
      </x:c>
      <x:c r="AQ411" s="333" t="n">
        <x:f>AA411*AB411+AC411*AD411+AE411*AF411+AG411*AH411+AI411*AJ411</x:f>
        <x:v>0</x:v>
      </x:c>
      <x:c r="AR411" s="333" t="n">
        <x:f>IF(OR(J411="Strength",J411="Hypertrophy"),MAX(IF(AB411&gt;0,AA411*(1+AB411/30),0),IF(AD411&gt;0,AC411*(1+AD411/30),0),IF(AF411&gt;0,AE411*(1+AF411/30),0),IF(AH411&gt;0,AG411*(1+AH411/30),0),IF(AJ411&gt;0,AI411*(1+AJ411/30),0)),0)</x:f>
        <x:v>0</x:v>
      </x:c>
      <x:c r="AS411" s="315" t="str">
        <x:f>IF(AN411&lt;&gt;"Yes","Not logged",IF(AL411&gt;='Setup'!$B$14,"STOP / MODIFY",IF(Z411=0,"Complete",IF(OR(AO411=0,AK411=""),"Add set data + RIR",IF(AND(MAX(AB411,AD411,AF411,AH411,AJ411)&gt;=P411,AK411&gt;=Q411+1),"Progress",IF(OR(MAX(AB411,AD411,AF411,AH411,AJ411)&lt;O411,AK411&lt;Q411-1),"Regress","Hold"))))))</x:f>
        <x:v>Not logged</x:v>
      </x:c>
      <x:c r="AT411" s="335" t="n">
        <x:f>IF(OR(Z411=0,AN411&lt;&gt;"Yes",AO411=0,AK411=""),0,IF(AL411&gt;='Setup'!$B$14,-2*'Setup'!$B$11,IF(AND(MAX(AB411,AD411,AF411,AH411,AJ411)&gt;=P411,AK411&gt;=Q411+1),'Setup'!$B$10,IF(OR(MAX(AB411,AD411,AF411,AH411,AJ411)&lt;O411,AK411&lt;Q411-1),-'Setup'!$B$11,0))))</x:f>
        <x:v>0</x:v>
      </x:c>
      <x:c r="AU411" s="333" t="n">
        <x:f>IF(Z411=0,0,IF(AN411&lt;&gt;"Yes",Z411,IF(COUNT(AA411,AC411,AE411,AG411,AI411)=0,Z411,ROUND((MAX(AA411,AC411,AE411,AG411,AI411)*(1+AT411))/'Setup'!$B$9,0)*'Setup'!$B$9)))</x:f>
        <x:v>0</x:v>
      </x:c>
      <x:c r="AV411" s="336"/>
    </x:row>
    <x:row r="412">
      <x:c r="A412" s="310" t="n">
        <x:f>'Setup'!$B$3+(C412-1)*7+(D412-1)</x:f>
        <x:v>46295</x:v>
      </x:c>
      <x:c r="B412" s="311" t="str">
        <x:v>8|3|2</x:v>
      </x:c>
      <x:c r="C412" s="311" t="n">
        <x:v>8</x:v>
      </x:c>
      <x:c r="D412" s="311" t="n">
        <x:v>3</x:v>
      </x:c>
      <x:c r="E412" s="311" t="str">
        <x:v>Deload 2</x:v>
      </x:c>
      <x:c r="F412" s="311" t="str">
        <x:v>Legs Hypertrophy</x:v>
      </x:c>
      <x:c r="G412" s="311" t="str">
        <x:v>Quad, hamstring, and calf volume</x:v>
      </x:c>
      <x:c r="H412" s="311" t="n">
        <x:v>2</x:v>
      </x:c>
      <x:c r="I412" s="311" t="str">
        <x:v>Romanian Deadlift</x:v>
      </x:c>
      <x:c r="J412" s="311" t="str">
        <x:v>Hypertrophy</x:v>
      </x:c>
      <x:c r="K412" s="311" t="str">
        <x:v>Hamstrings</x:v>
      </x:c>
      <x:c r="L412" s="311" t="str">
        <x:v>Straight sets, crisp reps only</x:v>
      </x:c>
      <x:c r="M412" s="311" t="str"/>
      <x:c r="N412" s="311" t="n">
        <x:v>2</x:v>
      </x:c>
      <x:c r="O412" s="311" t="n">
        <x:v>8</x:v>
      </x:c>
      <x:c r="P412" s="311" t="n">
        <x:v>10</x:v>
      </x:c>
      <x:c r="Q412" s="311" t="n">
        <x:v>4</x:v>
      </x:c>
      <x:c r="R412" s="311" t="n">
        <x:v>120</x:v>
      </x:c>
      <x:c r="S412" s="311" t="str">
        <x:v>3-1-1</x:v>
      </x:c>
      <x:c r="T412" s="330" t="n">
        <x:v>0.9</x:v>
      </x:c>
      <x:c r="U412" s="330" t="n">
        <x:v>0.58</x:v>
      </x:c>
      <x:c r="V412" s="331" t="str">
        <x:v>load × reps</x:v>
      </x:c>
      <x:c r="W412" s="332" t="str">
        <x:f>'Readiness'!K51</x:f>
      </x:c>
      <x:c r="X412" s="314" t="n">
        <x:f>'Readiness'!L51</x:f>
        <x:v>1</x:v>
      </x:c>
      <x:c r="Y412" s="315" t="n">
        <x:f>IF(J412="Mobility",N412,MAX(1,ROUND(N412*X412,0)))</x:f>
        <x:v>2</x:v>
      </x:c>
      <x:c r="Z412" s="333" t="n">
        <x:f>ROUND((IF(AU359&gt;0,AU359,IF(Z359&gt;0,Z359,'Setup'!$D$79))*T412)/'Setup'!$B$9,0)*'Setup'!$B$9</x:f>
        <x:v>0</x:v>
      </x:c>
      <x:c r="AA412" s="334"/>
      <x:c r="AB412" s="334"/>
      <x:c r="AC412" s="334"/>
      <x:c r="AD412" s="334"/>
      <x:c r="AE412" s="334"/>
      <x:c r="AF412" s="334"/>
      <x:c r="AG412" s="334"/>
      <x:c r="AH412" s="334"/>
      <x:c r="AI412" s="334"/>
      <x:c r="AJ412" s="312"/>
      <x:c r="AK412" s="312"/>
      <x:c r="AL412" s="312"/>
      <x:c r="AM412" s="312"/>
      <x:c r="AN412" s="312"/>
      <x:c r="AO412" s="315" t="n">
        <x:f>COUNT(AB412,AD412,AF412,AH412,AJ412)</x:f>
        <x:v>0</x:v>
      </x:c>
      <x:c r="AP412" s="315" t="n">
        <x:f>SUM(AB412,AD412,AF412,AH412,AJ412)</x:f>
        <x:v>0</x:v>
      </x:c>
      <x:c r="AQ412" s="333" t="n">
        <x:f>AA412*AB412+AC412*AD412+AE412*AF412+AG412*AH412+AI412*AJ412</x:f>
        <x:v>0</x:v>
      </x:c>
      <x:c r="AR412" s="333" t="n">
        <x:f>IF(OR(J412="Strength",J412="Hypertrophy"),MAX(IF(AB412&gt;0,AA412*(1+AB412/30),0),IF(AD412&gt;0,AC412*(1+AD412/30),0),IF(AF412&gt;0,AE412*(1+AF412/30),0),IF(AH412&gt;0,AG412*(1+AH412/30),0),IF(AJ412&gt;0,AI412*(1+AJ412/30),0)),0)</x:f>
        <x:v>0</x:v>
      </x:c>
      <x:c r="AS412" s="315" t="str">
        <x:f>IF(AN412&lt;&gt;"Yes","Not logged",IF(AL412&gt;='Setup'!$B$14,"STOP / MODIFY",IF(Z412=0,"Complete",IF(OR(AO412=0,AK412=""),"Add set data + RIR",IF(AND(MAX(AB412,AD412,AF412,AH412,AJ412)&gt;=P412,AK412&gt;=Q412+1),"Progress",IF(OR(MAX(AB412,AD412,AF412,AH412,AJ412)&lt;O412,AK412&lt;Q412-1),"Regress","Hold"))))))</x:f>
        <x:v>Not logged</x:v>
      </x:c>
      <x:c r="AT412" s="335" t="n">
        <x:f>IF(OR(Z412=0,AN412&lt;&gt;"Yes",AO412=0,AK412=""),0,IF(AL412&gt;='Setup'!$B$14,-2*'Setup'!$B$11,IF(AND(MAX(AB412,AD412,AF412,AH412,AJ412)&gt;=P412,AK412&gt;=Q412+1),'Setup'!$B$10,IF(OR(MAX(AB412,AD412,AF412,AH412,AJ412)&lt;O412,AK412&lt;Q412-1),-'Setup'!$B$11,0))))</x:f>
        <x:v>0</x:v>
      </x:c>
      <x:c r="AU412" s="333" t="n">
        <x:f>IF(Z412=0,0,IF(AN412&lt;&gt;"Yes",Z412,IF(COUNT(AA412,AC412,AE412,AG412,AI412)=0,Z412,ROUND((MAX(AA412,AC412,AE412,AG412,AI412)*(1+AT412))/'Setup'!$B$9,0)*'Setup'!$B$9)))</x:f>
        <x:v>0</x:v>
      </x:c>
      <x:c r="AV412" s="336"/>
    </x:row>
    <x:row r="413">
      <x:c r="A413" s="310" t="n">
        <x:f>'Setup'!$B$3+(C413-1)*7+(D413-1)</x:f>
        <x:v>46295</x:v>
      </x:c>
      <x:c r="B413" s="311" t="str">
        <x:v>8|3|3</x:v>
      </x:c>
      <x:c r="C413" s="311" t="n">
        <x:v>8</x:v>
      </x:c>
      <x:c r="D413" s="311" t="n">
        <x:v>3</x:v>
      </x:c>
      <x:c r="E413" s="311" t="str">
        <x:v>Deload 2</x:v>
      </x:c>
      <x:c r="F413" s="311" t="str">
        <x:v>Legs Hypertrophy</x:v>
      </x:c>
      <x:c r="G413" s="311" t="str">
        <x:v>Quad, hamstring, and calf volume</x:v>
      </x:c>
      <x:c r="H413" s="311" t="n">
        <x:v>3</x:v>
      </x:c>
      <x:c r="I413" s="311" t="str">
        <x:v>Bulgarian Split Squat</x:v>
      </x:c>
      <x:c r="J413" s="311" t="str">
        <x:v>Hypertrophy</x:v>
      </x:c>
      <x:c r="K413" s="311" t="str">
        <x:v>Quads</x:v>
      </x:c>
      <x:c r="L413" s="311" t="str">
        <x:v>Straight sets, crisp reps only</x:v>
      </x:c>
      <x:c r="M413" s="311" t="str"/>
      <x:c r="N413" s="311" t="n">
        <x:v>2</x:v>
      </x:c>
      <x:c r="O413" s="311" t="n">
        <x:v>10</x:v>
      </x:c>
      <x:c r="P413" s="311" t="n">
        <x:v>12</x:v>
      </x:c>
      <x:c r="Q413" s="311" t="n">
        <x:v>4</x:v>
      </x:c>
      <x:c r="R413" s="311" t="n">
        <x:v>90</x:v>
      </x:c>
      <x:c r="S413" s="311" t="str">
        <x:v>3-0-1</x:v>
      </x:c>
      <x:c r="T413" s="330" t="n">
        <x:v>0.9</x:v>
      </x:c>
      <x:c r="U413" s="330" t="n">
        <x:v>0</x:v>
      </x:c>
      <x:c r="V413" s="331" t="str">
        <x:v>load × reps</x:v>
      </x:c>
      <x:c r="W413" s="332" t="str">
        <x:f>'Readiness'!K51</x:f>
      </x:c>
      <x:c r="X413" s="314" t="n">
        <x:f>'Readiness'!L51</x:f>
        <x:v>1</x:v>
      </x:c>
      <x:c r="Y413" s="315" t="n">
        <x:f>IF(J413="Mobility",N413,MAX(1,ROUND(N413*X413,0)))</x:f>
        <x:v>2</x:v>
      </x:c>
      <x:c r="Z413" s="333" t="n">
        <x:f>ROUND((IF(AU360&gt;0,AU360,IF(Z360&gt;0,Z360,'Setup'!$D$30))*T413)/'Setup'!$B$9,0)*'Setup'!$B$9</x:f>
        <x:v>0</x:v>
      </x:c>
      <x:c r="AA413" s="334"/>
      <x:c r="AB413" s="334"/>
      <x:c r="AC413" s="334"/>
      <x:c r="AD413" s="334"/>
      <x:c r="AE413" s="334"/>
      <x:c r="AF413" s="334"/>
      <x:c r="AG413" s="334"/>
      <x:c r="AH413" s="334"/>
      <x:c r="AI413" s="334"/>
      <x:c r="AJ413" s="312"/>
      <x:c r="AK413" s="312"/>
      <x:c r="AL413" s="312"/>
      <x:c r="AM413" s="312"/>
      <x:c r="AN413" s="312"/>
      <x:c r="AO413" s="315" t="n">
        <x:f>COUNT(AB413,AD413,AF413,AH413,AJ413)</x:f>
        <x:v>0</x:v>
      </x:c>
      <x:c r="AP413" s="315" t="n">
        <x:f>SUM(AB413,AD413,AF413,AH413,AJ413)</x:f>
        <x:v>0</x:v>
      </x:c>
      <x:c r="AQ413" s="333" t="n">
        <x:f>AA413*AB413+AC413*AD413+AE413*AF413+AG413*AH413+AI413*AJ413</x:f>
        <x:v>0</x:v>
      </x:c>
      <x:c r="AR413" s="333" t="n">
        <x:f>IF(OR(J413="Strength",J413="Hypertrophy"),MAX(IF(AB413&gt;0,AA413*(1+AB413/30),0),IF(AD413&gt;0,AC413*(1+AD413/30),0),IF(AF413&gt;0,AE413*(1+AF413/30),0),IF(AH413&gt;0,AG413*(1+AH413/30),0),IF(AJ413&gt;0,AI413*(1+AJ413/30),0)),0)</x:f>
        <x:v>0</x:v>
      </x:c>
      <x:c r="AS413" s="315" t="str">
        <x:f>IF(AN413&lt;&gt;"Yes","Not logged",IF(AL413&gt;='Setup'!$B$14,"STOP / MODIFY",IF(Z413=0,"Complete",IF(OR(AO413=0,AK413=""),"Add set data + RIR",IF(AND(MAX(AB413,AD413,AF413,AH413,AJ413)&gt;=P413,AK413&gt;=Q413+1),"Progress",IF(OR(MAX(AB413,AD413,AF413,AH413,AJ413)&lt;O413,AK413&lt;Q413-1),"Regress","Hold"))))))</x:f>
        <x:v>Not logged</x:v>
      </x:c>
      <x:c r="AT413" s="335" t="n">
        <x:f>IF(OR(Z413=0,AN413&lt;&gt;"Yes",AO413=0,AK413=""),0,IF(AL413&gt;='Setup'!$B$14,-2*'Setup'!$B$11,IF(AND(MAX(AB413,AD413,AF413,AH413,AJ413)&gt;=P413,AK413&gt;=Q413+1),'Setup'!$B$10,IF(OR(MAX(AB413,AD413,AF413,AH413,AJ413)&lt;O413,AK413&lt;Q413-1),-'Setup'!$B$11,0))))</x:f>
        <x:v>0</x:v>
      </x:c>
      <x:c r="AU413" s="333" t="n">
        <x:f>IF(Z413=0,0,IF(AN413&lt;&gt;"Yes",Z413,IF(COUNT(AA413,AC413,AE413,AG413,AI413)=0,Z413,ROUND((MAX(AA413,AC413,AE413,AG413,AI413)*(1+AT413))/'Setup'!$B$9,0)*'Setup'!$B$9)))</x:f>
        <x:v>0</x:v>
      </x:c>
      <x:c r="AV413" s="336"/>
    </x:row>
    <x:row r="414">
      <x:c r="A414" s="310" t="n">
        <x:f>'Setup'!$B$3+(C414-1)*7+(D414-1)</x:f>
        <x:v>46295</x:v>
      </x:c>
      <x:c r="B414" s="311" t="str">
        <x:v>8|3|4</x:v>
      </x:c>
      <x:c r="C414" s="311" t="n">
        <x:v>8</x:v>
      </x:c>
      <x:c r="D414" s="311" t="n">
        <x:v>3</x:v>
      </x:c>
      <x:c r="E414" s="311" t="str">
        <x:v>Deload 2</x:v>
      </x:c>
      <x:c r="F414" s="311" t="str">
        <x:v>Legs Hypertrophy</x:v>
      </x:c>
      <x:c r="G414" s="311" t="str">
        <x:v>Quad, hamstring, and calf volume</x:v>
      </x:c>
      <x:c r="H414" s="311" t="n">
        <x:v>4</x:v>
      </x:c>
      <x:c r="I414" s="311" t="str">
        <x:v>Lying Leg Curl</x:v>
      </x:c>
      <x:c r="J414" s="311" t="str">
        <x:v>Hypertrophy</x:v>
      </x:c>
      <x:c r="K414" s="311" t="str">
        <x:v>Hamstrings</x:v>
      </x:c>
      <x:c r="L414" s="311" t="str">
        <x:v>Straight sets, crisp reps only</x:v>
      </x:c>
      <x:c r="M414" s="311" t="str"/>
      <x:c r="N414" s="311" t="n">
        <x:v>2</x:v>
      </x:c>
      <x:c r="O414" s="311" t="n">
        <x:v>10</x:v>
      </x:c>
      <x:c r="P414" s="311" t="n">
        <x:v>15</x:v>
      </x:c>
      <x:c r="Q414" s="311" t="n">
        <x:v>4</x:v>
      </x:c>
      <x:c r="R414" s="311" t="n">
        <x:v>60</x:v>
      </x:c>
      <x:c r="S414" s="311" t="str">
        <x:v>2-1-2</x:v>
      </x:c>
      <x:c r="T414" s="330" t="n">
        <x:v>0.9</x:v>
      </x:c>
      <x:c r="U414" s="330" t="n">
        <x:v>0</x:v>
      </x:c>
      <x:c r="V414" s="331" t="str">
        <x:v>load × reps</x:v>
      </x:c>
      <x:c r="W414" s="332" t="str">
        <x:f>'Readiness'!K51</x:f>
      </x:c>
      <x:c r="X414" s="314" t="n">
        <x:f>'Readiness'!L51</x:f>
        <x:v>1</x:v>
      </x:c>
      <x:c r="Y414" s="315" t="n">
        <x:f>IF(J414="Mobility",N414,MAX(1,ROUND(N414*X414,0)))</x:f>
        <x:v>2</x:v>
      </x:c>
      <x:c r="Z414" s="333" t="n">
        <x:f>ROUND((IF(AU361&gt;0,AU361,IF(Z361&gt;0,Z361,'Setup'!$D$59))*T414)/'Setup'!$B$9,0)*'Setup'!$B$9</x:f>
        <x:v>0</x:v>
      </x:c>
      <x:c r="AA414" s="334"/>
      <x:c r="AB414" s="334"/>
      <x:c r="AC414" s="334"/>
      <x:c r="AD414" s="334"/>
      <x:c r="AE414" s="334"/>
      <x:c r="AF414" s="334"/>
      <x:c r="AG414" s="334"/>
      <x:c r="AH414" s="334"/>
      <x:c r="AI414" s="334"/>
      <x:c r="AJ414" s="312"/>
      <x:c r="AK414" s="312"/>
      <x:c r="AL414" s="312"/>
      <x:c r="AM414" s="312"/>
      <x:c r="AN414" s="312"/>
      <x:c r="AO414" s="315" t="n">
        <x:f>COUNT(AB414,AD414,AF414,AH414,AJ414)</x:f>
        <x:v>0</x:v>
      </x:c>
      <x:c r="AP414" s="315" t="n">
        <x:f>SUM(AB414,AD414,AF414,AH414,AJ414)</x:f>
        <x:v>0</x:v>
      </x:c>
      <x:c r="AQ414" s="333" t="n">
        <x:f>AA414*AB414+AC414*AD414+AE414*AF414+AG414*AH414+AI414*AJ414</x:f>
        <x:v>0</x:v>
      </x:c>
      <x:c r="AR414" s="333" t="n">
        <x:f>IF(OR(J414="Strength",J414="Hypertrophy"),MAX(IF(AB414&gt;0,AA414*(1+AB414/30),0),IF(AD414&gt;0,AC414*(1+AD414/30),0),IF(AF414&gt;0,AE414*(1+AF414/30),0),IF(AH414&gt;0,AG414*(1+AH414/30),0),IF(AJ414&gt;0,AI414*(1+AJ414/30),0)),0)</x:f>
        <x:v>0</x:v>
      </x:c>
      <x:c r="AS414" s="315" t="str">
        <x:f>IF(AN414&lt;&gt;"Yes","Not logged",IF(AL414&gt;='Setup'!$B$14,"STOP / MODIFY",IF(Z414=0,"Complete",IF(OR(AO414=0,AK414=""),"Add set data + RIR",IF(AND(MAX(AB414,AD414,AF414,AH414,AJ414)&gt;=P414,AK414&gt;=Q414+1),"Progress",IF(OR(MAX(AB414,AD414,AF414,AH414,AJ414)&lt;O414,AK414&lt;Q414-1),"Regress","Hold"))))))</x:f>
        <x:v>Not logged</x:v>
      </x:c>
      <x:c r="AT414" s="335" t="n">
        <x:f>IF(OR(Z414=0,AN414&lt;&gt;"Yes",AO414=0,AK414=""),0,IF(AL414&gt;='Setup'!$B$14,-2*'Setup'!$B$11,IF(AND(MAX(AB414,AD414,AF414,AH414,AJ414)&gt;=P414,AK414&gt;=Q414+1),'Setup'!$B$10,IF(OR(MAX(AB414,AD414,AF414,AH414,AJ414)&lt;O414,AK414&lt;Q414-1),-'Setup'!$B$11,0))))</x:f>
        <x:v>0</x:v>
      </x:c>
      <x:c r="AU414" s="333" t="n">
        <x:f>IF(Z414=0,0,IF(AN414&lt;&gt;"Yes",Z414,IF(COUNT(AA414,AC414,AE414,AG414,AI414)=0,Z414,ROUND((MAX(AA414,AC414,AE414,AG414,AI414)*(1+AT414))/'Setup'!$B$9,0)*'Setup'!$B$9)))</x:f>
        <x:v>0</x:v>
      </x:c>
      <x:c r="AV414" s="336"/>
    </x:row>
    <x:row r="415">
      <x:c r="A415" s="310" t="n">
        <x:f>'Setup'!$B$3+(C415-1)*7+(D415-1)</x:f>
        <x:v>46295</x:v>
      </x:c>
      <x:c r="B415" s="311" t="str">
        <x:v>8|3|5</x:v>
      </x:c>
      <x:c r="C415" s="311" t="n">
        <x:v>8</x:v>
      </x:c>
      <x:c r="D415" s="311" t="n">
        <x:v>3</x:v>
      </x:c>
      <x:c r="E415" s="311" t="str">
        <x:v>Deload 2</x:v>
      </x:c>
      <x:c r="F415" s="311" t="str">
        <x:v>Legs Hypertrophy</x:v>
      </x:c>
      <x:c r="G415" s="311" t="str">
        <x:v>Quad, hamstring, and calf volume</x:v>
      </x:c>
      <x:c r="H415" s="311" t="n">
        <x:v>5</x:v>
      </x:c>
      <x:c r="I415" s="311" t="str">
        <x:v>Leg Extension</x:v>
      </x:c>
      <x:c r="J415" s="311" t="str">
        <x:v>Hypertrophy</x:v>
      </x:c>
      <x:c r="K415" s="311" t="str">
        <x:v>Quads</x:v>
      </x:c>
      <x:c r="L415" s="311" t="str">
        <x:v>Straight sets, crisp reps only</x:v>
      </x:c>
      <x:c r="M415" s="311" t="str"/>
      <x:c r="N415" s="311" t="n">
        <x:v>2</x:v>
      </x:c>
      <x:c r="O415" s="311" t="n">
        <x:v>12</x:v>
      </x:c>
      <x:c r="P415" s="311" t="n">
        <x:v>20</x:v>
      </x:c>
      <x:c r="Q415" s="311" t="n">
        <x:v>4</x:v>
      </x:c>
      <x:c r="R415" s="311" t="n">
        <x:v>60</x:v>
      </x:c>
      <x:c r="S415" s="311" t="str">
        <x:v>2-1-2</x:v>
      </x:c>
      <x:c r="T415" s="330" t="n">
        <x:v>0.9</x:v>
      </x:c>
      <x:c r="U415" s="330" t="n">
        <x:v>0</x:v>
      </x:c>
      <x:c r="V415" s="331" t="str">
        <x:v>load × reps</x:v>
      </x:c>
      <x:c r="W415" s="332" t="str">
        <x:f>'Readiness'!K51</x:f>
      </x:c>
      <x:c r="X415" s="314" t="n">
        <x:f>'Readiness'!L51</x:f>
        <x:v>1</x:v>
      </x:c>
      <x:c r="Y415" s="315" t="n">
        <x:f>IF(J415="Mobility",N415,MAX(1,ROUND(N415*X415,0)))</x:f>
        <x:v>2</x:v>
      </x:c>
      <x:c r="Z415" s="333" t="n">
        <x:f>ROUND((IF(AU362&gt;0,AU362,IF(Z362&gt;0,Z362,'Setup'!$D$57))*T415)/'Setup'!$B$9,0)*'Setup'!$B$9</x:f>
        <x:v>0</x:v>
      </x:c>
      <x:c r="AA415" s="334"/>
      <x:c r="AB415" s="334"/>
      <x:c r="AC415" s="334"/>
      <x:c r="AD415" s="334"/>
      <x:c r="AE415" s="334"/>
      <x:c r="AF415" s="334"/>
      <x:c r="AG415" s="334"/>
      <x:c r="AH415" s="334"/>
      <x:c r="AI415" s="334"/>
      <x:c r="AJ415" s="312"/>
      <x:c r="AK415" s="312"/>
      <x:c r="AL415" s="312"/>
      <x:c r="AM415" s="312"/>
      <x:c r="AN415" s="312"/>
      <x:c r="AO415" s="315" t="n">
        <x:f>COUNT(AB415,AD415,AF415,AH415,AJ415)</x:f>
        <x:v>0</x:v>
      </x:c>
      <x:c r="AP415" s="315" t="n">
        <x:f>SUM(AB415,AD415,AF415,AH415,AJ415)</x:f>
        <x:v>0</x:v>
      </x:c>
      <x:c r="AQ415" s="333" t="n">
        <x:f>AA415*AB415+AC415*AD415+AE415*AF415+AG415*AH415+AI415*AJ415</x:f>
        <x:v>0</x:v>
      </x:c>
      <x:c r="AR415" s="333" t="n">
        <x:f>IF(OR(J415="Strength",J415="Hypertrophy"),MAX(IF(AB415&gt;0,AA415*(1+AB415/30),0),IF(AD415&gt;0,AC415*(1+AD415/30),0),IF(AF415&gt;0,AE415*(1+AF415/30),0),IF(AH415&gt;0,AG415*(1+AH415/30),0),IF(AJ415&gt;0,AI415*(1+AJ415/30),0)),0)</x:f>
        <x:v>0</x:v>
      </x:c>
      <x:c r="AS415" s="315" t="str">
        <x:f>IF(AN415&lt;&gt;"Yes","Not logged",IF(AL415&gt;='Setup'!$B$14,"STOP / MODIFY",IF(Z415=0,"Complete",IF(OR(AO415=0,AK415=""),"Add set data + RIR",IF(AND(MAX(AB415,AD415,AF415,AH415,AJ415)&gt;=P415,AK415&gt;=Q415+1),"Progress",IF(OR(MAX(AB415,AD415,AF415,AH415,AJ415)&lt;O415,AK415&lt;Q415-1),"Regress","Hold"))))))</x:f>
        <x:v>Not logged</x:v>
      </x:c>
      <x:c r="AT415" s="335" t="n">
        <x:f>IF(OR(Z415=0,AN415&lt;&gt;"Yes",AO415=0,AK415=""),0,IF(AL415&gt;='Setup'!$B$14,-2*'Setup'!$B$11,IF(AND(MAX(AB415,AD415,AF415,AH415,AJ415)&gt;=P415,AK415&gt;=Q415+1),'Setup'!$B$10,IF(OR(MAX(AB415,AD415,AF415,AH415,AJ415)&lt;O415,AK415&lt;Q415-1),-'Setup'!$B$11,0))))</x:f>
        <x:v>0</x:v>
      </x:c>
      <x:c r="AU415" s="333" t="n">
        <x:f>IF(Z415=0,0,IF(AN415&lt;&gt;"Yes",Z415,IF(COUNT(AA415,AC415,AE415,AG415,AI415)=0,Z415,ROUND((MAX(AA415,AC415,AE415,AG415,AI415)*(1+AT415))/'Setup'!$B$9,0)*'Setup'!$B$9)))</x:f>
        <x:v>0</x:v>
      </x:c>
      <x:c r="AV415" s="336"/>
    </x:row>
    <x:row r="416">
      <x:c r="A416" s="310" t="n">
        <x:f>'Setup'!$B$3+(C416-1)*7+(D416-1)</x:f>
        <x:v>46295</x:v>
      </x:c>
      <x:c r="B416" s="311" t="str">
        <x:v>8|3|6</x:v>
      </x:c>
      <x:c r="C416" s="311" t="n">
        <x:v>8</x:v>
      </x:c>
      <x:c r="D416" s="311" t="n">
        <x:v>3</x:v>
      </x:c>
      <x:c r="E416" s="311" t="str">
        <x:v>Deload 2</x:v>
      </x:c>
      <x:c r="F416" s="311" t="str">
        <x:v>Legs Hypertrophy</x:v>
      </x:c>
      <x:c r="G416" s="311" t="str">
        <x:v>Quad, hamstring, and calf volume</x:v>
      </x:c>
      <x:c r="H416" s="311" t="n">
        <x:v>6</x:v>
      </x:c>
      <x:c r="I416" s="311" t="str">
        <x:v>Seated Calf Raise</x:v>
      </x:c>
      <x:c r="J416" s="311" t="str">
        <x:v>Hypertrophy</x:v>
      </x:c>
      <x:c r="K416" s="311" t="str">
        <x:v>Calves</x:v>
      </x:c>
      <x:c r="L416" s="311" t="str">
        <x:v>Straight sets, crisp reps only</x:v>
      </x:c>
      <x:c r="M416" s="311" t="str"/>
      <x:c r="N416" s="311" t="n">
        <x:v>2</x:v>
      </x:c>
      <x:c r="O416" s="311" t="n">
        <x:v>12</x:v>
      </x:c>
      <x:c r="P416" s="311" t="n">
        <x:v>20</x:v>
      </x:c>
      <x:c r="Q416" s="311" t="n">
        <x:v>4</x:v>
      </x:c>
      <x:c r="R416" s="311" t="n">
        <x:v>60</x:v>
      </x:c>
      <x:c r="S416" s="311" t="str">
        <x:v>2-2-1</x:v>
      </x:c>
      <x:c r="T416" s="330" t="n">
        <x:v>0.9</x:v>
      </x:c>
      <x:c r="U416" s="330" t="n">
        <x:v>0</x:v>
      </x:c>
      <x:c r="V416" s="331" t="str">
        <x:v>load × reps</x:v>
      </x:c>
      <x:c r="W416" s="332" t="str">
        <x:f>'Readiness'!K51</x:f>
      </x:c>
      <x:c r="X416" s="314" t="n">
        <x:f>'Readiness'!L51</x:f>
        <x:v>1</x:v>
      </x:c>
      <x:c r="Y416" s="315" t="n">
        <x:f>IF(J416="Mobility",N416,MAX(1,ROUND(N416*X416,0)))</x:f>
        <x:v>2</x:v>
      </x:c>
      <x:c r="Z416" s="333" t="n">
        <x:f>ROUND((IF(AU363&gt;0,AU363,IF(Z363&gt;0,Z363,'Setup'!$D$82))*T416)/'Setup'!$B$9,0)*'Setup'!$B$9</x:f>
        <x:v>0</x:v>
      </x:c>
      <x:c r="AA416" s="334"/>
      <x:c r="AB416" s="334"/>
      <x:c r="AC416" s="334"/>
      <x:c r="AD416" s="334"/>
      <x:c r="AE416" s="334"/>
      <x:c r="AF416" s="334"/>
      <x:c r="AG416" s="334"/>
      <x:c r="AH416" s="334"/>
      <x:c r="AI416" s="334"/>
      <x:c r="AJ416" s="312"/>
      <x:c r="AK416" s="312"/>
      <x:c r="AL416" s="312"/>
      <x:c r="AM416" s="312"/>
      <x:c r="AN416" s="312"/>
      <x:c r="AO416" s="315" t="n">
        <x:f>COUNT(AB416,AD416,AF416,AH416,AJ416)</x:f>
        <x:v>0</x:v>
      </x:c>
      <x:c r="AP416" s="315" t="n">
        <x:f>SUM(AB416,AD416,AF416,AH416,AJ416)</x:f>
        <x:v>0</x:v>
      </x:c>
      <x:c r="AQ416" s="333" t="n">
        <x:f>AA416*AB416+AC416*AD416+AE416*AF416+AG416*AH416+AI416*AJ416</x:f>
        <x:v>0</x:v>
      </x:c>
      <x:c r="AR416" s="333" t="n">
        <x:f>IF(OR(J416="Strength",J416="Hypertrophy"),MAX(IF(AB416&gt;0,AA416*(1+AB416/30),0),IF(AD416&gt;0,AC416*(1+AD416/30),0),IF(AF416&gt;0,AE416*(1+AF416/30),0),IF(AH416&gt;0,AG416*(1+AH416/30),0),IF(AJ416&gt;0,AI416*(1+AJ416/30),0)),0)</x:f>
        <x:v>0</x:v>
      </x:c>
      <x:c r="AS416" s="315" t="str">
        <x:f>IF(AN416&lt;&gt;"Yes","Not logged",IF(AL416&gt;='Setup'!$B$14,"STOP / MODIFY",IF(Z416=0,"Complete",IF(OR(AO416=0,AK416=""),"Add set data + RIR",IF(AND(MAX(AB416,AD416,AF416,AH416,AJ416)&gt;=P416,AK416&gt;=Q416+1),"Progress",IF(OR(MAX(AB416,AD416,AF416,AH416,AJ416)&lt;O416,AK416&lt;Q416-1),"Regress","Hold"))))))</x:f>
        <x:v>Not logged</x:v>
      </x:c>
      <x:c r="AT416" s="335" t="n">
        <x:f>IF(OR(Z416=0,AN416&lt;&gt;"Yes",AO416=0,AK416=""),0,IF(AL416&gt;='Setup'!$B$14,-2*'Setup'!$B$11,IF(AND(MAX(AB416,AD416,AF416,AH416,AJ416)&gt;=P416,AK416&gt;=Q416+1),'Setup'!$B$10,IF(OR(MAX(AB416,AD416,AF416,AH416,AJ416)&lt;O416,AK416&lt;Q416-1),-'Setup'!$B$11,0))))</x:f>
        <x:v>0</x:v>
      </x:c>
      <x:c r="AU416" s="333" t="n">
        <x:f>IF(Z416=0,0,IF(AN416&lt;&gt;"Yes",Z416,IF(COUNT(AA416,AC416,AE416,AG416,AI416)=0,Z416,ROUND((MAX(AA416,AC416,AE416,AG416,AI416)*(1+AT416))/'Setup'!$B$9,0)*'Setup'!$B$9)))</x:f>
        <x:v>0</x:v>
      </x:c>
      <x:c r="AV416" s="336"/>
    </x:row>
    <x:row r="417">
      <x:c r="A417" s="310" t="n">
        <x:f>'Setup'!$B$3+(C417-1)*7+(D417-1)</x:f>
        <x:v>46295</x:v>
      </x:c>
      <x:c r="B417" s="311" t="str">
        <x:v>8|3|7</x:v>
      </x:c>
      <x:c r="C417" s="311" t="n">
        <x:v>8</x:v>
      </x:c>
      <x:c r="D417" s="311" t="n">
        <x:v>3</x:v>
      </x:c>
      <x:c r="E417" s="311" t="str">
        <x:v>Deload 2</x:v>
      </x:c>
      <x:c r="F417" s="311" t="str">
        <x:v>Legs Hypertrophy</x:v>
      </x:c>
      <x:c r="G417" s="311" t="str">
        <x:v>Quad, hamstring, and calf volume</x:v>
      </x:c>
      <x:c r="H417" s="311" t="n">
        <x:v>7</x:v>
      </x:c>
      <x:c r="I417" s="311" t="str">
        <x:v>Cable Hip Adduction</x:v>
      </x:c>
      <x:c r="J417" s="311" t="str">
        <x:v>Hypertrophy</x:v>
      </x:c>
      <x:c r="K417" s="311" t="str">
        <x:v>Adductors</x:v>
      </x:c>
      <x:c r="L417" s="311" t="str">
        <x:v>Straight sets, crisp reps only</x:v>
      </x:c>
      <x:c r="M417" s="311" t="str"/>
      <x:c r="N417" s="311" t="n">
        <x:v>2</x:v>
      </x:c>
      <x:c r="O417" s="311" t="n">
        <x:v>12</x:v>
      </x:c>
      <x:c r="P417" s="311" t="n">
        <x:v>20</x:v>
      </x:c>
      <x:c r="Q417" s="311" t="n">
        <x:v>4</x:v>
      </x:c>
      <x:c r="R417" s="311" t="n">
        <x:v>45</x:v>
      </x:c>
      <x:c r="S417" s="311" t="str">
        <x:v>2-1-2</x:v>
      </x:c>
      <x:c r="T417" s="330" t="n">
        <x:v>0.9</x:v>
      </x:c>
      <x:c r="U417" s="330" t="n">
        <x:v>0</x:v>
      </x:c>
      <x:c r="V417" s="331" t="str">
        <x:v>load × reps</x:v>
      </x:c>
      <x:c r="W417" s="332" t="str">
        <x:f>'Readiness'!K51</x:f>
      </x:c>
      <x:c r="X417" s="314" t="n">
        <x:f>'Readiness'!L51</x:f>
        <x:v>1</x:v>
      </x:c>
      <x:c r="Y417" s="315" t="n">
        <x:f>IF(J417="Mobility",N417,MAX(1,ROUND(N417*X417,0)))</x:f>
        <x:v>2</x:v>
      </x:c>
      <x:c r="Z417" s="333" t="n">
        <x:f>ROUND((IF(AU364&gt;0,AU364,IF(Z364&gt;0,Z364,'Setup'!$D$32))*T417)/'Setup'!$B$9,0)*'Setup'!$B$9</x:f>
        <x:v>0</x:v>
      </x:c>
      <x:c r="AA417" s="334"/>
      <x:c r="AB417" s="334"/>
      <x:c r="AC417" s="334"/>
      <x:c r="AD417" s="334"/>
      <x:c r="AE417" s="334"/>
      <x:c r="AF417" s="334"/>
      <x:c r="AG417" s="334"/>
      <x:c r="AH417" s="334"/>
      <x:c r="AI417" s="334"/>
      <x:c r="AJ417" s="312"/>
      <x:c r="AK417" s="312"/>
      <x:c r="AL417" s="312"/>
      <x:c r="AM417" s="312"/>
      <x:c r="AN417" s="312"/>
      <x:c r="AO417" s="315" t="n">
        <x:f>COUNT(AB417,AD417,AF417,AH417,AJ417)</x:f>
        <x:v>0</x:v>
      </x:c>
      <x:c r="AP417" s="315" t="n">
        <x:f>SUM(AB417,AD417,AF417,AH417,AJ417)</x:f>
        <x:v>0</x:v>
      </x:c>
      <x:c r="AQ417" s="333" t="n">
        <x:f>AA417*AB417+AC417*AD417+AE417*AF417+AG417*AH417+AI417*AJ417</x:f>
        <x:v>0</x:v>
      </x:c>
      <x:c r="AR417" s="333" t="n">
        <x:f>IF(OR(J417="Strength",J417="Hypertrophy"),MAX(IF(AB417&gt;0,AA417*(1+AB417/30),0),IF(AD417&gt;0,AC417*(1+AD417/30),0),IF(AF417&gt;0,AE417*(1+AF417/30),0),IF(AH417&gt;0,AG417*(1+AH417/30),0),IF(AJ417&gt;0,AI417*(1+AJ417/30),0)),0)</x:f>
        <x:v>0</x:v>
      </x:c>
      <x:c r="AS417" s="315" t="str">
        <x:f>IF(AN417&lt;&gt;"Yes","Not logged",IF(AL417&gt;='Setup'!$B$14,"STOP / MODIFY",IF(Z417=0,"Complete",IF(OR(AO417=0,AK417=""),"Add set data + RIR",IF(AND(MAX(AB417,AD417,AF417,AH417,AJ417)&gt;=P417,AK417&gt;=Q417+1),"Progress",IF(OR(MAX(AB417,AD417,AF417,AH417,AJ417)&lt;O417,AK417&lt;Q417-1),"Regress","Hold"))))))</x:f>
        <x:v>Not logged</x:v>
      </x:c>
      <x:c r="AT417" s="335" t="n">
        <x:f>IF(OR(Z417=0,AN417&lt;&gt;"Yes",AO417=0,AK417=""),0,IF(AL417&gt;='Setup'!$B$14,-2*'Setup'!$B$11,IF(AND(MAX(AB417,AD417,AF417,AH417,AJ417)&gt;=P417,AK417&gt;=Q417+1),'Setup'!$B$10,IF(OR(MAX(AB417,AD417,AF417,AH417,AJ417)&lt;O417,AK417&lt;Q417-1),-'Setup'!$B$11,0))))</x:f>
        <x:v>0</x:v>
      </x:c>
      <x:c r="AU417" s="333" t="n">
        <x:f>IF(Z417=0,0,IF(AN417&lt;&gt;"Yes",Z417,IF(COUNT(AA417,AC417,AE417,AG417,AI417)=0,Z417,ROUND((MAX(AA417,AC417,AE417,AG417,AI417)*(1+AT417))/'Setup'!$B$9,0)*'Setup'!$B$9)))</x:f>
        <x:v>0</x:v>
      </x:c>
      <x:c r="AV417" s="336"/>
    </x:row>
    <x:row r="418">
      <x:c r="A418" s="310" t="n">
        <x:f>'Setup'!$B$3+(C418-1)*7+(D418-1)</x:f>
        <x:v>46295</x:v>
      </x:c>
      <x:c r="B418" s="311" t="str">
        <x:v>8|3|8</x:v>
      </x:c>
      <x:c r="C418" s="311" t="n">
        <x:v>8</x:v>
      </x:c>
      <x:c r="D418" s="311" t="n">
        <x:v>3</x:v>
      </x:c>
      <x:c r="E418" s="311" t="str">
        <x:v>Deload 2</x:v>
      </x:c>
      <x:c r="F418" s="311" t="str">
        <x:v>Legs Hypertrophy</x:v>
      </x:c>
      <x:c r="G418" s="311" t="str">
        <x:v>Quad, hamstring, and calf volume</x:v>
      </x:c>
      <x:c r="H418" s="311" t="n">
        <x:v>8</x:v>
      </x:c>
      <x:c r="I418" s="311" t="str">
        <x:v>Couch Stretch</x:v>
      </x:c>
      <x:c r="J418" s="311" t="str">
        <x:v>Mobility</x:v>
      </x:c>
      <x:c r="K418" s="311" t="str">
        <x:v>Hips</x:v>
      </x:c>
      <x:c r="L418" s="311" t="str">
        <x:v>Straight sets, crisp reps only</x:v>
      </x:c>
      <x:c r="M418" s="311" t="str"/>
      <x:c r="N418" s="311" t="n">
        <x:v>2</x:v>
      </x:c>
      <x:c r="O418" s="311" t="n">
        <x:v>30</x:v>
      </x:c>
      <x:c r="P418" s="311" t="n">
        <x:v>45</x:v>
      </x:c>
      <x:c r="Q418" s="311" t="str"/>
      <x:c r="R418" s="311" t="n">
        <x:v>20</x:v>
      </x:c>
      <x:c r="S418" s="311" t="str">
        <x:v>Hold</x:v>
      </x:c>
      <x:c r="T418" s="330" t="n">
        <x:v>0.9</x:v>
      </x:c>
      <x:c r="U418" s="330" t="n">
        <x:v>0</x:v>
      </x:c>
      <x:c r="V418" s="331" t="str">
        <x:v>seconds</x:v>
      </x:c>
      <x:c r="W418" s="332" t="str">
        <x:f>'Readiness'!K51</x:f>
      </x:c>
      <x:c r="X418" s="314" t="n">
        <x:f>'Readiness'!L51</x:f>
        <x:v>1</x:v>
      </x:c>
      <x:c r="Y418" s="315" t="n">
        <x:f>IF(J418="Mobility",N418,MAX(1,ROUND(N418*X418,0)))</x:f>
        <x:v>2</x:v>
      </x:c>
      <x:c r="Z418" s="333" t="n">
        <x:f>0</x:f>
        <x:v>0</x:v>
      </x:c>
      <x:c r="AA418" s="334"/>
      <x:c r="AB418" s="334"/>
      <x:c r="AC418" s="334"/>
      <x:c r="AD418" s="334"/>
      <x:c r="AE418" s="334"/>
      <x:c r="AF418" s="334"/>
      <x:c r="AG418" s="334"/>
      <x:c r="AH418" s="334"/>
      <x:c r="AI418" s="334"/>
      <x:c r="AJ418" s="312"/>
      <x:c r="AK418" s="312"/>
      <x:c r="AL418" s="312"/>
      <x:c r="AM418" s="312"/>
      <x:c r="AN418" s="312"/>
      <x:c r="AO418" s="315" t="n">
        <x:f>COUNT(AB418,AD418,AF418,AH418,AJ418)</x:f>
        <x:v>0</x:v>
      </x:c>
      <x:c r="AP418" s="315" t="n">
        <x:f>SUM(AB418,AD418,AF418,AH418,AJ418)</x:f>
        <x:v>0</x:v>
      </x:c>
      <x:c r="AQ418" s="333" t="n">
        <x:f>AA418*AB418+AC418*AD418+AE418*AF418+AG418*AH418+AI418*AJ418</x:f>
        <x:v>0</x:v>
      </x:c>
      <x:c r="AR418" s="333" t="n">
        <x:f>IF(OR(J418="Strength",J418="Hypertrophy"),MAX(IF(AB418&gt;0,AA418*(1+AB418/30),0),IF(AD418&gt;0,AC418*(1+AD418/30),0),IF(AF418&gt;0,AE418*(1+AF418/30),0),IF(AH418&gt;0,AG418*(1+AH418/30),0),IF(AJ418&gt;0,AI418*(1+AJ418/30),0)),0)</x:f>
        <x:v>0</x:v>
      </x:c>
      <x:c r="AS418" s="315" t="str">
        <x:f>IF(AN418&lt;&gt;"Yes","Not logged",IF(AL418&gt;='Setup'!$B$14,"STOP / MODIFY",IF(Z418=0,"Complete",IF(OR(AO418=0,AK418=""),"Add set data + RIR",IF(AND(MAX(AB418,AD418,AF418,AH418,AJ418)&gt;=P418,AK418&gt;=Q418+1),"Progress",IF(OR(MAX(AB418,AD418,AF418,AH418,AJ418)&lt;O418,AK418&lt;Q418-1),"Regress","Hold"))))))</x:f>
        <x:v>Not logged</x:v>
      </x:c>
      <x:c r="AT418" s="335" t="n">
        <x:f>IF(OR(Z418=0,AN418&lt;&gt;"Yes",AO418=0,AK418=""),0,IF(AL418&gt;='Setup'!$B$14,-2*'Setup'!$B$11,IF(AND(MAX(AB418,AD418,AF418,AH418,AJ418)&gt;=P418,AK418&gt;=Q418+1),'Setup'!$B$10,IF(OR(MAX(AB418,AD418,AF418,AH418,AJ418)&lt;O418,AK418&lt;Q418-1),-'Setup'!$B$11,0))))</x:f>
        <x:v>0</x:v>
      </x:c>
      <x:c r="AU418" s="333" t="n">
        <x:f>IF(Z418=0,0,IF(AN418&lt;&gt;"Yes",Z418,IF(COUNT(AA418,AC418,AE418,AG418,AI418)=0,Z418,ROUND((MAX(AA418,AC418,AE418,AG418,AI418)*(1+AT418))/'Setup'!$B$9,0)*'Setup'!$B$9)))</x:f>
        <x:v>0</x:v>
      </x:c>
      <x:c r="AV418" s="336"/>
    </x:row>
    <x:row r="419">
      <x:c r="A419" s="310" t="n">
        <x:f>'Setup'!$B$3+(C419-1)*7+(D419-1)</x:f>
        <x:v>46296</x:v>
      </x:c>
      <x:c r="B419" s="311" t="str">
        <x:v>8|4|1</x:v>
      </x:c>
      <x:c r="C419" s="311" t="n">
        <x:v>8</x:v>
      </x:c>
      <x:c r="D419" s="311" t="n">
        <x:v>4</x:v>
      </x:c>
      <x:c r="E419" s="311" t="str">
        <x:v>Deload 2</x:v>
      </x:c>
      <x:c r="F419" s="311" t="str">
        <x:v>Push Hypertrophy</x:v>
      </x:c>
      <x:c r="G419" s="311" t="str">
        <x:v>Chest, delts, and triceps volume</x:v>
      </x:c>
      <x:c r="H419" s="311" t="n">
        <x:v>1</x:v>
      </x:c>
      <x:c r="I419" s="311" t="str">
        <x:v>Incline Dumbbell Bench Press</x:v>
      </x:c>
      <x:c r="J419" s="311" t="str">
        <x:v>Hypertrophy</x:v>
      </x:c>
      <x:c r="K419" s="311" t="str">
        <x:v>Chest</x:v>
      </x:c>
      <x:c r="L419" s="311" t="str">
        <x:v>Straight sets, crisp reps only</x:v>
      </x:c>
      <x:c r="M419" s="311" t="str"/>
      <x:c r="N419" s="311" t="n">
        <x:v>2</x:v>
      </x:c>
      <x:c r="O419" s="311" t="n">
        <x:v>8</x:v>
      </x:c>
      <x:c r="P419" s="311" t="n">
        <x:v>12</x:v>
      </x:c>
      <x:c r="Q419" s="311" t="n">
        <x:v>4</x:v>
      </x:c>
      <x:c r="R419" s="311" t="n">
        <x:v>90</x:v>
      </x:c>
      <x:c r="S419" s="311" t="str">
        <x:v>3-0-1</x:v>
      </x:c>
      <x:c r="T419" s="330" t="n">
        <x:v>0.9</x:v>
      </x:c>
      <x:c r="U419" s="330" t="n">
        <x:v>0</x:v>
      </x:c>
      <x:c r="V419" s="331" t="str">
        <x:v>load × reps</x:v>
      </x:c>
      <x:c r="W419" s="332" t="str">
        <x:f>'Readiness'!K52</x:f>
      </x:c>
      <x:c r="X419" s="314" t="n">
        <x:f>'Readiness'!L52</x:f>
        <x:v>1</x:v>
      </x:c>
      <x:c r="Y419" s="315" t="n">
        <x:f>IF(J419="Mobility",N419,MAX(1,ROUND(N419*X419,0)))</x:f>
        <x:v>2</x:v>
      </x:c>
      <x:c r="Z419" s="333" t="n">
        <x:f>ROUND((IF(AU366&gt;0,AU366,IF(Z366&gt;0,Z366,'Setup'!$D$50))*T419)/'Setup'!$B$9,0)*'Setup'!$B$9</x:f>
        <x:v>0</x:v>
      </x:c>
      <x:c r="AA419" s="334"/>
      <x:c r="AB419" s="334"/>
      <x:c r="AC419" s="334"/>
      <x:c r="AD419" s="334"/>
      <x:c r="AE419" s="334"/>
      <x:c r="AF419" s="334"/>
      <x:c r="AG419" s="334"/>
      <x:c r="AH419" s="334"/>
      <x:c r="AI419" s="334"/>
      <x:c r="AJ419" s="312"/>
      <x:c r="AK419" s="312"/>
      <x:c r="AL419" s="312"/>
      <x:c r="AM419" s="312"/>
      <x:c r="AN419" s="312"/>
      <x:c r="AO419" s="315" t="n">
        <x:f>COUNT(AB419,AD419,AF419,AH419,AJ419)</x:f>
        <x:v>0</x:v>
      </x:c>
      <x:c r="AP419" s="315" t="n">
        <x:f>SUM(AB419,AD419,AF419,AH419,AJ419)</x:f>
        <x:v>0</x:v>
      </x:c>
      <x:c r="AQ419" s="333" t="n">
        <x:f>AA419*AB419+AC419*AD419+AE419*AF419+AG419*AH419+AI419*AJ419</x:f>
        <x:v>0</x:v>
      </x:c>
      <x:c r="AR419" s="333" t="n">
        <x:f>IF(OR(J419="Strength",J419="Hypertrophy"),MAX(IF(AB419&gt;0,AA419*(1+AB419/30),0),IF(AD419&gt;0,AC419*(1+AD419/30),0),IF(AF419&gt;0,AE419*(1+AF419/30),0),IF(AH419&gt;0,AG419*(1+AH419/30),0),IF(AJ419&gt;0,AI419*(1+AJ419/30),0)),0)</x:f>
        <x:v>0</x:v>
      </x:c>
      <x:c r="AS419" s="315" t="str">
        <x:f>IF(AN419&lt;&gt;"Yes","Not logged",IF(AL419&gt;='Setup'!$B$14,"STOP / MODIFY",IF(Z419=0,"Complete",IF(OR(AO419=0,AK419=""),"Add set data + RIR",IF(AND(MAX(AB419,AD419,AF419,AH419,AJ419)&gt;=P419,AK419&gt;=Q419+1),"Progress",IF(OR(MAX(AB419,AD419,AF419,AH419,AJ419)&lt;O419,AK419&lt;Q419-1),"Regress","Hold"))))))</x:f>
        <x:v>Not logged</x:v>
      </x:c>
      <x:c r="AT419" s="335" t="n">
        <x:f>IF(OR(Z419=0,AN419&lt;&gt;"Yes",AO419=0,AK419=""),0,IF(AL419&gt;='Setup'!$B$14,-2*'Setup'!$B$11,IF(AND(MAX(AB419,AD419,AF419,AH419,AJ419)&gt;=P419,AK419&gt;=Q419+1),'Setup'!$B$10,IF(OR(MAX(AB419,AD419,AF419,AH419,AJ419)&lt;O419,AK419&lt;Q419-1),-'Setup'!$B$11,0))))</x:f>
        <x:v>0</x:v>
      </x:c>
      <x:c r="AU419" s="333" t="n">
        <x:f>IF(Z419=0,0,IF(AN419&lt;&gt;"Yes",Z419,IF(COUNT(AA419,AC419,AE419,AG419,AI419)=0,Z419,ROUND((MAX(AA419,AC419,AE419,AG419,AI419)*(1+AT419))/'Setup'!$B$9,0)*'Setup'!$B$9)))</x:f>
        <x:v>0</x:v>
      </x:c>
      <x:c r="AV419" s="336"/>
    </x:row>
    <x:row r="420">
      <x:c r="A420" s="310" t="n">
        <x:f>'Setup'!$B$3+(C420-1)*7+(D420-1)</x:f>
        <x:v>46296</x:v>
      </x:c>
      <x:c r="B420" s="311" t="str">
        <x:v>8|4|2</x:v>
      </x:c>
      <x:c r="C420" s="311" t="n">
        <x:v>8</x:v>
      </x:c>
      <x:c r="D420" s="311" t="n">
        <x:v>4</x:v>
      </x:c>
      <x:c r="E420" s="311" t="str">
        <x:v>Deload 2</x:v>
      </x:c>
      <x:c r="F420" s="311" t="str">
        <x:v>Push Hypertrophy</x:v>
      </x:c>
      <x:c r="G420" s="311" t="str">
        <x:v>Chest, delts, and triceps volume</x:v>
      </x:c>
      <x:c r="H420" s="311" t="n">
        <x:v>2</x:v>
      </x:c>
      <x:c r="I420" s="311" t="str">
        <x:v>Machine Chest Press</x:v>
      </x:c>
      <x:c r="J420" s="311" t="str">
        <x:v>Hypertrophy</x:v>
      </x:c>
      <x:c r="K420" s="311" t="str">
        <x:v>Chest</x:v>
      </x:c>
      <x:c r="L420" s="311" t="str">
        <x:v>Straight sets, crisp reps only</x:v>
      </x:c>
      <x:c r="M420" s="311" t="str"/>
      <x:c r="N420" s="311" t="n">
        <x:v>2</x:v>
      </x:c>
      <x:c r="O420" s="311" t="n">
        <x:v>10</x:v>
      </x:c>
      <x:c r="P420" s="311" t="n">
        <x:v>15</x:v>
      </x:c>
      <x:c r="Q420" s="311" t="n">
        <x:v>4</x:v>
      </x:c>
      <x:c r="R420" s="311" t="n">
        <x:v>75</x:v>
      </x:c>
      <x:c r="S420" s="311" t="str">
        <x:v>2-1-1</x:v>
      </x:c>
      <x:c r="T420" s="330" t="n">
        <x:v>0.9</x:v>
      </x:c>
      <x:c r="U420" s="330" t="n">
        <x:v>0</x:v>
      </x:c>
      <x:c r="V420" s="331" t="str">
        <x:v>load × reps</x:v>
      </x:c>
      <x:c r="W420" s="332" t="str">
        <x:f>'Readiness'!K52</x:f>
      </x:c>
      <x:c r="X420" s="314" t="n">
        <x:f>'Readiness'!L52</x:f>
        <x:v>1</x:v>
      </x:c>
      <x:c r="Y420" s="315" t="n">
        <x:f>IF(J420="Mobility",N420,MAX(1,ROUND(N420*X420,0)))</x:f>
        <x:v>2</x:v>
      </x:c>
      <x:c r="Z420" s="333" t="n">
        <x:f>ROUND((IF(AU367&gt;0,AU367,IF(Z367&gt;0,Z367,'Setup'!$D$60))*T420)/'Setup'!$B$9,0)*'Setup'!$B$9</x:f>
        <x:v>0</x:v>
      </x:c>
      <x:c r="AA420" s="334"/>
      <x:c r="AB420" s="334"/>
      <x:c r="AC420" s="334"/>
      <x:c r="AD420" s="334"/>
      <x:c r="AE420" s="334"/>
      <x:c r="AF420" s="334"/>
      <x:c r="AG420" s="334"/>
      <x:c r="AH420" s="334"/>
      <x:c r="AI420" s="334"/>
      <x:c r="AJ420" s="312"/>
      <x:c r="AK420" s="312"/>
      <x:c r="AL420" s="312"/>
      <x:c r="AM420" s="312"/>
      <x:c r="AN420" s="312"/>
      <x:c r="AO420" s="315" t="n">
        <x:f>COUNT(AB420,AD420,AF420,AH420,AJ420)</x:f>
        <x:v>0</x:v>
      </x:c>
      <x:c r="AP420" s="315" t="n">
        <x:f>SUM(AB420,AD420,AF420,AH420,AJ420)</x:f>
        <x:v>0</x:v>
      </x:c>
      <x:c r="AQ420" s="333" t="n">
        <x:f>AA420*AB420+AC420*AD420+AE420*AF420+AG420*AH420+AI420*AJ420</x:f>
        <x:v>0</x:v>
      </x:c>
      <x:c r="AR420" s="333" t="n">
        <x:f>IF(OR(J420="Strength",J420="Hypertrophy"),MAX(IF(AB420&gt;0,AA420*(1+AB420/30),0),IF(AD420&gt;0,AC420*(1+AD420/30),0),IF(AF420&gt;0,AE420*(1+AF420/30),0),IF(AH420&gt;0,AG420*(1+AH420/30),0),IF(AJ420&gt;0,AI420*(1+AJ420/30),0)),0)</x:f>
        <x:v>0</x:v>
      </x:c>
      <x:c r="AS420" s="315" t="str">
        <x:f>IF(AN420&lt;&gt;"Yes","Not logged",IF(AL420&gt;='Setup'!$B$14,"STOP / MODIFY",IF(Z420=0,"Complete",IF(OR(AO420=0,AK420=""),"Add set data + RIR",IF(AND(MAX(AB420,AD420,AF420,AH420,AJ420)&gt;=P420,AK420&gt;=Q420+1),"Progress",IF(OR(MAX(AB420,AD420,AF420,AH420,AJ420)&lt;O420,AK420&lt;Q420-1),"Regress","Hold"))))))</x:f>
        <x:v>Not logged</x:v>
      </x:c>
      <x:c r="AT420" s="335" t="n">
        <x:f>IF(OR(Z420=0,AN420&lt;&gt;"Yes",AO420=0,AK420=""),0,IF(AL420&gt;='Setup'!$B$14,-2*'Setup'!$B$11,IF(AND(MAX(AB420,AD420,AF420,AH420,AJ420)&gt;=P420,AK420&gt;=Q420+1),'Setup'!$B$10,IF(OR(MAX(AB420,AD420,AF420,AH420,AJ420)&lt;O420,AK420&lt;Q420-1),-'Setup'!$B$11,0))))</x:f>
        <x:v>0</x:v>
      </x:c>
      <x:c r="AU420" s="333" t="n">
        <x:f>IF(Z420=0,0,IF(AN420&lt;&gt;"Yes",Z420,IF(COUNT(AA420,AC420,AE420,AG420,AI420)=0,Z420,ROUND((MAX(AA420,AC420,AE420,AG420,AI420)*(1+AT420))/'Setup'!$B$9,0)*'Setup'!$B$9)))</x:f>
        <x:v>0</x:v>
      </x:c>
      <x:c r="AV420" s="336"/>
    </x:row>
    <x:row r="421">
      <x:c r="A421" s="310" t="n">
        <x:f>'Setup'!$B$3+(C421-1)*7+(D421-1)</x:f>
        <x:v>46296</x:v>
      </x:c>
      <x:c r="B421" s="311" t="str">
        <x:v>8|4|3</x:v>
      </x:c>
      <x:c r="C421" s="311" t="n">
        <x:v>8</x:v>
      </x:c>
      <x:c r="D421" s="311" t="n">
        <x:v>4</x:v>
      </x:c>
      <x:c r="E421" s="311" t="str">
        <x:v>Deload 2</x:v>
      </x:c>
      <x:c r="F421" s="311" t="str">
        <x:v>Push Hypertrophy</x:v>
      </x:c>
      <x:c r="G421" s="311" t="str">
        <x:v>Chest, delts, and triceps volume</x:v>
      </x:c>
      <x:c r="H421" s="311" t="n">
        <x:v>3</x:v>
      </x:c>
      <x:c r="I421" s="311" t="str">
        <x:v>Seated Dumbbell Shoulder Press</x:v>
      </x:c>
      <x:c r="J421" s="311" t="str">
        <x:v>Hypertrophy</x:v>
      </x:c>
      <x:c r="K421" s="311" t="str">
        <x:v>Shoulders</x:v>
      </x:c>
      <x:c r="L421" s="311" t="str">
        <x:v>Straight sets, crisp reps only</x:v>
      </x:c>
      <x:c r="M421" s="311" t="str"/>
      <x:c r="N421" s="311" t="n">
        <x:v>2</x:v>
      </x:c>
      <x:c r="O421" s="311" t="n">
        <x:v>8</x:v>
      </x:c>
      <x:c r="P421" s="311" t="n">
        <x:v>12</x:v>
      </x:c>
      <x:c r="Q421" s="311" t="n">
        <x:v>4</x:v>
      </x:c>
      <x:c r="R421" s="311" t="n">
        <x:v>90</x:v>
      </x:c>
      <x:c r="S421" s="311" t="str">
        <x:v>2-0-1</x:v>
      </x:c>
      <x:c r="T421" s="330" t="n">
        <x:v>0.9</x:v>
      </x:c>
      <x:c r="U421" s="330" t="n">
        <x:v>0</x:v>
      </x:c>
      <x:c r="V421" s="331" t="str">
        <x:v>load × reps</x:v>
      </x:c>
      <x:c r="W421" s="332" t="str">
        <x:f>'Readiness'!K52</x:f>
      </x:c>
      <x:c r="X421" s="314" t="n">
        <x:f>'Readiness'!L52</x:f>
        <x:v>1</x:v>
      </x:c>
      <x:c r="Y421" s="315" t="n">
        <x:f>IF(J421="Mobility",N421,MAX(1,ROUND(N421*X421,0)))</x:f>
        <x:v>2</x:v>
      </x:c>
      <x:c r="Z421" s="333" t="n">
        <x:f>ROUND((IF(AU368&gt;0,AU368,IF(Z368&gt;0,Z368,'Setup'!$D$83))*T421)/'Setup'!$B$9,0)*'Setup'!$B$9</x:f>
        <x:v>0</x:v>
      </x:c>
      <x:c r="AA421" s="334"/>
      <x:c r="AB421" s="334"/>
      <x:c r="AC421" s="334"/>
      <x:c r="AD421" s="334"/>
      <x:c r="AE421" s="334"/>
      <x:c r="AF421" s="334"/>
      <x:c r="AG421" s="334"/>
      <x:c r="AH421" s="334"/>
      <x:c r="AI421" s="334"/>
      <x:c r="AJ421" s="312"/>
      <x:c r="AK421" s="312"/>
      <x:c r="AL421" s="312"/>
      <x:c r="AM421" s="312"/>
      <x:c r="AN421" s="312"/>
      <x:c r="AO421" s="315" t="n">
        <x:f>COUNT(AB421,AD421,AF421,AH421,AJ421)</x:f>
        <x:v>0</x:v>
      </x:c>
      <x:c r="AP421" s="315" t="n">
        <x:f>SUM(AB421,AD421,AF421,AH421,AJ421)</x:f>
        <x:v>0</x:v>
      </x:c>
      <x:c r="AQ421" s="333" t="n">
        <x:f>AA421*AB421+AC421*AD421+AE421*AF421+AG421*AH421+AI421*AJ421</x:f>
        <x:v>0</x:v>
      </x:c>
      <x:c r="AR421" s="333" t="n">
        <x:f>IF(OR(J421="Strength",J421="Hypertrophy"),MAX(IF(AB421&gt;0,AA421*(1+AB421/30),0),IF(AD421&gt;0,AC421*(1+AD421/30),0),IF(AF421&gt;0,AE421*(1+AF421/30),0),IF(AH421&gt;0,AG421*(1+AH421/30),0),IF(AJ421&gt;0,AI421*(1+AJ421/30),0)),0)</x:f>
        <x:v>0</x:v>
      </x:c>
      <x:c r="AS421" s="315" t="str">
        <x:f>IF(AN421&lt;&gt;"Yes","Not logged",IF(AL421&gt;='Setup'!$B$14,"STOP / MODIFY",IF(Z421=0,"Complete",IF(OR(AO421=0,AK421=""),"Add set data + RIR",IF(AND(MAX(AB421,AD421,AF421,AH421,AJ421)&gt;=P421,AK421&gt;=Q421+1),"Progress",IF(OR(MAX(AB421,AD421,AF421,AH421,AJ421)&lt;O421,AK421&lt;Q421-1),"Regress","Hold"))))))</x:f>
        <x:v>Not logged</x:v>
      </x:c>
      <x:c r="AT421" s="335" t="n">
        <x:f>IF(OR(Z421=0,AN421&lt;&gt;"Yes",AO421=0,AK421=""),0,IF(AL421&gt;='Setup'!$B$14,-2*'Setup'!$B$11,IF(AND(MAX(AB421,AD421,AF421,AH421,AJ421)&gt;=P421,AK421&gt;=Q421+1),'Setup'!$B$10,IF(OR(MAX(AB421,AD421,AF421,AH421,AJ421)&lt;O421,AK421&lt;Q421-1),-'Setup'!$B$11,0))))</x:f>
        <x:v>0</x:v>
      </x:c>
      <x:c r="AU421" s="333" t="n">
        <x:f>IF(Z421=0,0,IF(AN421&lt;&gt;"Yes",Z421,IF(COUNT(AA421,AC421,AE421,AG421,AI421)=0,Z421,ROUND((MAX(AA421,AC421,AE421,AG421,AI421)*(1+AT421))/'Setup'!$B$9,0)*'Setup'!$B$9)))</x:f>
        <x:v>0</x:v>
      </x:c>
      <x:c r="AV421" s="336"/>
    </x:row>
    <x:row r="422">
      <x:c r="A422" s="310" t="n">
        <x:f>'Setup'!$B$3+(C422-1)*7+(D422-1)</x:f>
        <x:v>46296</x:v>
      </x:c>
      <x:c r="B422" s="311" t="str">
        <x:v>8|4|4</x:v>
      </x:c>
      <x:c r="C422" s="311" t="n">
        <x:v>8</x:v>
      </x:c>
      <x:c r="D422" s="311" t="n">
        <x:v>4</x:v>
      </x:c>
      <x:c r="E422" s="311" t="str">
        <x:v>Deload 2</x:v>
      </x:c>
      <x:c r="F422" s="311" t="str">
        <x:v>Push Hypertrophy</x:v>
      </x:c>
      <x:c r="G422" s="311" t="str">
        <x:v>Chest, delts, and triceps volume</x:v>
      </x:c>
      <x:c r="H422" s="311" t="n">
        <x:v>4</x:v>
      </x:c>
      <x:c r="I422" s="311" t="str">
        <x:v>Cable Fly</x:v>
      </x:c>
      <x:c r="J422" s="311" t="str">
        <x:v>Hypertrophy</x:v>
      </x:c>
      <x:c r="K422" s="311" t="str">
        <x:v>Chest</x:v>
      </x:c>
      <x:c r="L422" s="311" t="str">
        <x:v>Straight sets, crisp reps only</x:v>
      </x:c>
      <x:c r="M422" s="311" t="str">
        <x:v>A1</x:v>
      </x:c>
      <x:c r="N422" s="311" t="n">
        <x:v>2</x:v>
      </x:c>
      <x:c r="O422" s="311" t="n">
        <x:v>12</x:v>
      </x:c>
      <x:c r="P422" s="311" t="n">
        <x:v>15</x:v>
      </x:c>
      <x:c r="Q422" s="311" t="n">
        <x:v>4</x:v>
      </x:c>
      <x:c r="R422" s="311" t="n">
        <x:v>30</x:v>
      </x:c>
      <x:c r="S422" s="311" t="str">
        <x:v>2-1-2</x:v>
      </x:c>
      <x:c r="T422" s="330" t="n">
        <x:v>0.9</x:v>
      </x:c>
      <x:c r="U422" s="330" t="n">
        <x:v>0</x:v>
      </x:c>
      <x:c r="V422" s="331" t="str">
        <x:v>load × reps</x:v>
      </x:c>
      <x:c r="W422" s="332" t="str">
        <x:f>'Readiness'!K52</x:f>
      </x:c>
      <x:c r="X422" s="314" t="n">
        <x:f>'Readiness'!L52</x:f>
        <x:v>1</x:v>
      </x:c>
      <x:c r="Y422" s="315" t="n">
        <x:f>IF(J422="Mobility",N422,MAX(1,ROUND(N422*X422,0)))</x:f>
        <x:v>2</x:v>
      </x:c>
      <x:c r="Z422" s="333" t="n">
        <x:f>ROUND((IF(AU369&gt;0,AU369,IF(Z369&gt;0,Z369,'Setup'!$D$31))*T422)/'Setup'!$B$9,0)*'Setup'!$B$9</x:f>
        <x:v>0</x:v>
      </x:c>
      <x:c r="AA422" s="334"/>
      <x:c r="AB422" s="334"/>
      <x:c r="AC422" s="334"/>
      <x:c r="AD422" s="334"/>
      <x:c r="AE422" s="334"/>
      <x:c r="AF422" s="334"/>
      <x:c r="AG422" s="334"/>
      <x:c r="AH422" s="334"/>
      <x:c r="AI422" s="334"/>
      <x:c r="AJ422" s="312"/>
      <x:c r="AK422" s="312"/>
      <x:c r="AL422" s="312"/>
      <x:c r="AM422" s="312"/>
      <x:c r="AN422" s="312"/>
      <x:c r="AO422" s="315" t="n">
        <x:f>COUNT(AB422,AD422,AF422,AH422,AJ422)</x:f>
        <x:v>0</x:v>
      </x:c>
      <x:c r="AP422" s="315" t="n">
        <x:f>SUM(AB422,AD422,AF422,AH422,AJ422)</x:f>
        <x:v>0</x:v>
      </x:c>
      <x:c r="AQ422" s="333" t="n">
        <x:f>AA422*AB422+AC422*AD422+AE422*AF422+AG422*AH422+AI422*AJ422</x:f>
        <x:v>0</x:v>
      </x:c>
      <x:c r="AR422" s="333" t="n">
        <x:f>IF(OR(J422="Strength",J422="Hypertrophy"),MAX(IF(AB422&gt;0,AA422*(1+AB422/30),0),IF(AD422&gt;0,AC422*(1+AD422/30),0),IF(AF422&gt;0,AE422*(1+AF422/30),0),IF(AH422&gt;0,AG422*(1+AH422/30),0),IF(AJ422&gt;0,AI422*(1+AJ422/30),0)),0)</x:f>
        <x:v>0</x:v>
      </x:c>
      <x:c r="AS422" s="315" t="str">
        <x:f>IF(AN422&lt;&gt;"Yes","Not logged",IF(AL422&gt;='Setup'!$B$14,"STOP / MODIFY",IF(Z422=0,"Complete",IF(OR(AO422=0,AK422=""),"Add set data + RIR",IF(AND(MAX(AB422,AD422,AF422,AH422,AJ422)&gt;=P422,AK422&gt;=Q422+1),"Progress",IF(OR(MAX(AB422,AD422,AF422,AH422,AJ422)&lt;O422,AK422&lt;Q422-1),"Regress","Hold"))))))</x:f>
        <x:v>Not logged</x:v>
      </x:c>
      <x:c r="AT422" s="335" t="n">
        <x:f>IF(OR(Z422=0,AN422&lt;&gt;"Yes",AO422=0,AK422=""),0,IF(AL422&gt;='Setup'!$B$14,-2*'Setup'!$B$11,IF(AND(MAX(AB422,AD422,AF422,AH422,AJ422)&gt;=P422,AK422&gt;=Q422+1),'Setup'!$B$10,IF(OR(MAX(AB422,AD422,AF422,AH422,AJ422)&lt;O422,AK422&lt;Q422-1),-'Setup'!$B$11,0))))</x:f>
        <x:v>0</x:v>
      </x:c>
      <x:c r="AU422" s="333" t="n">
        <x:f>IF(Z422=0,0,IF(AN422&lt;&gt;"Yes",Z422,IF(COUNT(AA422,AC422,AE422,AG422,AI422)=0,Z422,ROUND((MAX(AA422,AC422,AE422,AG422,AI422)*(1+AT422))/'Setup'!$B$9,0)*'Setup'!$B$9)))</x:f>
        <x:v>0</x:v>
      </x:c>
      <x:c r="AV422" s="336"/>
    </x:row>
    <x:row r="423">
      <x:c r="A423" s="310" t="n">
        <x:f>'Setup'!$B$3+(C423-1)*7+(D423-1)</x:f>
        <x:v>46296</x:v>
      </x:c>
      <x:c r="B423" s="311" t="str">
        <x:v>8|4|5</x:v>
      </x:c>
      <x:c r="C423" s="311" t="n">
        <x:v>8</x:v>
      </x:c>
      <x:c r="D423" s="311" t="n">
        <x:v>4</x:v>
      </x:c>
      <x:c r="E423" s="311" t="str">
        <x:v>Deload 2</x:v>
      </x:c>
      <x:c r="F423" s="311" t="str">
        <x:v>Push Hypertrophy</x:v>
      </x:c>
      <x:c r="G423" s="311" t="str">
        <x:v>Chest, delts, and triceps volume</x:v>
      </x:c>
      <x:c r="H423" s="311" t="n">
        <x:v>5</x:v>
      </x:c>
      <x:c r="I423" s="311" t="str">
        <x:v>Cable Lateral Raise</x:v>
      </x:c>
      <x:c r="J423" s="311" t="str">
        <x:v>Hypertrophy</x:v>
      </x:c>
      <x:c r="K423" s="311" t="str">
        <x:v>Shoulders</x:v>
      </x:c>
      <x:c r="L423" s="311" t="str">
        <x:v>Straight sets, crisp reps only</x:v>
      </x:c>
      <x:c r="M423" s="311" t="str">
        <x:v>A2</x:v>
      </x:c>
      <x:c r="N423" s="311" t="n">
        <x:v>2</x:v>
      </x:c>
      <x:c r="O423" s="311" t="n">
        <x:v>12</x:v>
      </x:c>
      <x:c r="P423" s="311" t="n">
        <x:v>20</x:v>
      </x:c>
      <x:c r="Q423" s="311" t="n">
        <x:v>4</x:v>
      </x:c>
      <x:c r="R423" s="311" t="n">
        <x:v>30</x:v>
      </x:c>
      <x:c r="S423" s="311" t="str">
        <x:v>2-1-2</x:v>
      </x:c>
      <x:c r="T423" s="330" t="n">
        <x:v>0.9</x:v>
      </x:c>
      <x:c r="U423" s="330" t="n">
        <x:v>0</x:v>
      </x:c>
      <x:c r="V423" s="331" t="str">
        <x:v>load × reps</x:v>
      </x:c>
      <x:c r="W423" s="332" t="str">
        <x:f>'Readiness'!K52</x:f>
      </x:c>
      <x:c r="X423" s="314" t="n">
        <x:f>'Readiness'!L52</x:f>
        <x:v>1</x:v>
      </x:c>
      <x:c r="Y423" s="315" t="n">
        <x:f>IF(J423="Mobility",N423,MAX(1,ROUND(N423*X423,0)))</x:f>
        <x:v>2</x:v>
      </x:c>
      <x:c r="Z423" s="333" t="n">
        <x:f>ROUND((IF(AU370&gt;0,AU370,IF(Z370&gt;0,Z370,'Setup'!$D$33))*T423)/'Setup'!$B$9,0)*'Setup'!$B$9</x:f>
        <x:v>0</x:v>
      </x:c>
      <x:c r="AA423" s="334"/>
      <x:c r="AB423" s="334"/>
      <x:c r="AC423" s="334"/>
      <x:c r="AD423" s="334"/>
      <x:c r="AE423" s="334"/>
      <x:c r="AF423" s="334"/>
      <x:c r="AG423" s="334"/>
      <x:c r="AH423" s="334"/>
      <x:c r="AI423" s="334"/>
      <x:c r="AJ423" s="312"/>
      <x:c r="AK423" s="312"/>
      <x:c r="AL423" s="312"/>
      <x:c r="AM423" s="312"/>
      <x:c r="AN423" s="312"/>
      <x:c r="AO423" s="315" t="n">
        <x:f>COUNT(AB423,AD423,AF423,AH423,AJ423)</x:f>
        <x:v>0</x:v>
      </x:c>
      <x:c r="AP423" s="315" t="n">
        <x:f>SUM(AB423,AD423,AF423,AH423,AJ423)</x:f>
        <x:v>0</x:v>
      </x:c>
      <x:c r="AQ423" s="333" t="n">
        <x:f>AA423*AB423+AC423*AD423+AE423*AF423+AG423*AH423+AI423*AJ423</x:f>
        <x:v>0</x:v>
      </x:c>
      <x:c r="AR423" s="333" t="n">
        <x:f>IF(OR(J423="Strength",J423="Hypertrophy"),MAX(IF(AB423&gt;0,AA423*(1+AB423/30),0),IF(AD423&gt;0,AC423*(1+AD423/30),0),IF(AF423&gt;0,AE423*(1+AF423/30),0),IF(AH423&gt;0,AG423*(1+AH423/30),0),IF(AJ423&gt;0,AI423*(1+AJ423/30),0)),0)</x:f>
        <x:v>0</x:v>
      </x:c>
      <x:c r="AS423" s="315" t="str">
        <x:f>IF(AN423&lt;&gt;"Yes","Not logged",IF(AL423&gt;='Setup'!$B$14,"STOP / MODIFY",IF(Z423=0,"Complete",IF(OR(AO423=0,AK423=""),"Add set data + RIR",IF(AND(MAX(AB423,AD423,AF423,AH423,AJ423)&gt;=P423,AK423&gt;=Q423+1),"Progress",IF(OR(MAX(AB423,AD423,AF423,AH423,AJ423)&lt;O423,AK423&lt;Q423-1),"Regress","Hold"))))))</x:f>
        <x:v>Not logged</x:v>
      </x:c>
      <x:c r="AT423" s="335" t="n">
        <x:f>IF(OR(Z423=0,AN423&lt;&gt;"Yes",AO423=0,AK423=""),0,IF(AL423&gt;='Setup'!$B$14,-2*'Setup'!$B$11,IF(AND(MAX(AB423,AD423,AF423,AH423,AJ423)&gt;=P423,AK423&gt;=Q423+1),'Setup'!$B$10,IF(OR(MAX(AB423,AD423,AF423,AH423,AJ423)&lt;O423,AK423&lt;Q423-1),-'Setup'!$B$11,0))))</x:f>
        <x:v>0</x:v>
      </x:c>
      <x:c r="AU423" s="333" t="n">
        <x:f>IF(Z423=0,0,IF(AN423&lt;&gt;"Yes",Z423,IF(COUNT(AA423,AC423,AE423,AG423,AI423)=0,Z423,ROUND((MAX(AA423,AC423,AE423,AG423,AI423)*(1+AT423))/'Setup'!$B$9,0)*'Setup'!$B$9)))</x:f>
        <x:v>0</x:v>
      </x:c>
      <x:c r="AV423" s="336"/>
    </x:row>
    <x:row r="424">
      <x:c r="A424" s="310" t="n">
        <x:f>'Setup'!$B$3+(C424-1)*7+(D424-1)</x:f>
        <x:v>46296</x:v>
      </x:c>
      <x:c r="B424" s="311" t="str">
        <x:v>8|4|6</x:v>
      </x:c>
      <x:c r="C424" s="311" t="n">
        <x:v>8</x:v>
      </x:c>
      <x:c r="D424" s="311" t="n">
        <x:v>4</x:v>
      </x:c>
      <x:c r="E424" s="311" t="str">
        <x:v>Deload 2</x:v>
      </x:c>
      <x:c r="F424" s="311" t="str">
        <x:v>Push Hypertrophy</x:v>
      </x:c>
      <x:c r="G424" s="311" t="str">
        <x:v>Chest, delts, and triceps volume</x:v>
      </x:c>
      <x:c r="H424" s="311" t="n">
        <x:v>6</x:v>
      </x:c>
      <x:c r="I424" s="311" t="str">
        <x:v>Overhead Cable Triceps Extension</x:v>
      </x:c>
      <x:c r="J424" s="311" t="str">
        <x:v>Hypertrophy</x:v>
      </x:c>
      <x:c r="K424" s="311" t="str">
        <x:v>Triceps</x:v>
      </x:c>
      <x:c r="L424" s="311" t="str">
        <x:v>Straight sets, crisp reps only</x:v>
      </x:c>
      <x:c r="M424" s="311" t="str">
        <x:v>B1</x:v>
      </x:c>
      <x:c r="N424" s="311" t="n">
        <x:v>2</x:v>
      </x:c>
      <x:c r="O424" s="311" t="n">
        <x:v>10</x:v>
      </x:c>
      <x:c r="P424" s="311" t="n">
        <x:v>15</x:v>
      </x:c>
      <x:c r="Q424" s="311" t="n">
        <x:v>4</x:v>
      </x:c>
      <x:c r="R424" s="311" t="n">
        <x:v>30</x:v>
      </x:c>
      <x:c r="S424" s="311" t="str">
        <x:v>3-0-1</x:v>
      </x:c>
      <x:c r="T424" s="330" t="n">
        <x:v>0.9</x:v>
      </x:c>
      <x:c r="U424" s="330" t="n">
        <x:v>0</x:v>
      </x:c>
      <x:c r="V424" s="331" t="str">
        <x:v>load × reps</x:v>
      </x:c>
      <x:c r="W424" s="332" t="str">
        <x:f>'Readiness'!K52</x:f>
      </x:c>
      <x:c r="X424" s="314" t="n">
        <x:f>'Readiness'!L52</x:f>
        <x:v>1</x:v>
      </x:c>
      <x:c r="Y424" s="315" t="n">
        <x:f>IF(J424="Mobility",N424,MAX(1,ROUND(N424*X424,0)))</x:f>
        <x:v>2</x:v>
      </x:c>
      <x:c r="Z424" s="333" t="n">
        <x:f>ROUND((IF(AU371&gt;0,AU371,IF(Z371&gt;0,Z371,'Setup'!$D$69))*T424)/'Setup'!$B$9,0)*'Setup'!$B$9</x:f>
        <x:v>0</x:v>
      </x:c>
      <x:c r="AA424" s="334"/>
      <x:c r="AB424" s="334"/>
      <x:c r="AC424" s="334"/>
      <x:c r="AD424" s="334"/>
      <x:c r="AE424" s="334"/>
      <x:c r="AF424" s="334"/>
      <x:c r="AG424" s="334"/>
      <x:c r="AH424" s="334"/>
      <x:c r="AI424" s="334"/>
      <x:c r="AJ424" s="312"/>
      <x:c r="AK424" s="312"/>
      <x:c r="AL424" s="312"/>
      <x:c r="AM424" s="312"/>
      <x:c r="AN424" s="312"/>
      <x:c r="AO424" s="315" t="n">
        <x:f>COUNT(AB424,AD424,AF424,AH424,AJ424)</x:f>
        <x:v>0</x:v>
      </x:c>
      <x:c r="AP424" s="315" t="n">
        <x:f>SUM(AB424,AD424,AF424,AH424,AJ424)</x:f>
        <x:v>0</x:v>
      </x:c>
      <x:c r="AQ424" s="333" t="n">
        <x:f>AA424*AB424+AC424*AD424+AE424*AF424+AG424*AH424+AI424*AJ424</x:f>
        <x:v>0</x:v>
      </x:c>
      <x:c r="AR424" s="333" t="n">
        <x:f>IF(OR(J424="Strength",J424="Hypertrophy"),MAX(IF(AB424&gt;0,AA424*(1+AB424/30),0),IF(AD424&gt;0,AC424*(1+AD424/30),0),IF(AF424&gt;0,AE424*(1+AF424/30),0),IF(AH424&gt;0,AG424*(1+AH424/30),0),IF(AJ424&gt;0,AI424*(1+AJ424/30),0)),0)</x:f>
        <x:v>0</x:v>
      </x:c>
      <x:c r="AS424" s="315" t="str">
        <x:f>IF(AN424&lt;&gt;"Yes","Not logged",IF(AL424&gt;='Setup'!$B$14,"STOP / MODIFY",IF(Z424=0,"Complete",IF(OR(AO424=0,AK424=""),"Add set data + RIR",IF(AND(MAX(AB424,AD424,AF424,AH424,AJ424)&gt;=P424,AK424&gt;=Q424+1),"Progress",IF(OR(MAX(AB424,AD424,AF424,AH424,AJ424)&lt;O424,AK424&lt;Q424-1),"Regress","Hold"))))))</x:f>
        <x:v>Not logged</x:v>
      </x:c>
      <x:c r="AT424" s="335" t="n">
        <x:f>IF(OR(Z424=0,AN424&lt;&gt;"Yes",AO424=0,AK424=""),0,IF(AL424&gt;='Setup'!$B$14,-2*'Setup'!$B$11,IF(AND(MAX(AB424,AD424,AF424,AH424,AJ424)&gt;=P424,AK424&gt;=Q424+1),'Setup'!$B$10,IF(OR(MAX(AB424,AD424,AF424,AH424,AJ424)&lt;O424,AK424&lt;Q424-1),-'Setup'!$B$11,0))))</x:f>
        <x:v>0</x:v>
      </x:c>
      <x:c r="AU424" s="333" t="n">
        <x:f>IF(Z424=0,0,IF(AN424&lt;&gt;"Yes",Z424,IF(COUNT(AA424,AC424,AE424,AG424,AI424)=0,Z424,ROUND((MAX(AA424,AC424,AE424,AG424,AI424)*(1+AT424))/'Setup'!$B$9,0)*'Setup'!$B$9)))</x:f>
        <x:v>0</x:v>
      </x:c>
      <x:c r="AV424" s="336"/>
    </x:row>
    <x:row r="425">
      <x:c r="A425" s="310" t="n">
        <x:f>'Setup'!$B$3+(C425-1)*7+(D425-1)</x:f>
        <x:v>46296</x:v>
      </x:c>
      <x:c r="B425" s="311" t="str">
        <x:v>8|4|7</x:v>
      </x:c>
      <x:c r="C425" s="311" t="n">
        <x:v>8</x:v>
      </x:c>
      <x:c r="D425" s="311" t="n">
        <x:v>4</x:v>
      </x:c>
      <x:c r="E425" s="311" t="str">
        <x:v>Deload 2</x:v>
      </x:c>
      <x:c r="F425" s="311" t="str">
        <x:v>Push Hypertrophy</x:v>
      </x:c>
      <x:c r="G425" s="311" t="str">
        <x:v>Chest, delts, and triceps volume</x:v>
      </x:c>
      <x:c r="H425" s="311" t="n">
        <x:v>7</x:v>
      </x:c>
      <x:c r="I425" s="311" t="str">
        <x:v>Triceps Pressdown</x:v>
      </x:c>
      <x:c r="J425" s="311" t="str">
        <x:v>Hypertrophy</x:v>
      </x:c>
      <x:c r="K425" s="311" t="str">
        <x:v>Triceps</x:v>
      </x:c>
      <x:c r="L425" s="311" t="str">
        <x:v>Straight sets, crisp reps only</x:v>
      </x:c>
      <x:c r="M425" s="311" t="str">
        <x:v>B2</x:v>
      </x:c>
      <x:c r="N425" s="311" t="n">
        <x:v>2</x:v>
      </x:c>
      <x:c r="O425" s="311" t="n">
        <x:v>12</x:v>
      </x:c>
      <x:c r="P425" s="311" t="n">
        <x:v>15</x:v>
      </x:c>
      <x:c r="Q425" s="311" t="n">
        <x:v>4</x:v>
      </x:c>
      <x:c r="R425" s="311" t="n">
        <x:v>45</x:v>
      </x:c>
      <x:c r="S425" s="311" t="str">
        <x:v>2-1-1</x:v>
      </x:c>
      <x:c r="T425" s="330" t="n">
        <x:v>0.9</x:v>
      </x:c>
      <x:c r="U425" s="330" t="n">
        <x:v>0</x:v>
      </x:c>
      <x:c r="V425" s="331" t="str">
        <x:v>load × reps</x:v>
      </x:c>
      <x:c r="W425" s="332" t="str">
        <x:f>'Readiness'!K52</x:f>
      </x:c>
      <x:c r="X425" s="314" t="n">
        <x:f>'Readiness'!L52</x:f>
        <x:v>1</x:v>
      </x:c>
      <x:c r="Y425" s="315" t="n">
        <x:f>IF(J425="Mobility",N425,MAX(1,ROUND(N425*X425,0)))</x:f>
        <x:v>2</x:v>
      </x:c>
      <x:c r="Z425" s="333" t="n">
        <x:f>ROUND((IF(AU372&gt;0,AU372,IF(Z372&gt;0,Z372,'Setup'!$D$92))*T425)/'Setup'!$B$9,0)*'Setup'!$B$9</x:f>
        <x:v>0</x:v>
      </x:c>
      <x:c r="AA425" s="334"/>
      <x:c r="AB425" s="334"/>
      <x:c r="AC425" s="334"/>
      <x:c r="AD425" s="334"/>
      <x:c r="AE425" s="334"/>
      <x:c r="AF425" s="334"/>
      <x:c r="AG425" s="334"/>
      <x:c r="AH425" s="334"/>
      <x:c r="AI425" s="334"/>
      <x:c r="AJ425" s="312"/>
      <x:c r="AK425" s="312"/>
      <x:c r="AL425" s="312"/>
      <x:c r="AM425" s="312"/>
      <x:c r="AN425" s="312"/>
      <x:c r="AO425" s="315" t="n">
        <x:f>COUNT(AB425,AD425,AF425,AH425,AJ425)</x:f>
        <x:v>0</x:v>
      </x:c>
      <x:c r="AP425" s="315" t="n">
        <x:f>SUM(AB425,AD425,AF425,AH425,AJ425)</x:f>
        <x:v>0</x:v>
      </x:c>
      <x:c r="AQ425" s="333" t="n">
        <x:f>AA425*AB425+AC425*AD425+AE425*AF425+AG425*AH425+AI425*AJ425</x:f>
        <x:v>0</x:v>
      </x:c>
      <x:c r="AR425" s="333" t="n">
        <x:f>IF(OR(J425="Strength",J425="Hypertrophy"),MAX(IF(AB425&gt;0,AA425*(1+AB425/30),0),IF(AD425&gt;0,AC425*(1+AD425/30),0),IF(AF425&gt;0,AE425*(1+AF425/30),0),IF(AH425&gt;0,AG425*(1+AH425/30),0),IF(AJ425&gt;0,AI425*(1+AJ425/30),0)),0)</x:f>
        <x:v>0</x:v>
      </x:c>
      <x:c r="AS425" s="315" t="str">
        <x:f>IF(AN425&lt;&gt;"Yes","Not logged",IF(AL425&gt;='Setup'!$B$14,"STOP / MODIFY",IF(Z425=0,"Complete",IF(OR(AO425=0,AK425=""),"Add set data + RIR",IF(AND(MAX(AB425,AD425,AF425,AH425,AJ425)&gt;=P425,AK425&gt;=Q425+1),"Progress",IF(OR(MAX(AB425,AD425,AF425,AH425,AJ425)&lt;O425,AK425&lt;Q425-1),"Regress","Hold"))))))</x:f>
        <x:v>Not logged</x:v>
      </x:c>
      <x:c r="AT425" s="335" t="n">
        <x:f>IF(OR(Z425=0,AN425&lt;&gt;"Yes",AO425=0,AK425=""),0,IF(AL425&gt;='Setup'!$B$14,-2*'Setup'!$B$11,IF(AND(MAX(AB425,AD425,AF425,AH425,AJ425)&gt;=P425,AK425&gt;=Q425+1),'Setup'!$B$10,IF(OR(MAX(AB425,AD425,AF425,AH425,AJ425)&lt;O425,AK425&lt;Q425-1),-'Setup'!$B$11,0))))</x:f>
        <x:v>0</x:v>
      </x:c>
      <x:c r="AU425" s="333" t="n">
        <x:f>IF(Z425=0,0,IF(AN425&lt;&gt;"Yes",Z425,IF(COUNT(AA425,AC425,AE425,AG425,AI425)=0,Z425,ROUND((MAX(AA425,AC425,AE425,AG425,AI425)*(1+AT425))/'Setup'!$B$9,0)*'Setup'!$B$9)))</x:f>
        <x:v>0</x:v>
      </x:c>
      <x:c r="AV425" s="336"/>
    </x:row>
    <x:row r="426">
      <x:c r="A426" s="310" t="n">
        <x:f>'Setup'!$B$3+(C426-1)*7+(D426-1)</x:f>
        <x:v>46296</x:v>
      </x:c>
      <x:c r="B426" s="311" t="str">
        <x:v>8|4|8</x:v>
      </x:c>
      <x:c r="C426" s="311" t="n">
        <x:v>8</x:v>
      </x:c>
      <x:c r="D426" s="311" t="n">
        <x:v>4</x:v>
      </x:c>
      <x:c r="E426" s="311" t="str">
        <x:v>Deload 2</x:v>
      </x:c>
      <x:c r="F426" s="311" t="str">
        <x:v>Push Hypertrophy</x:v>
      </x:c>
      <x:c r="G426" s="311" t="str">
        <x:v>Chest, delts, and triceps volume</x:v>
      </x:c>
      <x:c r="H426" s="311" t="n">
        <x:v>8</x:v>
      </x:c>
      <x:c r="I426" s="311" t="str">
        <x:v>Doorway Pec Stretch</x:v>
      </x:c>
      <x:c r="J426" s="311" t="str">
        <x:v>Mobility</x:v>
      </x:c>
      <x:c r="K426" s="311" t="str">
        <x:v>Chest</x:v>
      </x:c>
      <x:c r="L426" s="311" t="str">
        <x:v>Straight sets, crisp reps only</x:v>
      </x:c>
      <x:c r="M426" s="311" t="str"/>
      <x:c r="N426" s="311" t="n">
        <x:v>2</x:v>
      </x:c>
      <x:c r="O426" s="311" t="n">
        <x:v>30</x:v>
      </x:c>
      <x:c r="P426" s="311" t="n">
        <x:v>45</x:v>
      </x:c>
      <x:c r="Q426" s="311" t="str"/>
      <x:c r="R426" s="311" t="n">
        <x:v>20</x:v>
      </x:c>
      <x:c r="S426" s="311" t="str">
        <x:v>Hold</x:v>
      </x:c>
      <x:c r="T426" s="330" t="n">
        <x:v>0.9</x:v>
      </x:c>
      <x:c r="U426" s="330" t="n">
        <x:v>0</x:v>
      </x:c>
      <x:c r="V426" s="331" t="str">
        <x:v>seconds</x:v>
      </x:c>
      <x:c r="W426" s="332" t="str">
        <x:f>'Readiness'!K52</x:f>
      </x:c>
      <x:c r="X426" s="314" t="n">
        <x:f>'Readiness'!L52</x:f>
        <x:v>1</x:v>
      </x:c>
      <x:c r="Y426" s="315" t="n">
        <x:f>IF(J426="Mobility",N426,MAX(1,ROUND(N426*X426,0)))</x:f>
        <x:v>2</x:v>
      </x:c>
      <x:c r="Z426" s="333" t="n">
        <x:f>0</x:f>
        <x:v>0</x:v>
      </x:c>
      <x:c r="AA426" s="334"/>
      <x:c r="AB426" s="334"/>
      <x:c r="AC426" s="334"/>
      <x:c r="AD426" s="334"/>
      <x:c r="AE426" s="334"/>
      <x:c r="AF426" s="334"/>
      <x:c r="AG426" s="334"/>
      <x:c r="AH426" s="334"/>
      <x:c r="AI426" s="334"/>
      <x:c r="AJ426" s="312"/>
      <x:c r="AK426" s="312"/>
      <x:c r="AL426" s="312"/>
      <x:c r="AM426" s="312"/>
      <x:c r="AN426" s="312"/>
      <x:c r="AO426" s="315" t="n">
        <x:f>COUNT(AB426,AD426,AF426,AH426,AJ426)</x:f>
        <x:v>0</x:v>
      </x:c>
      <x:c r="AP426" s="315" t="n">
        <x:f>SUM(AB426,AD426,AF426,AH426,AJ426)</x:f>
        <x:v>0</x:v>
      </x:c>
      <x:c r="AQ426" s="333" t="n">
        <x:f>AA426*AB426+AC426*AD426+AE426*AF426+AG426*AH426+AI426*AJ426</x:f>
        <x:v>0</x:v>
      </x:c>
      <x:c r="AR426" s="333" t="n">
        <x:f>IF(OR(J426="Strength",J426="Hypertrophy"),MAX(IF(AB426&gt;0,AA426*(1+AB426/30),0),IF(AD426&gt;0,AC426*(1+AD426/30),0),IF(AF426&gt;0,AE426*(1+AF426/30),0),IF(AH426&gt;0,AG426*(1+AH426/30),0),IF(AJ426&gt;0,AI426*(1+AJ426/30),0)),0)</x:f>
        <x:v>0</x:v>
      </x:c>
      <x:c r="AS426" s="315" t="str">
        <x:f>IF(AN426&lt;&gt;"Yes","Not logged",IF(AL426&gt;='Setup'!$B$14,"STOP / MODIFY",IF(Z426=0,"Complete",IF(OR(AO426=0,AK426=""),"Add set data + RIR",IF(AND(MAX(AB426,AD426,AF426,AH426,AJ426)&gt;=P426,AK426&gt;=Q426+1),"Progress",IF(OR(MAX(AB426,AD426,AF426,AH426,AJ426)&lt;O426,AK426&lt;Q426-1),"Regress","Hold"))))))</x:f>
        <x:v>Not logged</x:v>
      </x:c>
      <x:c r="AT426" s="335" t="n">
        <x:f>IF(OR(Z426=0,AN426&lt;&gt;"Yes",AO426=0,AK426=""),0,IF(AL426&gt;='Setup'!$B$14,-2*'Setup'!$B$11,IF(AND(MAX(AB426,AD426,AF426,AH426,AJ426)&gt;=P426,AK426&gt;=Q426+1),'Setup'!$B$10,IF(OR(MAX(AB426,AD426,AF426,AH426,AJ426)&lt;O426,AK426&lt;Q426-1),-'Setup'!$B$11,0))))</x:f>
        <x:v>0</x:v>
      </x:c>
      <x:c r="AU426" s="333" t="n">
        <x:f>IF(Z426=0,0,IF(AN426&lt;&gt;"Yes",Z426,IF(COUNT(AA426,AC426,AE426,AG426,AI426)=0,Z426,ROUND((MAX(AA426,AC426,AE426,AG426,AI426)*(1+AT426))/'Setup'!$B$9,0)*'Setup'!$B$9)))</x:f>
        <x:v>0</x:v>
      </x:c>
      <x:c r="AV426" s="336"/>
    </x:row>
    <x:row r="427">
      <x:c r="A427" s="310" t="n">
        <x:f>'Setup'!$B$3+(C427-1)*7+(D427-1)</x:f>
        <x:v>46297</x:v>
      </x:c>
      <x:c r="B427" s="311" t="str">
        <x:v>8|5|1</x:v>
      </x:c>
      <x:c r="C427" s="311" t="n">
        <x:v>8</x:v>
      </x:c>
      <x:c r="D427" s="311" t="n">
        <x:v>5</x:v>
      </x:c>
      <x:c r="E427" s="311" t="str">
        <x:v>Deload 2</x:v>
      </x:c>
      <x:c r="F427" s="311" t="str">
        <x:v>Pull Hypertrophy</x:v>
      </x:c>
      <x:c r="G427" s="311" t="str">
        <x:v>Back, rear delts, and biceps volume</x:v>
      </x:c>
      <x:c r="H427" s="311" t="n">
        <x:v>1</x:v>
      </x:c>
      <x:c r="I427" s="311" t="str">
        <x:v>Lat Pulldown</x:v>
      </x:c>
      <x:c r="J427" s="311" t="str">
        <x:v>Hypertrophy</x:v>
      </x:c>
      <x:c r="K427" s="311" t="str">
        <x:v>Back</x:v>
      </x:c>
      <x:c r="L427" s="311" t="str">
        <x:v>Straight sets, crisp reps only</x:v>
      </x:c>
      <x:c r="M427" s="311" t="str"/>
      <x:c r="N427" s="311" t="n">
        <x:v>2</x:v>
      </x:c>
      <x:c r="O427" s="311" t="n">
        <x:v>8</x:v>
      </x:c>
      <x:c r="P427" s="311" t="n">
        <x:v>12</x:v>
      </x:c>
      <x:c r="Q427" s="311" t="n">
        <x:v>4</x:v>
      </x:c>
      <x:c r="R427" s="311" t="n">
        <x:v>90</x:v>
      </x:c>
      <x:c r="S427" s="311" t="str">
        <x:v>2-1-1</x:v>
      </x:c>
      <x:c r="T427" s="330" t="n">
        <x:v>0.9</x:v>
      </x:c>
      <x:c r="U427" s="330" t="n">
        <x:v>0</x:v>
      </x:c>
      <x:c r="V427" s="331" t="str">
        <x:v>load × reps</x:v>
      </x:c>
      <x:c r="W427" s="332" t="str">
        <x:f>'Readiness'!K53</x:f>
      </x:c>
      <x:c r="X427" s="314" t="n">
        <x:f>'Readiness'!L53</x:f>
        <x:v>1</x:v>
      </x:c>
      <x:c r="Y427" s="315" t="n">
        <x:f>IF(J427="Mobility",N427,MAX(1,ROUND(N427*X427,0)))</x:f>
        <x:v>2</x:v>
      </x:c>
      <x:c r="Z427" s="333" t="n">
        <x:f>ROUND((IF(AU374&gt;0,AU374,IF(Z374&gt;0,Z374,'Setup'!$D$55))*T427)/'Setup'!$B$9,0)*'Setup'!$B$9</x:f>
        <x:v>0</x:v>
      </x:c>
      <x:c r="AA427" s="334"/>
      <x:c r="AB427" s="334"/>
      <x:c r="AC427" s="334"/>
      <x:c r="AD427" s="334"/>
      <x:c r="AE427" s="334"/>
      <x:c r="AF427" s="334"/>
      <x:c r="AG427" s="334"/>
      <x:c r="AH427" s="334"/>
      <x:c r="AI427" s="334"/>
      <x:c r="AJ427" s="312"/>
      <x:c r="AK427" s="312"/>
      <x:c r="AL427" s="312"/>
      <x:c r="AM427" s="312"/>
      <x:c r="AN427" s="312"/>
      <x:c r="AO427" s="315" t="n">
        <x:f>COUNT(AB427,AD427,AF427,AH427,AJ427)</x:f>
        <x:v>0</x:v>
      </x:c>
      <x:c r="AP427" s="315" t="n">
        <x:f>SUM(AB427,AD427,AF427,AH427,AJ427)</x:f>
        <x:v>0</x:v>
      </x:c>
      <x:c r="AQ427" s="333" t="n">
        <x:f>AA427*AB427+AC427*AD427+AE427*AF427+AG427*AH427+AI427*AJ427</x:f>
        <x:v>0</x:v>
      </x:c>
      <x:c r="AR427" s="333" t="n">
        <x:f>IF(OR(J427="Strength",J427="Hypertrophy"),MAX(IF(AB427&gt;0,AA427*(1+AB427/30),0),IF(AD427&gt;0,AC427*(1+AD427/30),0),IF(AF427&gt;0,AE427*(1+AF427/30),0),IF(AH427&gt;0,AG427*(1+AH427/30),0),IF(AJ427&gt;0,AI427*(1+AJ427/30),0)),0)</x:f>
        <x:v>0</x:v>
      </x:c>
      <x:c r="AS427" s="315" t="str">
        <x:f>IF(AN427&lt;&gt;"Yes","Not logged",IF(AL427&gt;='Setup'!$B$14,"STOP / MODIFY",IF(Z427=0,"Complete",IF(OR(AO427=0,AK427=""),"Add set data + RIR",IF(AND(MAX(AB427,AD427,AF427,AH427,AJ427)&gt;=P427,AK427&gt;=Q427+1),"Progress",IF(OR(MAX(AB427,AD427,AF427,AH427,AJ427)&lt;O427,AK427&lt;Q427-1),"Regress","Hold"))))))</x:f>
        <x:v>Not logged</x:v>
      </x:c>
      <x:c r="AT427" s="335" t="n">
        <x:f>IF(OR(Z427=0,AN427&lt;&gt;"Yes",AO427=0,AK427=""),0,IF(AL427&gt;='Setup'!$B$14,-2*'Setup'!$B$11,IF(AND(MAX(AB427,AD427,AF427,AH427,AJ427)&gt;=P427,AK427&gt;=Q427+1),'Setup'!$B$10,IF(OR(MAX(AB427,AD427,AF427,AH427,AJ427)&lt;O427,AK427&lt;Q427-1),-'Setup'!$B$11,0))))</x:f>
        <x:v>0</x:v>
      </x:c>
      <x:c r="AU427" s="333" t="n">
        <x:f>IF(Z427=0,0,IF(AN427&lt;&gt;"Yes",Z427,IF(COUNT(AA427,AC427,AE427,AG427,AI427)=0,Z427,ROUND((MAX(AA427,AC427,AE427,AG427,AI427)*(1+AT427))/'Setup'!$B$9,0)*'Setup'!$B$9)))</x:f>
        <x:v>0</x:v>
      </x:c>
      <x:c r="AV427" s="336"/>
    </x:row>
    <x:row r="428">
      <x:c r="A428" s="310" t="n">
        <x:f>'Setup'!$B$3+(C428-1)*7+(D428-1)</x:f>
        <x:v>46297</x:v>
      </x:c>
      <x:c r="B428" s="311" t="str">
        <x:v>8|5|2</x:v>
      </x:c>
      <x:c r="C428" s="311" t="n">
        <x:v>8</x:v>
      </x:c>
      <x:c r="D428" s="311" t="n">
        <x:v>5</x:v>
      </x:c>
      <x:c r="E428" s="311" t="str">
        <x:v>Deload 2</x:v>
      </x:c>
      <x:c r="F428" s="311" t="str">
        <x:v>Pull Hypertrophy</x:v>
      </x:c>
      <x:c r="G428" s="311" t="str">
        <x:v>Back, rear delts, and biceps volume</x:v>
      </x:c>
      <x:c r="H428" s="311" t="n">
        <x:v>2</x:v>
      </x:c>
      <x:c r="I428" s="311" t="str">
        <x:v>Chest-Supported Dumbbell Row</x:v>
      </x:c>
      <x:c r="J428" s="311" t="str">
        <x:v>Hypertrophy</x:v>
      </x:c>
      <x:c r="K428" s="311" t="str">
        <x:v>Back</x:v>
      </x:c>
      <x:c r="L428" s="311" t="str">
        <x:v>Straight sets, crisp reps only</x:v>
      </x:c>
      <x:c r="M428" s="311" t="str"/>
      <x:c r="N428" s="311" t="n">
        <x:v>2</x:v>
      </x:c>
      <x:c r="O428" s="311" t="n">
        <x:v>8</x:v>
      </x:c>
      <x:c r="P428" s="311" t="n">
        <x:v>12</x:v>
      </x:c>
      <x:c r="Q428" s="311" t="n">
        <x:v>4</x:v>
      </x:c>
      <x:c r="R428" s="311" t="n">
        <x:v>90</x:v>
      </x:c>
      <x:c r="S428" s="311" t="str">
        <x:v>2-1-1</x:v>
      </x:c>
      <x:c r="T428" s="330" t="n">
        <x:v>0.9</x:v>
      </x:c>
      <x:c r="U428" s="330" t="n">
        <x:v>0</x:v>
      </x:c>
      <x:c r="V428" s="331" t="str">
        <x:v>load × reps</x:v>
      </x:c>
      <x:c r="W428" s="332" t="str">
        <x:f>'Readiness'!K53</x:f>
      </x:c>
      <x:c r="X428" s="314" t="n">
        <x:f>'Readiness'!L53</x:f>
        <x:v>1</x:v>
      </x:c>
      <x:c r="Y428" s="315" t="n">
        <x:f>IF(J428="Mobility",N428,MAX(1,ROUND(N428*X428,0)))</x:f>
        <x:v>2</x:v>
      </x:c>
      <x:c r="Z428" s="333" t="n">
        <x:f>ROUND((IF(AU408&gt;0,AU408,IF(Z408&gt;0,Z408,'Setup'!$D$34))*T428)/'Setup'!$B$9,0)*'Setup'!$B$9</x:f>
        <x:v>0</x:v>
      </x:c>
      <x:c r="AA428" s="334"/>
      <x:c r="AB428" s="334"/>
      <x:c r="AC428" s="334"/>
      <x:c r="AD428" s="334"/>
      <x:c r="AE428" s="334"/>
      <x:c r="AF428" s="334"/>
      <x:c r="AG428" s="334"/>
      <x:c r="AH428" s="334"/>
      <x:c r="AI428" s="334"/>
      <x:c r="AJ428" s="312"/>
      <x:c r="AK428" s="312"/>
      <x:c r="AL428" s="312"/>
      <x:c r="AM428" s="312"/>
      <x:c r="AN428" s="312"/>
      <x:c r="AO428" s="315" t="n">
        <x:f>COUNT(AB428,AD428,AF428,AH428,AJ428)</x:f>
        <x:v>0</x:v>
      </x:c>
      <x:c r="AP428" s="315" t="n">
        <x:f>SUM(AB428,AD428,AF428,AH428,AJ428)</x:f>
        <x:v>0</x:v>
      </x:c>
      <x:c r="AQ428" s="333" t="n">
        <x:f>AA428*AB428+AC428*AD428+AE428*AF428+AG428*AH428+AI428*AJ428</x:f>
        <x:v>0</x:v>
      </x:c>
      <x:c r="AR428" s="333" t="n">
        <x:f>IF(OR(J428="Strength",J428="Hypertrophy"),MAX(IF(AB428&gt;0,AA428*(1+AB428/30),0),IF(AD428&gt;0,AC428*(1+AD428/30),0),IF(AF428&gt;0,AE428*(1+AF428/30),0),IF(AH428&gt;0,AG428*(1+AH428/30),0),IF(AJ428&gt;0,AI428*(1+AJ428/30),0)),0)</x:f>
        <x:v>0</x:v>
      </x:c>
      <x:c r="AS428" s="315" t="str">
        <x:f>IF(AN428&lt;&gt;"Yes","Not logged",IF(AL428&gt;='Setup'!$B$14,"STOP / MODIFY",IF(Z428=0,"Complete",IF(OR(AO428=0,AK428=""),"Add set data + RIR",IF(AND(MAX(AB428,AD428,AF428,AH428,AJ428)&gt;=P428,AK428&gt;=Q428+1),"Progress",IF(OR(MAX(AB428,AD428,AF428,AH428,AJ428)&lt;O428,AK428&lt;Q428-1),"Regress","Hold"))))))</x:f>
        <x:v>Not logged</x:v>
      </x:c>
      <x:c r="AT428" s="335" t="n">
        <x:f>IF(OR(Z428=0,AN428&lt;&gt;"Yes",AO428=0,AK428=""),0,IF(AL428&gt;='Setup'!$B$14,-2*'Setup'!$B$11,IF(AND(MAX(AB428,AD428,AF428,AH428,AJ428)&gt;=P428,AK428&gt;=Q428+1),'Setup'!$B$10,IF(OR(MAX(AB428,AD428,AF428,AH428,AJ428)&lt;O428,AK428&lt;Q428-1),-'Setup'!$B$11,0))))</x:f>
        <x:v>0</x:v>
      </x:c>
      <x:c r="AU428" s="333" t="n">
        <x:f>IF(Z428=0,0,IF(AN428&lt;&gt;"Yes",Z428,IF(COUNT(AA428,AC428,AE428,AG428,AI428)=0,Z428,ROUND((MAX(AA428,AC428,AE428,AG428,AI428)*(1+AT428))/'Setup'!$B$9,0)*'Setup'!$B$9)))</x:f>
        <x:v>0</x:v>
      </x:c>
      <x:c r="AV428" s="336"/>
    </x:row>
    <x:row r="429">
      <x:c r="A429" s="310" t="n">
        <x:f>'Setup'!$B$3+(C429-1)*7+(D429-1)</x:f>
        <x:v>46297</x:v>
      </x:c>
      <x:c r="B429" s="311" t="str">
        <x:v>8|5|3</x:v>
      </x:c>
      <x:c r="C429" s="311" t="n">
        <x:v>8</x:v>
      </x:c>
      <x:c r="D429" s="311" t="n">
        <x:v>5</x:v>
      </x:c>
      <x:c r="E429" s="311" t="str">
        <x:v>Deload 2</x:v>
      </x:c>
      <x:c r="F429" s="311" t="str">
        <x:v>Pull Hypertrophy</x:v>
      </x:c>
      <x:c r="G429" s="311" t="str">
        <x:v>Back, rear delts, and biceps volume</x:v>
      </x:c>
      <x:c r="H429" s="311" t="n">
        <x:v>3</x:v>
      </x:c>
      <x:c r="I429" s="311" t="str">
        <x:v>One-Arm Cable Row</x:v>
      </x:c>
      <x:c r="J429" s="311" t="str">
        <x:v>Hypertrophy</x:v>
      </x:c>
      <x:c r="K429" s="311" t="str">
        <x:v>Back</x:v>
      </x:c>
      <x:c r="L429" s="311" t="str">
        <x:v>Straight sets, crisp reps only</x:v>
      </x:c>
      <x:c r="M429" s="311" t="str"/>
      <x:c r="N429" s="311" t="n">
        <x:v>2</x:v>
      </x:c>
      <x:c r="O429" s="311" t="n">
        <x:v>10</x:v>
      </x:c>
      <x:c r="P429" s="311" t="n">
        <x:v>15</x:v>
      </x:c>
      <x:c r="Q429" s="311" t="n">
        <x:v>4</x:v>
      </x:c>
      <x:c r="R429" s="311" t="n">
        <x:v>75</x:v>
      </x:c>
      <x:c r="S429" s="311" t="str">
        <x:v>2-1-1</x:v>
      </x:c>
      <x:c r="T429" s="330" t="n">
        <x:v>0.9</x:v>
      </x:c>
      <x:c r="U429" s="330" t="n">
        <x:v>0</x:v>
      </x:c>
      <x:c r="V429" s="331" t="str">
        <x:v>load × reps</x:v>
      </x:c>
      <x:c r="W429" s="332" t="str">
        <x:f>'Readiness'!K53</x:f>
      </x:c>
      <x:c r="X429" s="314" t="n">
        <x:f>'Readiness'!L53</x:f>
        <x:v>1</x:v>
      </x:c>
      <x:c r="Y429" s="315" t="n">
        <x:f>IF(J429="Mobility",N429,MAX(1,ROUND(N429*X429,0)))</x:f>
        <x:v>2</x:v>
      </x:c>
      <x:c r="Z429" s="333" t="n">
        <x:f>ROUND((IF(AU376&gt;0,AU376,IF(Z376&gt;0,Z376,'Setup'!$D$67))*T429)/'Setup'!$B$9,0)*'Setup'!$B$9</x:f>
        <x:v>0</x:v>
      </x:c>
      <x:c r="AA429" s="334"/>
      <x:c r="AB429" s="334"/>
      <x:c r="AC429" s="334"/>
      <x:c r="AD429" s="334"/>
      <x:c r="AE429" s="334"/>
      <x:c r="AF429" s="334"/>
      <x:c r="AG429" s="334"/>
      <x:c r="AH429" s="334"/>
      <x:c r="AI429" s="334"/>
      <x:c r="AJ429" s="312"/>
      <x:c r="AK429" s="312"/>
      <x:c r="AL429" s="312"/>
      <x:c r="AM429" s="312"/>
      <x:c r="AN429" s="312"/>
      <x:c r="AO429" s="315" t="n">
        <x:f>COUNT(AB429,AD429,AF429,AH429,AJ429)</x:f>
        <x:v>0</x:v>
      </x:c>
      <x:c r="AP429" s="315" t="n">
        <x:f>SUM(AB429,AD429,AF429,AH429,AJ429)</x:f>
        <x:v>0</x:v>
      </x:c>
      <x:c r="AQ429" s="333" t="n">
        <x:f>AA429*AB429+AC429*AD429+AE429*AF429+AG429*AH429+AI429*AJ429</x:f>
        <x:v>0</x:v>
      </x:c>
      <x:c r="AR429" s="333" t="n">
        <x:f>IF(OR(J429="Strength",J429="Hypertrophy"),MAX(IF(AB429&gt;0,AA429*(1+AB429/30),0),IF(AD429&gt;0,AC429*(1+AD429/30),0),IF(AF429&gt;0,AE429*(1+AF429/30),0),IF(AH429&gt;0,AG429*(1+AH429/30),0),IF(AJ429&gt;0,AI429*(1+AJ429/30),0)),0)</x:f>
        <x:v>0</x:v>
      </x:c>
      <x:c r="AS429" s="315" t="str">
        <x:f>IF(AN429&lt;&gt;"Yes","Not logged",IF(AL429&gt;='Setup'!$B$14,"STOP / MODIFY",IF(Z429=0,"Complete",IF(OR(AO429=0,AK429=""),"Add set data + RIR",IF(AND(MAX(AB429,AD429,AF429,AH429,AJ429)&gt;=P429,AK429&gt;=Q429+1),"Progress",IF(OR(MAX(AB429,AD429,AF429,AH429,AJ429)&lt;O429,AK429&lt;Q429-1),"Regress","Hold"))))))</x:f>
        <x:v>Not logged</x:v>
      </x:c>
      <x:c r="AT429" s="335" t="n">
        <x:f>IF(OR(Z429=0,AN429&lt;&gt;"Yes",AO429=0,AK429=""),0,IF(AL429&gt;='Setup'!$B$14,-2*'Setup'!$B$11,IF(AND(MAX(AB429,AD429,AF429,AH429,AJ429)&gt;=P429,AK429&gt;=Q429+1),'Setup'!$B$10,IF(OR(MAX(AB429,AD429,AF429,AH429,AJ429)&lt;O429,AK429&lt;Q429-1),-'Setup'!$B$11,0))))</x:f>
        <x:v>0</x:v>
      </x:c>
      <x:c r="AU429" s="333" t="n">
        <x:f>IF(Z429=0,0,IF(AN429&lt;&gt;"Yes",Z429,IF(COUNT(AA429,AC429,AE429,AG429,AI429)=0,Z429,ROUND((MAX(AA429,AC429,AE429,AG429,AI429)*(1+AT429))/'Setup'!$B$9,0)*'Setup'!$B$9)))</x:f>
        <x:v>0</x:v>
      </x:c>
      <x:c r="AV429" s="336"/>
    </x:row>
    <x:row r="430">
      <x:c r="A430" s="310" t="n">
        <x:f>'Setup'!$B$3+(C430-1)*7+(D430-1)</x:f>
        <x:v>46297</x:v>
      </x:c>
      <x:c r="B430" s="311" t="str">
        <x:v>8|5|4</x:v>
      </x:c>
      <x:c r="C430" s="311" t="n">
        <x:v>8</x:v>
      </x:c>
      <x:c r="D430" s="311" t="n">
        <x:v>5</x:v>
      </x:c>
      <x:c r="E430" s="311" t="str">
        <x:v>Deload 2</x:v>
      </x:c>
      <x:c r="F430" s="311" t="str">
        <x:v>Pull Hypertrophy</x:v>
      </x:c>
      <x:c r="G430" s="311" t="str">
        <x:v>Back, rear delts, and biceps volume</x:v>
      </x:c>
      <x:c r="H430" s="311" t="n">
        <x:v>4</x:v>
      </x:c>
      <x:c r="I430" s="311" t="str">
        <x:v>Straight-Arm Pulldown</x:v>
      </x:c>
      <x:c r="J430" s="311" t="str">
        <x:v>Hypertrophy</x:v>
      </x:c>
      <x:c r="K430" s="311" t="str">
        <x:v>Back</x:v>
      </x:c>
      <x:c r="L430" s="311" t="str">
        <x:v>Straight sets, crisp reps only</x:v>
      </x:c>
      <x:c r="M430" s="311" t="str"/>
      <x:c r="N430" s="311" t="n">
        <x:v>2</x:v>
      </x:c>
      <x:c r="O430" s="311" t="n">
        <x:v>12</x:v>
      </x:c>
      <x:c r="P430" s="311" t="n">
        <x:v>15</x:v>
      </x:c>
      <x:c r="Q430" s="311" t="n">
        <x:v>4</x:v>
      </x:c>
      <x:c r="R430" s="311" t="n">
        <x:v>60</x:v>
      </x:c>
      <x:c r="S430" s="311" t="str">
        <x:v>3-1-1</x:v>
      </x:c>
      <x:c r="T430" s="330" t="n">
        <x:v>0.9</x:v>
      </x:c>
      <x:c r="U430" s="330" t="n">
        <x:v>0</x:v>
      </x:c>
      <x:c r="V430" s="331" t="str">
        <x:v>load × reps</x:v>
      </x:c>
      <x:c r="W430" s="332" t="str">
        <x:f>'Readiness'!K53</x:f>
      </x:c>
      <x:c r="X430" s="314" t="n">
        <x:f>'Readiness'!L53</x:f>
        <x:v>1</x:v>
      </x:c>
      <x:c r="Y430" s="315" t="n">
        <x:f>IF(J430="Mobility",N430,MAX(1,ROUND(N430*X430,0)))</x:f>
        <x:v>2</x:v>
      </x:c>
      <x:c r="Z430" s="333" t="n">
        <x:f>ROUND((IF(AU377&gt;0,AU377,IF(Z377&gt;0,Z377,'Setup'!$D$91))*T430)/'Setup'!$B$9,0)*'Setup'!$B$9</x:f>
        <x:v>0</x:v>
      </x:c>
      <x:c r="AA430" s="334"/>
      <x:c r="AB430" s="334"/>
      <x:c r="AC430" s="334"/>
      <x:c r="AD430" s="334"/>
      <x:c r="AE430" s="334"/>
      <x:c r="AF430" s="334"/>
      <x:c r="AG430" s="334"/>
      <x:c r="AH430" s="334"/>
      <x:c r="AI430" s="334"/>
      <x:c r="AJ430" s="312"/>
      <x:c r="AK430" s="312"/>
      <x:c r="AL430" s="312"/>
      <x:c r="AM430" s="312"/>
      <x:c r="AN430" s="312"/>
      <x:c r="AO430" s="315" t="n">
        <x:f>COUNT(AB430,AD430,AF430,AH430,AJ430)</x:f>
        <x:v>0</x:v>
      </x:c>
      <x:c r="AP430" s="315" t="n">
        <x:f>SUM(AB430,AD430,AF430,AH430,AJ430)</x:f>
        <x:v>0</x:v>
      </x:c>
      <x:c r="AQ430" s="333" t="n">
        <x:f>AA430*AB430+AC430*AD430+AE430*AF430+AG430*AH430+AI430*AJ430</x:f>
        <x:v>0</x:v>
      </x:c>
      <x:c r="AR430" s="333" t="n">
        <x:f>IF(OR(J430="Strength",J430="Hypertrophy"),MAX(IF(AB430&gt;0,AA430*(1+AB430/30),0),IF(AD430&gt;0,AC430*(1+AD430/30),0),IF(AF430&gt;0,AE430*(1+AF430/30),0),IF(AH430&gt;0,AG430*(1+AH430/30),0),IF(AJ430&gt;0,AI430*(1+AJ430/30),0)),0)</x:f>
        <x:v>0</x:v>
      </x:c>
      <x:c r="AS430" s="315" t="str">
        <x:f>IF(AN430&lt;&gt;"Yes","Not logged",IF(AL430&gt;='Setup'!$B$14,"STOP / MODIFY",IF(Z430=0,"Complete",IF(OR(AO430=0,AK430=""),"Add set data + RIR",IF(AND(MAX(AB430,AD430,AF430,AH430,AJ430)&gt;=P430,AK430&gt;=Q430+1),"Progress",IF(OR(MAX(AB430,AD430,AF430,AH430,AJ430)&lt;O430,AK430&lt;Q430-1),"Regress","Hold"))))))</x:f>
        <x:v>Not logged</x:v>
      </x:c>
      <x:c r="AT430" s="335" t="n">
        <x:f>IF(OR(Z430=0,AN430&lt;&gt;"Yes",AO430=0,AK430=""),0,IF(AL430&gt;='Setup'!$B$14,-2*'Setup'!$B$11,IF(AND(MAX(AB430,AD430,AF430,AH430,AJ430)&gt;=P430,AK430&gt;=Q430+1),'Setup'!$B$10,IF(OR(MAX(AB430,AD430,AF430,AH430,AJ430)&lt;O430,AK430&lt;Q430-1),-'Setup'!$B$11,0))))</x:f>
        <x:v>0</x:v>
      </x:c>
      <x:c r="AU430" s="333" t="n">
        <x:f>IF(Z430=0,0,IF(AN430&lt;&gt;"Yes",Z430,IF(COUNT(AA430,AC430,AE430,AG430,AI430)=0,Z430,ROUND((MAX(AA430,AC430,AE430,AG430,AI430)*(1+AT430))/'Setup'!$B$9,0)*'Setup'!$B$9)))</x:f>
        <x:v>0</x:v>
      </x:c>
      <x:c r="AV430" s="336"/>
    </x:row>
    <x:row r="431">
      <x:c r="A431" s="310" t="n">
        <x:f>'Setup'!$B$3+(C431-1)*7+(D431-1)</x:f>
        <x:v>46297</x:v>
      </x:c>
      <x:c r="B431" s="311" t="str">
        <x:v>8|5|5</x:v>
      </x:c>
      <x:c r="C431" s="311" t="n">
        <x:v>8</x:v>
      </x:c>
      <x:c r="D431" s="311" t="n">
        <x:v>5</x:v>
      </x:c>
      <x:c r="E431" s="311" t="str">
        <x:v>Deload 2</x:v>
      </x:c>
      <x:c r="F431" s="311" t="str">
        <x:v>Pull Hypertrophy</x:v>
      </x:c>
      <x:c r="G431" s="311" t="str">
        <x:v>Back, rear delts, and biceps volume</x:v>
      </x:c>
      <x:c r="H431" s="311" t="n">
        <x:v>5</x:v>
      </x:c>
      <x:c r="I431" s="311" t="str">
        <x:v>Rear Delt Cable Fly</x:v>
      </x:c>
      <x:c r="J431" s="311" t="str">
        <x:v>Hypertrophy</x:v>
      </x:c>
      <x:c r="K431" s="311" t="str">
        <x:v>Rear Delts</x:v>
      </x:c>
      <x:c r="L431" s="311" t="str">
        <x:v>Straight sets, crisp reps only</x:v>
      </x:c>
      <x:c r="M431" s="311" t="str"/>
      <x:c r="N431" s="311" t="n">
        <x:v>2</x:v>
      </x:c>
      <x:c r="O431" s="311" t="n">
        <x:v>15</x:v>
      </x:c>
      <x:c r="P431" s="311" t="n">
        <x:v>20</x:v>
      </x:c>
      <x:c r="Q431" s="311" t="n">
        <x:v>4</x:v>
      </x:c>
      <x:c r="R431" s="311" t="n">
        <x:v>45</x:v>
      </x:c>
      <x:c r="S431" s="311" t="str">
        <x:v>2-1-2</x:v>
      </x:c>
      <x:c r="T431" s="330" t="n">
        <x:v>0.9</x:v>
      </x:c>
      <x:c r="U431" s="330" t="n">
        <x:v>0</x:v>
      </x:c>
      <x:c r="V431" s="331" t="str">
        <x:v>load × reps</x:v>
      </x:c>
      <x:c r="W431" s="332" t="str">
        <x:f>'Readiness'!K53</x:f>
      </x:c>
      <x:c r="X431" s="314" t="n">
        <x:f>'Readiness'!L53</x:f>
        <x:v>1</x:v>
      </x:c>
      <x:c r="Y431" s="315" t="n">
        <x:f>IF(J431="Mobility",N431,MAX(1,ROUND(N431*X431,0)))</x:f>
        <x:v>2</x:v>
      </x:c>
      <x:c r="Z431" s="333" t="n">
        <x:f>ROUND((IF(AU378&gt;0,AU378,IF(Z378&gt;0,Z378,'Setup'!$D$78))*T431)/'Setup'!$B$9,0)*'Setup'!$B$9</x:f>
        <x:v>0</x:v>
      </x:c>
      <x:c r="AA431" s="334"/>
      <x:c r="AB431" s="334"/>
      <x:c r="AC431" s="334"/>
      <x:c r="AD431" s="334"/>
      <x:c r="AE431" s="334"/>
      <x:c r="AF431" s="334"/>
      <x:c r="AG431" s="334"/>
      <x:c r="AH431" s="334"/>
      <x:c r="AI431" s="334"/>
      <x:c r="AJ431" s="312"/>
      <x:c r="AK431" s="312"/>
      <x:c r="AL431" s="312"/>
      <x:c r="AM431" s="312"/>
      <x:c r="AN431" s="312"/>
      <x:c r="AO431" s="315" t="n">
        <x:f>COUNT(AB431,AD431,AF431,AH431,AJ431)</x:f>
        <x:v>0</x:v>
      </x:c>
      <x:c r="AP431" s="315" t="n">
        <x:f>SUM(AB431,AD431,AF431,AH431,AJ431)</x:f>
        <x:v>0</x:v>
      </x:c>
      <x:c r="AQ431" s="333" t="n">
        <x:f>AA431*AB431+AC431*AD431+AE431*AF431+AG431*AH431+AI431*AJ431</x:f>
        <x:v>0</x:v>
      </x:c>
      <x:c r="AR431" s="333" t="n">
        <x:f>IF(OR(J431="Strength",J431="Hypertrophy"),MAX(IF(AB431&gt;0,AA431*(1+AB431/30),0),IF(AD431&gt;0,AC431*(1+AD431/30),0),IF(AF431&gt;0,AE431*(1+AF431/30),0),IF(AH431&gt;0,AG431*(1+AH431/30),0),IF(AJ431&gt;0,AI431*(1+AJ431/30),0)),0)</x:f>
        <x:v>0</x:v>
      </x:c>
      <x:c r="AS431" s="315" t="str">
        <x:f>IF(AN431&lt;&gt;"Yes","Not logged",IF(AL431&gt;='Setup'!$B$14,"STOP / MODIFY",IF(Z431=0,"Complete",IF(OR(AO431=0,AK431=""),"Add set data + RIR",IF(AND(MAX(AB431,AD431,AF431,AH431,AJ431)&gt;=P431,AK431&gt;=Q431+1),"Progress",IF(OR(MAX(AB431,AD431,AF431,AH431,AJ431)&lt;O431,AK431&lt;Q431-1),"Regress","Hold"))))))</x:f>
        <x:v>Not logged</x:v>
      </x:c>
      <x:c r="AT431" s="335" t="n">
        <x:f>IF(OR(Z431=0,AN431&lt;&gt;"Yes",AO431=0,AK431=""),0,IF(AL431&gt;='Setup'!$B$14,-2*'Setup'!$B$11,IF(AND(MAX(AB431,AD431,AF431,AH431,AJ431)&gt;=P431,AK431&gt;=Q431+1),'Setup'!$B$10,IF(OR(MAX(AB431,AD431,AF431,AH431,AJ431)&lt;O431,AK431&lt;Q431-1),-'Setup'!$B$11,0))))</x:f>
        <x:v>0</x:v>
      </x:c>
      <x:c r="AU431" s="333" t="n">
        <x:f>IF(Z431=0,0,IF(AN431&lt;&gt;"Yes",Z431,IF(COUNT(AA431,AC431,AE431,AG431,AI431)=0,Z431,ROUND((MAX(AA431,AC431,AE431,AG431,AI431)*(1+AT431))/'Setup'!$B$9,0)*'Setup'!$B$9)))</x:f>
        <x:v>0</x:v>
      </x:c>
      <x:c r="AV431" s="336"/>
    </x:row>
    <x:row r="432">
      <x:c r="A432" s="310" t="n">
        <x:f>'Setup'!$B$3+(C432-1)*7+(D432-1)</x:f>
        <x:v>46297</x:v>
      </x:c>
      <x:c r="B432" s="311" t="str">
        <x:v>8|5|6</x:v>
      </x:c>
      <x:c r="C432" s="311" t="n">
        <x:v>8</x:v>
      </x:c>
      <x:c r="D432" s="311" t="n">
        <x:v>5</x:v>
      </x:c>
      <x:c r="E432" s="311" t="str">
        <x:v>Deload 2</x:v>
      </x:c>
      <x:c r="F432" s="311" t="str">
        <x:v>Pull Hypertrophy</x:v>
      </x:c>
      <x:c r="G432" s="311" t="str">
        <x:v>Back, rear delts, and biceps volume</x:v>
      </x:c>
      <x:c r="H432" s="311" t="n">
        <x:v>6</x:v>
      </x:c>
      <x:c r="I432" s="311" t="str">
        <x:v>EZ-Bar Curl</x:v>
      </x:c>
      <x:c r="J432" s="311" t="str">
        <x:v>Hypertrophy</x:v>
      </x:c>
      <x:c r="K432" s="311" t="str">
        <x:v>Biceps</x:v>
      </x:c>
      <x:c r="L432" s="311" t="str">
        <x:v>Straight sets, crisp reps only</x:v>
      </x:c>
      <x:c r="M432" s="311" t="str"/>
      <x:c r="N432" s="311" t="n">
        <x:v>2</x:v>
      </x:c>
      <x:c r="O432" s="311" t="n">
        <x:v>8</x:v>
      </x:c>
      <x:c r="P432" s="311" t="n">
        <x:v>12</x:v>
      </x:c>
      <x:c r="Q432" s="311" t="n">
        <x:v>4</x:v>
      </x:c>
      <x:c r="R432" s="311" t="n">
        <x:v>60</x:v>
      </x:c>
      <x:c r="S432" s="311" t="str">
        <x:v>3-0-1</x:v>
      </x:c>
      <x:c r="T432" s="330" t="n">
        <x:v>0.9</x:v>
      </x:c>
      <x:c r="U432" s="330" t="n">
        <x:v>0</x:v>
      </x:c>
      <x:c r="V432" s="331" t="str">
        <x:v>load × reps</x:v>
      </x:c>
      <x:c r="W432" s="332" t="str">
        <x:f>'Readiness'!K53</x:f>
      </x:c>
      <x:c r="X432" s="314" t="n">
        <x:f>'Readiness'!L53</x:f>
        <x:v>1</x:v>
      </x:c>
      <x:c r="Y432" s="315" t="n">
        <x:f>IF(J432="Mobility",N432,MAX(1,ROUND(N432*X432,0)))</x:f>
        <x:v>2</x:v>
      </x:c>
      <x:c r="Z432" s="333" t="n">
        <x:f>ROUND((IF(AU379&gt;0,AU379,IF(Z379&gt;0,Z379,'Setup'!$D$40))*T432)/'Setup'!$B$9,0)*'Setup'!$B$9</x:f>
        <x:v>0</x:v>
      </x:c>
      <x:c r="AA432" s="334"/>
      <x:c r="AB432" s="334"/>
      <x:c r="AC432" s="334"/>
      <x:c r="AD432" s="334"/>
      <x:c r="AE432" s="334"/>
      <x:c r="AF432" s="334"/>
      <x:c r="AG432" s="334"/>
      <x:c r="AH432" s="334"/>
      <x:c r="AI432" s="334"/>
      <x:c r="AJ432" s="312"/>
      <x:c r="AK432" s="312"/>
      <x:c r="AL432" s="312"/>
      <x:c r="AM432" s="312"/>
      <x:c r="AN432" s="312"/>
      <x:c r="AO432" s="315" t="n">
        <x:f>COUNT(AB432,AD432,AF432,AH432,AJ432)</x:f>
        <x:v>0</x:v>
      </x:c>
      <x:c r="AP432" s="315" t="n">
        <x:f>SUM(AB432,AD432,AF432,AH432,AJ432)</x:f>
        <x:v>0</x:v>
      </x:c>
      <x:c r="AQ432" s="333" t="n">
        <x:f>AA432*AB432+AC432*AD432+AE432*AF432+AG432*AH432+AI432*AJ432</x:f>
        <x:v>0</x:v>
      </x:c>
      <x:c r="AR432" s="333" t="n">
        <x:f>IF(OR(J432="Strength",J432="Hypertrophy"),MAX(IF(AB432&gt;0,AA432*(1+AB432/30),0),IF(AD432&gt;0,AC432*(1+AD432/30),0),IF(AF432&gt;0,AE432*(1+AF432/30),0),IF(AH432&gt;0,AG432*(1+AH432/30),0),IF(AJ432&gt;0,AI432*(1+AJ432/30),0)),0)</x:f>
        <x:v>0</x:v>
      </x:c>
      <x:c r="AS432" s="315" t="str">
        <x:f>IF(AN432&lt;&gt;"Yes","Not logged",IF(AL432&gt;='Setup'!$B$14,"STOP / MODIFY",IF(Z432=0,"Complete",IF(OR(AO432=0,AK432=""),"Add set data + RIR",IF(AND(MAX(AB432,AD432,AF432,AH432,AJ432)&gt;=P432,AK432&gt;=Q432+1),"Progress",IF(OR(MAX(AB432,AD432,AF432,AH432,AJ432)&lt;O432,AK432&lt;Q432-1),"Regress","Hold"))))))</x:f>
        <x:v>Not logged</x:v>
      </x:c>
      <x:c r="AT432" s="335" t="n">
        <x:f>IF(OR(Z432=0,AN432&lt;&gt;"Yes",AO432=0,AK432=""),0,IF(AL432&gt;='Setup'!$B$14,-2*'Setup'!$B$11,IF(AND(MAX(AB432,AD432,AF432,AH432,AJ432)&gt;=P432,AK432&gt;=Q432+1),'Setup'!$B$10,IF(OR(MAX(AB432,AD432,AF432,AH432,AJ432)&lt;O432,AK432&lt;Q432-1),-'Setup'!$B$11,0))))</x:f>
        <x:v>0</x:v>
      </x:c>
      <x:c r="AU432" s="333" t="n">
        <x:f>IF(Z432=0,0,IF(AN432&lt;&gt;"Yes",Z432,IF(COUNT(AA432,AC432,AE432,AG432,AI432)=0,Z432,ROUND((MAX(AA432,AC432,AE432,AG432,AI432)*(1+AT432))/'Setup'!$B$9,0)*'Setup'!$B$9)))</x:f>
        <x:v>0</x:v>
      </x:c>
      <x:c r="AV432" s="336"/>
    </x:row>
    <x:row r="433">
      <x:c r="A433" s="310" t="n">
        <x:f>'Setup'!$B$3+(C433-1)*7+(D433-1)</x:f>
        <x:v>46297</x:v>
      </x:c>
      <x:c r="B433" s="311" t="str">
        <x:v>8|5|7</x:v>
      </x:c>
      <x:c r="C433" s="311" t="n">
        <x:v>8</x:v>
      </x:c>
      <x:c r="D433" s="311" t="n">
        <x:v>5</x:v>
      </x:c>
      <x:c r="E433" s="311" t="str">
        <x:v>Deload 2</x:v>
      </x:c>
      <x:c r="F433" s="311" t="str">
        <x:v>Pull Hypertrophy</x:v>
      </x:c>
      <x:c r="G433" s="311" t="str">
        <x:v>Back, rear delts, and biceps volume</x:v>
      </x:c>
      <x:c r="H433" s="311" t="n">
        <x:v>7</x:v>
      </x:c>
      <x:c r="I433" s="311" t="str">
        <x:v>Incline Dumbbell Curl</x:v>
      </x:c>
      <x:c r="J433" s="311" t="str">
        <x:v>Hypertrophy</x:v>
      </x:c>
      <x:c r="K433" s="311" t="str">
        <x:v>Biceps</x:v>
      </x:c>
      <x:c r="L433" s="311" t="str">
        <x:v>Straight sets, crisp reps only</x:v>
      </x:c>
      <x:c r="M433" s="311" t="str"/>
      <x:c r="N433" s="311" t="n">
        <x:v>2</x:v>
      </x:c>
      <x:c r="O433" s="311" t="n">
        <x:v>10</x:v>
      </x:c>
      <x:c r="P433" s="311" t="n">
        <x:v>15</x:v>
      </x:c>
      <x:c r="Q433" s="311" t="n">
        <x:v>4</x:v>
      </x:c>
      <x:c r="R433" s="311" t="n">
        <x:v>60</x:v>
      </x:c>
      <x:c r="S433" s="311" t="str">
        <x:v>3-1-1</x:v>
      </x:c>
      <x:c r="T433" s="330" t="n">
        <x:v>0.9</x:v>
      </x:c>
      <x:c r="U433" s="330" t="n">
        <x:v>0</x:v>
      </x:c>
      <x:c r="V433" s="331" t="str">
        <x:v>load × reps</x:v>
      </x:c>
      <x:c r="W433" s="332" t="str">
        <x:f>'Readiness'!K53</x:f>
      </x:c>
      <x:c r="X433" s="314" t="n">
        <x:f>'Readiness'!L53</x:f>
        <x:v>1</x:v>
      </x:c>
      <x:c r="Y433" s="315" t="n">
        <x:f>IF(J433="Mobility",N433,MAX(1,ROUND(N433*X433,0)))</x:f>
        <x:v>2</x:v>
      </x:c>
      <x:c r="Z433" s="333" t="n">
        <x:f>ROUND((IF(AU380&gt;0,AU380,IF(Z380&gt;0,Z380,'Setup'!$D$51))*T433)/'Setup'!$B$9,0)*'Setup'!$B$9</x:f>
        <x:v>0</x:v>
      </x:c>
      <x:c r="AA433" s="334"/>
      <x:c r="AB433" s="334"/>
      <x:c r="AC433" s="334"/>
      <x:c r="AD433" s="334"/>
      <x:c r="AE433" s="334"/>
      <x:c r="AF433" s="334"/>
      <x:c r="AG433" s="334"/>
      <x:c r="AH433" s="334"/>
      <x:c r="AI433" s="334"/>
      <x:c r="AJ433" s="312"/>
      <x:c r="AK433" s="312"/>
      <x:c r="AL433" s="312"/>
      <x:c r="AM433" s="312"/>
      <x:c r="AN433" s="312"/>
      <x:c r="AO433" s="315" t="n">
        <x:f>COUNT(AB433,AD433,AF433,AH433,AJ433)</x:f>
        <x:v>0</x:v>
      </x:c>
      <x:c r="AP433" s="315" t="n">
        <x:f>SUM(AB433,AD433,AF433,AH433,AJ433)</x:f>
        <x:v>0</x:v>
      </x:c>
      <x:c r="AQ433" s="333" t="n">
        <x:f>AA433*AB433+AC433*AD433+AE433*AF433+AG433*AH433+AI433*AJ433</x:f>
        <x:v>0</x:v>
      </x:c>
      <x:c r="AR433" s="333" t="n">
        <x:f>IF(OR(J433="Strength",J433="Hypertrophy"),MAX(IF(AB433&gt;0,AA433*(1+AB433/30),0),IF(AD433&gt;0,AC433*(1+AD433/30),0),IF(AF433&gt;0,AE433*(1+AF433/30),0),IF(AH433&gt;0,AG433*(1+AH433/30),0),IF(AJ433&gt;0,AI433*(1+AJ433/30),0)),0)</x:f>
        <x:v>0</x:v>
      </x:c>
      <x:c r="AS433" s="315" t="str">
        <x:f>IF(AN433&lt;&gt;"Yes","Not logged",IF(AL433&gt;='Setup'!$B$14,"STOP / MODIFY",IF(Z433=0,"Complete",IF(OR(AO433=0,AK433=""),"Add set data + RIR",IF(AND(MAX(AB433,AD433,AF433,AH433,AJ433)&gt;=P433,AK433&gt;=Q433+1),"Progress",IF(OR(MAX(AB433,AD433,AF433,AH433,AJ433)&lt;O433,AK433&lt;Q433-1),"Regress","Hold"))))))</x:f>
        <x:v>Not logged</x:v>
      </x:c>
      <x:c r="AT433" s="335" t="n">
        <x:f>IF(OR(Z433=0,AN433&lt;&gt;"Yes",AO433=0,AK433=""),0,IF(AL433&gt;='Setup'!$B$14,-2*'Setup'!$B$11,IF(AND(MAX(AB433,AD433,AF433,AH433,AJ433)&gt;=P433,AK433&gt;=Q433+1),'Setup'!$B$10,IF(OR(MAX(AB433,AD433,AF433,AH433,AJ433)&lt;O433,AK433&lt;Q433-1),-'Setup'!$B$11,0))))</x:f>
        <x:v>0</x:v>
      </x:c>
      <x:c r="AU433" s="333" t="n">
        <x:f>IF(Z433=0,0,IF(AN433&lt;&gt;"Yes",Z433,IF(COUNT(AA433,AC433,AE433,AG433,AI433)=0,Z433,ROUND((MAX(AA433,AC433,AE433,AG433,AI433)*(1+AT433))/'Setup'!$B$9,0)*'Setup'!$B$9)))</x:f>
        <x:v>0</x:v>
      </x:c>
      <x:c r="AV433" s="336"/>
    </x:row>
    <x:row r="434">
      <x:c r="A434" s="310" t="n">
        <x:f>'Setup'!$B$3+(C434-1)*7+(D434-1)</x:f>
        <x:v>46297</x:v>
      </x:c>
      <x:c r="B434" s="311" t="str">
        <x:v>8|5|8</x:v>
      </x:c>
      <x:c r="C434" s="311" t="n">
        <x:v>8</x:v>
      </x:c>
      <x:c r="D434" s="311" t="n">
        <x:v>5</x:v>
      </x:c>
      <x:c r="E434" s="311" t="str">
        <x:v>Deload 2</x:v>
      </x:c>
      <x:c r="F434" s="311" t="str">
        <x:v>Pull Hypertrophy</x:v>
      </x:c>
      <x:c r="G434" s="311" t="str">
        <x:v>Back, rear delts, and biceps volume</x:v>
      </x:c>
      <x:c r="H434" s="311" t="n">
        <x:v>8</x:v>
      </x:c>
      <x:c r="I434" s="311" t="str">
        <x:v>SkiErg Power Intervals</x:v>
      </x:c>
      <x:c r="J434" s="311" t="str">
        <x:v>Athletic</x:v>
      </x:c>
      <x:c r="K434" s="311" t="str">
        <x:v>Full Body</x:v>
      </x:c>
      <x:c r="L434" s="311" t="str">
        <x:v>Straight sets, crisp reps only</x:v>
      </x:c>
      <x:c r="M434" s="311" t="str"/>
      <x:c r="N434" s="311" t="n">
        <x:v>3</x:v>
      </x:c>
      <x:c r="O434" s="311" t="n">
        <x:v>15</x:v>
      </x:c>
      <x:c r="P434" s="311" t="n">
        <x:v>15</x:v>
      </x:c>
      <x:c r="Q434" s="311" t="n">
        <x:v>4</x:v>
      </x:c>
      <x:c r="R434" s="311" t="n">
        <x:v>45</x:v>
      </x:c>
      <x:c r="S434" s="311" t="str">
        <x:v>Powerful</x:v>
      </x:c>
      <x:c r="T434" s="330" t="n">
        <x:v>0.9</x:v>
      </x:c>
      <x:c r="U434" s="330" t="n">
        <x:v>0</x:v>
      </x:c>
      <x:c r="V434" s="331" t="str">
        <x:v>watts / meters</x:v>
      </x:c>
      <x:c r="W434" s="332" t="str">
        <x:f>'Readiness'!K53</x:f>
      </x:c>
      <x:c r="X434" s="314" t="n">
        <x:f>'Readiness'!L53</x:f>
        <x:v>1</x:v>
      </x:c>
      <x:c r="Y434" s="315" t="n">
        <x:f>IF(J434="Mobility",N434,MAX(1,ROUND(N434*X434,0)))</x:f>
        <x:v>3</x:v>
      </x:c>
      <x:c r="Z434" s="333" t="n">
        <x:f>0</x:f>
        <x:v>0</x:v>
      </x:c>
      <x:c r="AA434" s="334"/>
      <x:c r="AB434" s="334"/>
      <x:c r="AC434" s="334"/>
      <x:c r="AD434" s="334"/>
      <x:c r="AE434" s="334"/>
      <x:c r="AF434" s="334"/>
      <x:c r="AG434" s="334"/>
      <x:c r="AH434" s="334"/>
      <x:c r="AI434" s="334"/>
      <x:c r="AJ434" s="312"/>
      <x:c r="AK434" s="312"/>
      <x:c r="AL434" s="312"/>
      <x:c r="AM434" s="312"/>
      <x:c r="AN434" s="312"/>
      <x:c r="AO434" s="315" t="n">
        <x:f>COUNT(AB434,AD434,AF434,AH434,AJ434)</x:f>
        <x:v>0</x:v>
      </x:c>
      <x:c r="AP434" s="315" t="n">
        <x:f>SUM(AB434,AD434,AF434,AH434,AJ434)</x:f>
        <x:v>0</x:v>
      </x:c>
      <x:c r="AQ434" s="333" t="n">
        <x:f>AA434*AB434+AC434*AD434+AE434*AF434+AG434*AH434+AI434*AJ434</x:f>
        <x:v>0</x:v>
      </x:c>
      <x:c r="AR434" s="333" t="n">
        <x:f>IF(OR(J434="Strength",J434="Hypertrophy"),MAX(IF(AB434&gt;0,AA434*(1+AB434/30),0),IF(AD434&gt;0,AC434*(1+AD434/30),0),IF(AF434&gt;0,AE434*(1+AF434/30),0),IF(AH434&gt;0,AG434*(1+AH434/30),0),IF(AJ434&gt;0,AI434*(1+AJ434/30),0)),0)</x:f>
        <x:v>0</x:v>
      </x:c>
      <x:c r="AS434" s="315" t="str">
        <x:f>IF(AN434&lt;&gt;"Yes","Not logged",IF(AL434&gt;='Setup'!$B$14,"STOP / MODIFY",IF(Z434=0,"Complete",IF(OR(AO434=0,AK434=""),"Add set data + RIR",IF(AND(MAX(AB434,AD434,AF434,AH434,AJ434)&gt;=P434,AK434&gt;=Q434+1),"Progress",IF(OR(MAX(AB434,AD434,AF434,AH434,AJ434)&lt;O434,AK434&lt;Q434-1),"Regress","Hold"))))))</x:f>
        <x:v>Not logged</x:v>
      </x:c>
      <x:c r="AT434" s="335" t="n">
        <x:f>IF(OR(Z434=0,AN434&lt;&gt;"Yes",AO434=0,AK434=""),0,IF(AL434&gt;='Setup'!$B$14,-2*'Setup'!$B$11,IF(AND(MAX(AB434,AD434,AF434,AH434,AJ434)&gt;=P434,AK434&gt;=Q434+1),'Setup'!$B$10,IF(OR(MAX(AB434,AD434,AF434,AH434,AJ434)&lt;O434,AK434&lt;Q434-1),-'Setup'!$B$11,0))))</x:f>
        <x:v>0</x:v>
      </x:c>
      <x:c r="AU434" s="333" t="n">
        <x:f>IF(Z434=0,0,IF(AN434&lt;&gt;"Yes",Z434,IF(COUNT(AA434,AC434,AE434,AG434,AI434)=0,Z434,ROUND((MAX(AA434,AC434,AE434,AG434,AI434)*(1+AT434))/'Setup'!$B$9,0)*'Setup'!$B$9)))</x:f>
        <x:v>0</x:v>
      </x:c>
      <x:c r="AV434" s="336"/>
    </x:row>
    <x:row r="435">
      <x:c r="A435" s="310" t="n">
        <x:f>'Setup'!$B$3+(C435-1)*7+(D435-1)</x:f>
        <x:v>46297</x:v>
      </x:c>
      <x:c r="B435" s="311" t="str">
        <x:v>8|5|9</x:v>
      </x:c>
      <x:c r="C435" s="311" t="n">
        <x:v>8</x:v>
      </x:c>
      <x:c r="D435" s="311" t="n">
        <x:v>5</x:v>
      </x:c>
      <x:c r="E435" s="311" t="str">
        <x:v>Deload 2</x:v>
      </x:c>
      <x:c r="F435" s="311" t="str">
        <x:v>Pull Hypertrophy</x:v>
      </x:c>
      <x:c r="G435" s="311" t="str">
        <x:v>Back, rear delts, and biceps volume</x:v>
      </x:c>
      <x:c r="H435" s="311" t="n">
        <x:v>9</x:v>
      </x:c>
      <x:c r="I435" s="311" t="str">
        <x:v>Passive Hang</x:v>
      </x:c>
      <x:c r="J435" s="311" t="str">
        <x:v>Mobility</x:v>
      </x:c>
      <x:c r="K435" s="311" t="str">
        <x:v>Shoulders</x:v>
      </x:c>
      <x:c r="L435" s="311" t="str">
        <x:v>Straight sets, crisp reps only</x:v>
      </x:c>
      <x:c r="M435" s="311" t="str"/>
      <x:c r="N435" s="311" t="n">
        <x:v>2</x:v>
      </x:c>
      <x:c r="O435" s="311" t="n">
        <x:v>20</x:v>
      </x:c>
      <x:c r="P435" s="311" t="n">
        <x:v>40</x:v>
      </x:c>
      <x:c r="Q435" s="311" t="str"/>
      <x:c r="R435" s="311" t="n">
        <x:v>30</x:v>
      </x:c>
      <x:c r="S435" s="311" t="str">
        <x:v>Hold</x:v>
      </x:c>
      <x:c r="T435" s="330" t="n">
        <x:v>0.9</x:v>
      </x:c>
      <x:c r="U435" s="330" t="n">
        <x:v>0</x:v>
      </x:c>
      <x:c r="V435" s="331" t="str">
        <x:v>seconds</x:v>
      </x:c>
      <x:c r="W435" s="332" t="str">
        <x:f>'Readiness'!K53</x:f>
      </x:c>
      <x:c r="X435" s="314" t="n">
        <x:f>'Readiness'!L53</x:f>
        <x:v>1</x:v>
      </x:c>
      <x:c r="Y435" s="315" t="n">
        <x:f>IF(J435="Mobility",N435,MAX(1,ROUND(N435*X435,0)))</x:f>
        <x:v>2</x:v>
      </x:c>
      <x:c r="Z435" s="333" t="n">
        <x:f>0</x:f>
        <x:v>0</x:v>
      </x:c>
      <x:c r="AA435" s="334"/>
      <x:c r="AB435" s="334"/>
      <x:c r="AC435" s="334"/>
      <x:c r="AD435" s="334"/>
      <x:c r="AE435" s="334"/>
      <x:c r="AF435" s="334"/>
      <x:c r="AG435" s="334"/>
      <x:c r="AH435" s="334"/>
      <x:c r="AI435" s="334"/>
      <x:c r="AJ435" s="312"/>
      <x:c r="AK435" s="312"/>
      <x:c r="AL435" s="312"/>
      <x:c r="AM435" s="312"/>
      <x:c r="AN435" s="312"/>
      <x:c r="AO435" s="315" t="n">
        <x:f>COUNT(AB435,AD435,AF435,AH435,AJ435)</x:f>
        <x:v>0</x:v>
      </x:c>
      <x:c r="AP435" s="315" t="n">
        <x:f>SUM(AB435,AD435,AF435,AH435,AJ435)</x:f>
        <x:v>0</x:v>
      </x:c>
      <x:c r="AQ435" s="333" t="n">
        <x:f>AA435*AB435+AC435*AD435+AE435*AF435+AG435*AH435+AI435*AJ435</x:f>
        <x:v>0</x:v>
      </x:c>
      <x:c r="AR435" s="333" t="n">
        <x:f>IF(OR(J435="Strength",J435="Hypertrophy"),MAX(IF(AB435&gt;0,AA435*(1+AB435/30),0),IF(AD435&gt;0,AC435*(1+AD435/30),0),IF(AF435&gt;0,AE435*(1+AF435/30),0),IF(AH435&gt;0,AG435*(1+AH435/30),0),IF(AJ435&gt;0,AI435*(1+AJ435/30),0)),0)</x:f>
        <x:v>0</x:v>
      </x:c>
      <x:c r="AS435" s="315" t="str">
        <x:f>IF(AN435&lt;&gt;"Yes","Not logged",IF(AL435&gt;='Setup'!$B$14,"STOP / MODIFY",IF(Z435=0,"Complete",IF(OR(AO435=0,AK435=""),"Add set data + RIR",IF(AND(MAX(AB435,AD435,AF435,AH435,AJ435)&gt;=P435,AK435&gt;=Q435+1),"Progress",IF(OR(MAX(AB435,AD435,AF435,AH435,AJ435)&lt;O435,AK435&lt;Q435-1),"Regress","Hold"))))))</x:f>
        <x:v>Not logged</x:v>
      </x:c>
      <x:c r="AT435" s="335" t="n">
        <x:f>IF(OR(Z435=0,AN435&lt;&gt;"Yes",AO435=0,AK435=""),0,IF(AL435&gt;='Setup'!$B$14,-2*'Setup'!$B$11,IF(AND(MAX(AB435,AD435,AF435,AH435,AJ435)&gt;=P435,AK435&gt;=Q435+1),'Setup'!$B$10,IF(OR(MAX(AB435,AD435,AF435,AH435,AJ435)&lt;O435,AK435&lt;Q435-1),-'Setup'!$B$11,0))))</x:f>
        <x:v>0</x:v>
      </x:c>
      <x:c r="AU435" s="333" t="n">
        <x:f>IF(Z435=0,0,IF(AN435&lt;&gt;"Yes",Z435,IF(COUNT(AA435,AC435,AE435,AG435,AI435)=0,Z435,ROUND((MAX(AA435,AC435,AE435,AG435,AI435)*(1+AT435))/'Setup'!$B$9,0)*'Setup'!$B$9)))</x:f>
        <x:v>0</x:v>
      </x:c>
      <x:c r="AV435" s="336"/>
    </x:row>
    <x:row r="436">
      <x:c r="A436" s="310" t="n">
        <x:f>'Setup'!$B$3+(C436-1)*7+(D436-1)</x:f>
        <x:v>46298</x:v>
      </x:c>
      <x:c r="B436" s="311" t="str">
        <x:v>8|6|1</x:v>
      </x:c>
      <x:c r="C436" s="311" t="n">
        <x:v>8</x:v>
      </x:c>
      <x:c r="D436" s="311" t="n">
        <x:v>6</x:v>
      </x:c>
      <x:c r="E436" s="311" t="str">
        <x:v>Deload 2</x:v>
      </x:c>
      <x:c r="F436" s="311" t="str">
        <x:v>Athletic Full Body</x:v>
      </x:c>
      <x:c r="G436" s="311" t="str">
        <x:v>Speed, elastic power, work capacity</x:v>
      </x:c>
      <x:c r="H436" s="311" t="n">
        <x:v>1</x:v>
      </x:c>
      <x:c r="I436" s="311" t="str">
        <x:v>Acceleration Sprint</x:v>
      </x:c>
      <x:c r="J436" s="311" t="str">
        <x:v>Athletic</x:v>
      </x:c>
      <x:c r="K436" s="311" t="str">
        <x:v>Full Body</x:v>
      </x:c>
      <x:c r="L436" s="311" t="str">
        <x:v>Straight sets, crisp reps only</x:v>
      </x:c>
      <x:c r="M436" s="311" t="str"/>
      <x:c r="N436" s="311" t="n">
        <x:v>3</x:v>
      </x:c>
      <x:c r="O436" s="311" t="n">
        <x:v>20</x:v>
      </x:c>
      <x:c r="P436" s="311" t="n">
        <x:v>20</x:v>
      </x:c>
      <x:c r="Q436" s="311" t="n">
        <x:v>4</x:v>
      </x:c>
      <x:c r="R436" s="311" t="n">
        <x:v>90</x:v>
      </x:c>
      <x:c r="S436" s="311" t="str">
        <x:v>Max quality</x:v>
      </x:c>
      <x:c r="T436" s="330" t="n">
        <x:v>0.9</x:v>
      </x:c>
      <x:c r="U436" s="330" t="n">
        <x:v>0</x:v>
      </x:c>
      <x:c r="V436" s="331" t="str">
        <x:v>20 m time</x:v>
      </x:c>
      <x:c r="W436" s="332" t="str">
        <x:f>'Readiness'!K54</x:f>
      </x:c>
      <x:c r="X436" s="314" t="n">
        <x:f>'Readiness'!L54</x:f>
        <x:v>1</x:v>
      </x:c>
      <x:c r="Y436" s="315" t="n">
        <x:f>IF(J436="Mobility",N436,MAX(1,ROUND(N436*X436,0)))</x:f>
        <x:v>3</x:v>
      </x:c>
      <x:c r="Z436" s="333" t="n">
        <x:f>0</x:f>
        <x:v>0</x:v>
      </x:c>
      <x:c r="AA436" s="334"/>
      <x:c r="AB436" s="334"/>
      <x:c r="AC436" s="334"/>
      <x:c r="AD436" s="334"/>
      <x:c r="AE436" s="334"/>
      <x:c r="AF436" s="334"/>
      <x:c r="AG436" s="334"/>
      <x:c r="AH436" s="334"/>
      <x:c r="AI436" s="334"/>
      <x:c r="AJ436" s="312"/>
      <x:c r="AK436" s="312"/>
      <x:c r="AL436" s="312"/>
      <x:c r="AM436" s="312"/>
      <x:c r="AN436" s="312"/>
      <x:c r="AO436" s="315" t="n">
        <x:f>COUNT(AB436,AD436,AF436,AH436,AJ436)</x:f>
        <x:v>0</x:v>
      </x:c>
      <x:c r="AP436" s="315" t="n">
        <x:f>SUM(AB436,AD436,AF436,AH436,AJ436)</x:f>
        <x:v>0</x:v>
      </x:c>
      <x:c r="AQ436" s="333" t="n">
        <x:f>AA436*AB436+AC436*AD436+AE436*AF436+AG436*AH436+AI436*AJ436</x:f>
        <x:v>0</x:v>
      </x:c>
      <x:c r="AR436" s="333" t="n">
        <x:f>IF(OR(J436="Strength",J436="Hypertrophy"),MAX(IF(AB436&gt;0,AA436*(1+AB436/30),0),IF(AD436&gt;0,AC436*(1+AD436/30),0),IF(AF436&gt;0,AE436*(1+AF436/30),0),IF(AH436&gt;0,AG436*(1+AH436/30),0),IF(AJ436&gt;0,AI436*(1+AJ436/30),0)),0)</x:f>
        <x:v>0</x:v>
      </x:c>
      <x:c r="AS436" s="315" t="str">
        <x:f>IF(AN436&lt;&gt;"Yes","Not logged",IF(AL436&gt;='Setup'!$B$14,"STOP / MODIFY",IF(Z436=0,"Complete",IF(OR(AO436=0,AK436=""),"Add set data + RIR",IF(AND(MAX(AB436,AD436,AF436,AH436,AJ436)&gt;=P436,AK436&gt;=Q436+1),"Progress",IF(OR(MAX(AB436,AD436,AF436,AH436,AJ436)&lt;O436,AK436&lt;Q436-1),"Regress","Hold"))))))</x:f>
        <x:v>Not logged</x:v>
      </x:c>
      <x:c r="AT436" s="335" t="n">
        <x:f>IF(OR(Z436=0,AN436&lt;&gt;"Yes",AO436=0,AK436=""),0,IF(AL436&gt;='Setup'!$B$14,-2*'Setup'!$B$11,IF(AND(MAX(AB436,AD436,AF436,AH436,AJ436)&gt;=P436,AK436&gt;=Q436+1),'Setup'!$B$10,IF(OR(MAX(AB436,AD436,AF436,AH436,AJ436)&lt;O436,AK436&lt;Q436-1),-'Setup'!$B$11,0))))</x:f>
        <x:v>0</x:v>
      </x:c>
      <x:c r="AU436" s="333" t="n">
        <x:f>IF(Z436=0,0,IF(AN436&lt;&gt;"Yes",Z436,IF(COUNT(AA436,AC436,AE436,AG436,AI436)=0,Z436,ROUND((MAX(AA436,AC436,AE436,AG436,AI436)*(1+AT436))/'Setup'!$B$9,0)*'Setup'!$B$9)))</x:f>
        <x:v>0</x:v>
      </x:c>
      <x:c r="AV436" s="336"/>
    </x:row>
    <x:row r="437">
      <x:c r="A437" s="310" t="n">
        <x:f>'Setup'!$B$3+(C437-1)*7+(D437-1)</x:f>
        <x:v>46298</x:v>
      </x:c>
      <x:c r="B437" s="311" t="str">
        <x:v>8|6|2</x:v>
      </x:c>
      <x:c r="C437" s="311" t="n">
        <x:v>8</x:v>
      </x:c>
      <x:c r="D437" s="311" t="n">
        <x:v>6</x:v>
      </x:c>
      <x:c r="E437" s="311" t="str">
        <x:v>Deload 2</x:v>
      </x:c>
      <x:c r="F437" s="311" t="str">
        <x:v>Athletic Full Body</x:v>
      </x:c>
      <x:c r="G437" s="311" t="str">
        <x:v>Speed, elastic power, work capacity</x:v>
      </x:c>
      <x:c r="H437" s="311" t="n">
        <x:v>2</x:v>
      </x:c>
      <x:c r="I437" s="311" t="str">
        <x:v>Lateral Bound</x:v>
      </x:c>
      <x:c r="J437" s="311" t="str">
        <x:v>Power</x:v>
      </x:c>
      <x:c r="K437" s="311" t="str">
        <x:v>Glutes</x:v>
      </x:c>
      <x:c r="L437" s="311" t="str">
        <x:v>Straight sets, crisp reps only</x:v>
      </x:c>
      <x:c r="M437" s="311" t="str"/>
      <x:c r="N437" s="311" t="n">
        <x:v>2</x:v>
      </x:c>
      <x:c r="O437" s="311" t="n">
        <x:v>4</x:v>
      </x:c>
      <x:c r="P437" s="311" t="n">
        <x:v>4</x:v>
      </x:c>
      <x:c r="Q437" s="311" t="n">
        <x:v>4</x:v>
      </x:c>
      <x:c r="R437" s="311" t="n">
        <x:v>60</x:v>
      </x:c>
      <x:c r="S437" s="311" t="str">
        <x:v>Explosive</x:v>
      </x:c>
      <x:c r="T437" s="330" t="n">
        <x:v>0.9</x:v>
      </x:c>
      <x:c r="U437" s="330" t="n">
        <x:v>0</x:v>
      </x:c>
      <x:c r="V437" s="331" t="str">
        <x:v>distance</x:v>
      </x:c>
      <x:c r="W437" s="332" t="str">
        <x:f>'Readiness'!K54</x:f>
      </x:c>
      <x:c r="X437" s="314" t="n">
        <x:f>'Readiness'!L54</x:f>
        <x:v>1</x:v>
      </x:c>
      <x:c r="Y437" s="315" t="n">
        <x:f>IF(J437="Mobility",N437,MAX(1,ROUND(N437*X437,0)))</x:f>
        <x:v>2</x:v>
      </x:c>
      <x:c r="Z437" s="333" t="n">
        <x:f>0</x:f>
        <x:v>0</x:v>
      </x:c>
      <x:c r="AA437" s="334"/>
      <x:c r="AB437" s="334"/>
      <x:c r="AC437" s="334"/>
      <x:c r="AD437" s="334"/>
      <x:c r="AE437" s="334"/>
      <x:c r="AF437" s="334"/>
      <x:c r="AG437" s="334"/>
      <x:c r="AH437" s="334"/>
      <x:c r="AI437" s="334"/>
      <x:c r="AJ437" s="312"/>
      <x:c r="AK437" s="312"/>
      <x:c r="AL437" s="312"/>
      <x:c r="AM437" s="312"/>
      <x:c r="AN437" s="312"/>
      <x:c r="AO437" s="315" t="n">
        <x:f>COUNT(AB437,AD437,AF437,AH437,AJ437)</x:f>
        <x:v>0</x:v>
      </x:c>
      <x:c r="AP437" s="315" t="n">
        <x:f>SUM(AB437,AD437,AF437,AH437,AJ437)</x:f>
        <x:v>0</x:v>
      </x:c>
      <x:c r="AQ437" s="333" t="n">
        <x:f>AA437*AB437+AC437*AD437+AE437*AF437+AG437*AH437+AI437*AJ437</x:f>
        <x:v>0</x:v>
      </x:c>
      <x:c r="AR437" s="333" t="n">
        <x:f>IF(OR(J437="Strength",J437="Hypertrophy"),MAX(IF(AB437&gt;0,AA437*(1+AB437/30),0),IF(AD437&gt;0,AC437*(1+AD437/30),0),IF(AF437&gt;0,AE437*(1+AF437/30),0),IF(AH437&gt;0,AG437*(1+AH437/30),0),IF(AJ437&gt;0,AI437*(1+AJ437/30),0)),0)</x:f>
        <x:v>0</x:v>
      </x:c>
      <x:c r="AS437" s="315" t="str">
        <x:f>IF(AN437&lt;&gt;"Yes","Not logged",IF(AL437&gt;='Setup'!$B$14,"STOP / MODIFY",IF(Z437=0,"Complete",IF(OR(AO437=0,AK437=""),"Add set data + RIR",IF(AND(MAX(AB437,AD437,AF437,AH437,AJ437)&gt;=P437,AK437&gt;=Q437+1),"Progress",IF(OR(MAX(AB437,AD437,AF437,AH437,AJ437)&lt;O437,AK437&lt;Q437-1),"Regress","Hold"))))))</x:f>
        <x:v>Not logged</x:v>
      </x:c>
      <x:c r="AT437" s="335" t="n">
        <x:f>IF(OR(Z437=0,AN437&lt;&gt;"Yes",AO437=0,AK437=""),0,IF(AL437&gt;='Setup'!$B$14,-2*'Setup'!$B$11,IF(AND(MAX(AB437,AD437,AF437,AH437,AJ437)&gt;=P437,AK437&gt;=Q437+1),'Setup'!$B$10,IF(OR(MAX(AB437,AD437,AF437,AH437,AJ437)&lt;O437,AK437&lt;Q437-1),-'Setup'!$B$11,0))))</x:f>
        <x:v>0</x:v>
      </x:c>
      <x:c r="AU437" s="333" t="n">
        <x:f>IF(Z437=0,0,IF(AN437&lt;&gt;"Yes",Z437,IF(COUNT(AA437,AC437,AE437,AG437,AI437)=0,Z437,ROUND((MAX(AA437,AC437,AE437,AG437,AI437)*(1+AT437))/'Setup'!$B$9,0)*'Setup'!$B$9)))</x:f>
        <x:v>0</x:v>
      </x:c>
      <x:c r="AV437" s="336"/>
    </x:row>
    <x:row r="438">
      <x:c r="A438" s="310" t="n">
        <x:f>'Setup'!$B$3+(C438-1)*7+(D438-1)</x:f>
        <x:v>46298</x:v>
      </x:c>
      <x:c r="B438" s="311" t="str">
        <x:v>8|6|3</x:v>
      </x:c>
      <x:c r="C438" s="311" t="n">
        <x:v>8</x:v>
      </x:c>
      <x:c r="D438" s="311" t="n">
        <x:v>6</x:v>
      </x:c>
      <x:c r="E438" s="311" t="str">
        <x:v>Deload 2</x:v>
      </x:c>
      <x:c r="F438" s="311" t="str">
        <x:v>Athletic Full Body</x:v>
      </x:c>
      <x:c r="G438" s="311" t="str">
        <x:v>Speed, elastic power, work capacity</x:v>
      </x:c>
      <x:c r="H438" s="311" t="n">
        <x:v>3</x:v>
      </x:c>
      <x:c r="I438" s="311" t="str">
        <x:v>Plyometric Push-Up</x:v>
      </x:c>
      <x:c r="J438" s="311" t="str">
        <x:v>Power</x:v>
      </x:c>
      <x:c r="K438" s="311" t="str">
        <x:v>Chest</x:v>
      </x:c>
      <x:c r="L438" s="311" t="str">
        <x:v>Straight sets, crisp reps only</x:v>
      </x:c>
      <x:c r="M438" s="311" t="str"/>
      <x:c r="N438" s="311" t="n">
        <x:v>2</x:v>
      </x:c>
      <x:c r="O438" s="311" t="n">
        <x:v>4</x:v>
      </x:c>
      <x:c r="P438" s="311" t="n">
        <x:v>4</x:v>
      </x:c>
      <x:c r="Q438" s="311" t="n">
        <x:v>4</x:v>
      </x:c>
      <x:c r="R438" s="311" t="n">
        <x:v>60</x:v>
      </x:c>
      <x:c r="S438" s="311" t="str">
        <x:v>Explosive</x:v>
      </x:c>
      <x:c r="T438" s="330" t="n">
        <x:v>0.9</x:v>
      </x:c>
      <x:c r="U438" s="330" t="n">
        <x:v>0</x:v>
      </x:c>
      <x:c r="V438" s="331" t="str">
        <x:v>reps</x:v>
      </x:c>
      <x:c r="W438" s="332" t="str">
        <x:f>'Readiness'!K54</x:f>
      </x:c>
      <x:c r="X438" s="314" t="n">
        <x:f>'Readiness'!L54</x:f>
        <x:v>1</x:v>
      </x:c>
      <x:c r="Y438" s="315" t="n">
        <x:f>IF(J438="Mobility",N438,MAX(1,ROUND(N438*X438,0)))</x:f>
        <x:v>2</x:v>
      </x:c>
      <x:c r="Z438" s="333" t="n">
        <x:f>0</x:f>
        <x:v>0</x:v>
      </x:c>
      <x:c r="AA438" s="334"/>
      <x:c r="AB438" s="334"/>
      <x:c r="AC438" s="334"/>
      <x:c r="AD438" s="334"/>
      <x:c r="AE438" s="334"/>
      <x:c r="AF438" s="334"/>
      <x:c r="AG438" s="334"/>
      <x:c r="AH438" s="334"/>
      <x:c r="AI438" s="334"/>
      <x:c r="AJ438" s="312"/>
      <x:c r="AK438" s="312"/>
      <x:c r="AL438" s="312"/>
      <x:c r="AM438" s="312"/>
      <x:c r="AN438" s="312"/>
      <x:c r="AO438" s="315" t="n">
        <x:f>COUNT(AB438,AD438,AF438,AH438,AJ438)</x:f>
        <x:v>0</x:v>
      </x:c>
      <x:c r="AP438" s="315" t="n">
        <x:f>SUM(AB438,AD438,AF438,AH438,AJ438)</x:f>
        <x:v>0</x:v>
      </x:c>
      <x:c r="AQ438" s="333" t="n">
        <x:f>AA438*AB438+AC438*AD438+AE438*AF438+AG438*AH438+AI438*AJ438</x:f>
        <x:v>0</x:v>
      </x:c>
      <x:c r="AR438" s="333" t="n">
        <x:f>IF(OR(J438="Strength",J438="Hypertrophy"),MAX(IF(AB438&gt;0,AA438*(1+AB438/30),0),IF(AD438&gt;0,AC438*(1+AD438/30),0),IF(AF438&gt;0,AE438*(1+AF438/30),0),IF(AH438&gt;0,AG438*(1+AH438/30),0),IF(AJ438&gt;0,AI438*(1+AJ438/30),0)),0)</x:f>
        <x:v>0</x:v>
      </x:c>
      <x:c r="AS438" s="315" t="str">
        <x:f>IF(AN438&lt;&gt;"Yes","Not logged",IF(AL438&gt;='Setup'!$B$14,"STOP / MODIFY",IF(Z438=0,"Complete",IF(OR(AO438=0,AK438=""),"Add set data + RIR",IF(AND(MAX(AB438,AD438,AF438,AH438,AJ438)&gt;=P438,AK438&gt;=Q438+1),"Progress",IF(OR(MAX(AB438,AD438,AF438,AH438,AJ438)&lt;O438,AK438&lt;Q438-1),"Regress","Hold"))))))</x:f>
        <x:v>Not logged</x:v>
      </x:c>
      <x:c r="AT438" s="335" t="n">
        <x:f>IF(OR(Z438=0,AN438&lt;&gt;"Yes",AO438=0,AK438=""),0,IF(AL438&gt;='Setup'!$B$14,-2*'Setup'!$B$11,IF(AND(MAX(AB438,AD438,AF438,AH438,AJ438)&gt;=P438,AK438&gt;=Q438+1),'Setup'!$B$10,IF(OR(MAX(AB438,AD438,AF438,AH438,AJ438)&lt;O438,AK438&lt;Q438-1),-'Setup'!$B$11,0))))</x:f>
        <x:v>0</x:v>
      </x:c>
      <x:c r="AU438" s="333" t="n">
        <x:f>IF(Z438=0,0,IF(AN438&lt;&gt;"Yes",Z438,IF(COUNT(AA438,AC438,AE438,AG438,AI438)=0,Z438,ROUND((MAX(AA438,AC438,AE438,AG438,AI438)*(1+AT438))/'Setup'!$B$9,0)*'Setup'!$B$9)))</x:f>
        <x:v>0</x:v>
      </x:c>
      <x:c r="AV438" s="336"/>
    </x:row>
    <x:row r="439">
      <x:c r="A439" s="310" t="n">
        <x:f>'Setup'!$B$3+(C439-1)*7+(D439-1)</x:f>
        <x:v>46298</x:v>
      </x:c>
      <x:c r="B439" s="311" t="str">
        <x:v>8|6|4</x:v>
      </x:c>
      <x:c r="C439" s="311" t="n">
        <x:v>8</x:v>
      </x:c>
      <x:c r="D439" s="311" t="n">
        <x:v>6</x:v>
      </x:c>
      <x:c r="E439" s="311" t="str">
        <x:v>Deload 2</x:v>
      </x:c>
      <x:c r="F439" s="311" t="str">
        <x:v>Athletic Full Body</x:v>
      </x:c>
      <x:c r="G439" s="311" t="str">
        <x:v>Speed, elastic power, work capacity</x:v>
      </x:c>
      <x:c r="H439" s="311" t="n">
        <x:v>4</x:v>
      </x:c>
      <x:c r="I439" s="311" t="str">
        <x:v>Kettlebell Swing</x:v>
      </x:c>
      <x:c r="J439" s="311" t="str">
        <x:v>Power</x:v>
      </x:c>
      <x:c r="K439" s="311" t="str">
        <x:v>Hamstrings</x:v>
      </x:c>
      <x:c r="L439" s="311" t="str">
        <x:v>Straight sets, crisp reps only</x:v>
      </x:c>
      <x:c r="M439" s="311" t="str"/>
      <x:c r="N439" s="311" t="n">
        <x:v>3</x:v>
      </x:c>
      <x:c r="O439" s="311" t="n">
        <x:v>5</x:v>
      </x:c>
      <x:c r="P439" s="311" t="n">
        <x:v>5</x:v>
      </x:c>
      <x:c r="Q439" s="311" t="n">
        <x:v>4</x:v>
      </x:c>
      <x:c r="R439" s="311" t="n">
        <x:v>60</x:v>
      </x:c>
      <x:c r="S439" s="311" t="str">
        <x:v>Explosive</x:v>
      </x:c>
      <x:c r="T439" s="330" t="n">
        <x:v>0.9</x:v>
      </x:c>
      <x:c r="U439" s="330" t="n">
        <x:v>0</x:v>
      </x:c>
      <x:c r="V439" s="331" t="str">
        <x:v>load × reps</x:v>
      </x:c>
      <x:c r="W439" s="332" t="str">
        <x:f>'Readiness'!K54</x:f>
      </x:c>
      <x:c r="X439" s="314" t="n">
        <x:f>'Readiness'!L54</x:f>
        <x:v>1</x:v>
      </x:c>
      <x:c r="Y439" s="315" t="n">
        <x:f>IF(J439="Mobility",N439,MAX(1,ROUND(N439*X439,0)))</x:f>
        <x:v>3</x:v>
      </x:c>
      <x:c r="Z439" s="333" t="n">
        <x:f>ROUND((IF(AU386&gt;0,AU386,IF(Z386&gt;0,Z386,'Setup'!$D$54))*T439)/'Setup'!$B$9,0)*'Setup'!$B$9</x:f>
        <x:v>0</x:v>
      </x:c>
      <x:c r="AA439" s="334"/>
      <x:c r="AB439" s="334"/>
      <x:c r="AC439" s="334"/>
      <x:c r="AD439" s="334"/>
      <x:c r="AE439" s="334"/>
      <x:c r="AF439" s="334"/>
      <x:c r="AG439" s="334"/>
      <x:c r="AH439" s="334"/>
      <x:c r="AI439" s="334"/>
      <x:c r="AJ439" s="312"/>
      <x:c r="AK439" s="312"/>
      <x:c r="AL439" s="312"/>
      <x:c r="AM439" s="312"/>
      <x:c r="AN439" s="312"/>
      <x:c r="AO439" s="315" t="n">
        <x:f>COUNT(AB439,AD439,AF439,AH439,AJ439)</x:f>
        <x:v>0</x:v>
      </x:c>
      <x:c r="AP439" s="315" t="n">
        <x:f>SUM(AB439,AD439,AF439,AH439,AJ439)</x:f>
        <x:v>0</x:v>
      </x:c>
      <x:c r="AQ439" s="333" t="n">
        <x:f>AA439*AB439+AC439*AD439+AE439*AF439+AG439*AH439+AI439*AJ439</x:f>
        <x:v>0</x:v>
      </x:c>
      <x:c r="AR439" s="333" t="n">
        <x:f>IF(OR(J439="Strength",J439="Hypertrophy"),MAX(IF(AB439&gt;0,AA439*(1+AB439/30),0),IF(AD439&gt;0,AC439*(1+AD439/30),0),IF(AF439&gt;0,AE439*(1+AF439/30),0),IF(AH439&gt;0,AG439*(1+AH439/30),0),IF(AJ439&gt;0,AI439*(1+AJ439/30),0)),0)</x:f>
        <x:v>0</x:v>
      </x:c>
      <x:c r="AS439" s="315" t="str">
        <x:f>IF(AN439&lt;&gt;"Yes","Not logged",IF(AL439&gt;='Setup'!$B$14,"STOP / MODIFY",IF(Z439=0,"Complete",IF(OR(AO439=0,AK439=""),"Add set data + RIR",IF(AND(MAX(AB439,AD439,AF439,AH439,AJ439)&gt;=P439,AK439&gt;=Q439+1),"Progress",IF(OR(MAX(AB439,AD439,AF439,AH439,AJ439)&lt;O439,AK439&lt;Q439-1),"Regress","Hold"))))))</x:f>
        <x:v>Not logged</x:v>
      </x:c>
      <x:c r="AT439" s="335" t="n">
        <x:f>IF(OR(Z439=0,AN439&lt;&gt;"Yes",AO439=0,AK439=""),0,IF(AL439&gt;='Setup'!$B$14,-2*'Setup'!$B$11,IF(AND(MAX(AB439,AD439,AF439,AH439,AJ439)&gt;=P439,AK439&gt;=Q439+1),'Setup'!$B$10,IF(OR(MAX(AB439,AD439,AF439,AH439,AJ439)&lt;O439,AK439&lt;Q439-1),-'Setup'!$B$11,0))))</x:f>
        <x:v>0</x:v>
      </x:c>
      <x:c r="AU439" s="333" t="n">
        <x:f>IF(Z439=0,0,IF(AN439&lt;&gt;"Yes",Z439,IF(COUNT(AA439,AC439,AE439,AG439,AI439)=0,Z439,ROUND((MAX(AA439,AC439,AE439,AG439,AI439)*(1+AT439))/'Setup'!$B$9,0)*'Setup'!$B$9)))</x:f>
        <x:v>0</x:v>
      </x:c>
      <x:c r="AV439" s="336"/>
    </x:row>
    <x:row r="440">
      <x:c r="A440" s="310" t="n">
        <x:f>'Setup'!$B$3+(C440-1)*7+(D440-1)</x:f>
        <x:v>46298</x:v>
      </x:c>
      <x:c r="B440" s="311" t="str">
        <x:v>8|6|5</x:v>
      </x:c>
      <x:c r="C440" s="311" t="n">
        <x:v>8</x:v>
      </x:c>
      <x:c r="D440" s="311" t="n">
        <x:v>6</x:v>
      </x:c>
      <x:c r="E440" s="311" t="str">
        <x:v>Deload 2</x:v>
      </x:c>
      <x:c r="F440" s="311" t="str">
        <x:v>Athletic Full Body</x:v>
      </x:c>
      <x:c r="G440" s="311" t="str">
        <x:v>Speed, elastic power, work capacity</x:v>
      </x:c>
      <x:c r="H440" s="311" t="n">
        <x:v>5</x:v>
      </x:c>
      <x:c r="I440" s="311" t="str">
        <x:v>Sled Push</x:v>
      </x:c>
      <x:c r="J440" s="311" t="str">
        <x:v>Athletic</x:v>
      </x:c>
      <x:c r="K440" s="311" t="str">
        <x:v>Quads</x:v>
      </x:c>
      <x:c r="L440" s="311" t="str">
        <x:v>Straight sets, crisp reps only</x:v>
      </x:c>
      <x:c r="M440" s="311" t="str"/>
      <x:c r="N440" s="311" t="n">
        <x:v>3</x:v>
      </x:c>
      <x:c r="O440" s="311" t="n">
        <x:v>20</x:v>
      </x:c>
      <x:c r="P440" s="311" t="n">
        <x:v>20</x:v>
      </x:c>
      <x:c r="Q440" s="311" t="n">
        <x:v>4</x:v>
      </x:c>
      <x:c r="R440" s="311" t="n">
        <x:v>75</x:v>
      </x:c>
      <x:c r="S440" s="311" t="str">
        <x:v>Fast</x:v>
      </x:c>
      <x:c r="T440" s="330" t="n">
        <x:v>0.9</x:v>
      </x:c>
      <x:c r="U440" s="330" t="n">
        <x:v>0</x:v>
      </x:c>
      <x:c r="V440" s="331" t="str">
        <x:v>load + meters</x:v>
      </x:c>
      <x:c r="W440" s="332" t="str">
        <x:f>'Readiness'!K54</x:f>
      </x:c>
      <x:c r="X440" s="314" t="n">
        <x:f>'Readiness'!L54</x:f>
        <x:v>1</x:v>
      </x:c>
      <x:c r="Y440" s="315" t="n">
        <x:f>IF(J440="Mobility",N440,MAX(1,ROUND(N440*X440,0)))</x:f>
        <x:v>3</x:v>
      </x:c>
      <x:c r="Z440" s="333" t="n">
        <x:f>0</x:f>
        <x:v>0</x:v>
      </x:c>
      <x:c r="AA440" s="334"/>
      <x:c r="AB440" s="334"/>
      <x:c r="AC440" s="334"/>
      <x:c r="AD440" s="334"/>
      <x:c r="AE440" s="334"/>
      <x:c r="AF440" s="334"/>
      <x:c r="AG440" s="334"/>
      <x:c r="AH440" s="334"/>
      <x:c r="AI440" s="334"/>
      <x:c r="AJ440" s="312"/>
      <x:c r="AK440" s="312"/>
      <x:c r="AL440" s="312"/>
      <x:c r="AM440" s="312"/>
      <x:c r="AN440" s="312"/>
      <x:c r="AO440" s="315" t="n">
        <x:f>COUNT(AB440,AD440,AF440,AH440,AJ440)</x:f>
        <x:v>0</x:v>
      </x:c>
      <x:c r="AP440" s="315" t="n">
        <x:f>SUM(AB440,AD440,AF440,AH440,AJ440)</x:f>
        <x:v>0</x:v>
      </x:c>
      <x:c r="AQ440" s="333" t="n">
        <x:f>AA440*AB440+AC440*AD440+AE440*AF440+AG440*AH440+AI440*AJ440</x:f>
        <x:v>0</x:v>
      </x:c>
      <x:c r="AR440" s="333" t="n">
        <x:f>IF(OR(J440="Strength",J440="Hypertrophy"),MAX(IF(AB440&gt;0,AA440*(1+AB440/30),0),IF(AD440&gt;0,AC440*(1+AD440/30),0),IF(AF440&gt;0,AE440*(1+AF440/30),0),IF(AH440&gt;0,AG440*(1+AH440/30),0),IF(AJ440&gt;0,AI440*(1+AJ440/30),0)),0)</x:f>
        <x:v>0</x:v>
      </x:c>
      <x:c r="AS440" s="315" t="str">
        <x:f>IF(AN440&lt;&gt;"Yes","Not logged",IF(AL440&gt;='Setup'!$B$14,"STOP / MODIFY",IF(Z440=0,"Complete",IF(OR(AO440=0,AK440=""),"Add set data + RIR",IF(AND(MAX(AB440,AD440,AF440,AH440,AJ440)&gt;=P440,AK440&gt;=Q440+1),"Progress",IF(OR(MAX(AB440,AD440,AF440,AH440,AJ440)&lt;O440,AK440&lt;Q440-1),"Regress","Hold"))))))</x:f>
        <x:v>Not logged</x:v>
      </x:c>
      <x:c r="AT440" s="335" t="n">
        <x:f>IF(OR(Z440=0,AN440&lt;&gt;"Yes",AO440=0,AK440=""),0,IF(AL440&gt;='Setup'!$B$14,-2*'Setup'!$B$11,IF(AND(MAX(AB440,AD440,AF440,AH440,AJ440)&gt;=P440,AK440&gt;=Q440+1),'Setup'!$B$10,IF(OR(MAX(AB440,AD440,AF440,AH440,AJ440)&lt;O440,AK440&lt;Q440-1),-'Setup'!$B$11,0))))</x:f>
        <x:v>0</x:v>
      </x:c>
      <x:c r="AU440" s="333" t="n">
        <x:f>IF(Z440=0,0,IF(AN440&lt;&gt;"Yes",Z440,IF(COUNT(AA440,AC440,AE440,AG440,AI440)=0,Z440,ROUND((MAX(AA440,AC440,AE440,AG440,AI440)*(1+AT440))/'Setup'!$B$9,0)*'Setup'!$B$9)))</x:f>
        <x:v>0</x:v>
      </x:c>
      <x:c r="AV440" s="336"/>
    </x:row>
    <x:row r="441">
      <x:c r="A441" s="310" t="n">
        <x:f>'Setup'!$B$3+(C441-1)*7+(D441-1)</x:f>
        <x:v>46298</x:v>
      </x:c>
      <x:c r="B441" s="311" t="str">
        <x:v>8|6|6</x:v>
      </x:c>
      <x:c r="C441" s="311" t="n">
        <x:v>8</x:v>
      </x:c>
      <x:c r="D441" s="311" t="n">
        <x:v>6</x:v>
      </x:c>
      <x:c r="E441" s="311" t="str">
        <x:v>Deload 2</x:v>
      </x:c>
      <x:c r="F441" s="311" t="str">
        <x:v>Athletic Full Body</x:v>
      </x:c>
      <x:c r="G441" s="311" t="str">
        <x:v>Speed, elastic power, work capacity</x:v>
      </x:c>
      <x:c r="H441" s="311" t="n">
        <x:v>6</x:v>
      </x:c>
      <x:c r="I441" s="311" t="str">
        <x:v>Single-Leg Romanian Deadlift</x:v>
      </x:c>
      <x:c r="J441" s="311" t="str">
        <x:v>Hypertrophy</x:v>
      </x:c>
      <x:c r="K441" s="311" t="str">
        <x:v>Hamstrings</x:v>
      </x:c>
      <x:c r="L441" s="311" t="str">
        <x:v>Straight sets, crisp reps only</x:v>
      </x:c>
      <x:c r="M441" s="311" t="str"/>
      <x:c r="N441" s="311" t="n">
        <x:v>2</x:v>
      </x:c>
      <x:c r="O441" s="311" t="n">
        <x:v>8</x:v>
      </x:c>
      <x:c r="P441" s="311" t="n">
        <x:v>10</x:v>
      </x:c>
      <x:c r="Q441" s="311" t="n">
        <x:v>4</x:v>
      </x:c>
      <x:c r="R441" s="311" t="n">
        <x:v>75</x:v>
      </x:c>
      <x:c r="S441" s="311" t="str">
        <x:v>3-1-1</x:v>
      </x:c>
      <x:c r="T441" s="330" t="n">
        <x:v>0.9</x:v>
      </x:c>
      <x:c r="U441" s="330" t="n">
        <x:v>0</x:v>
      </x:c>
      <x:c r="V441" s="331" t="str">
        <x:v>load × reps</x:v>
      </x:c>
      <x:c r="W441" s="332" t="str">
        <x:f>'Readiness'!K54</x:f>
      </x:c>
      <x:c r="X441" s="314" t="n">
        <x:f>'Readiness'!L54</x:f>
        <x:v>1</x:v>
      </x:c>
      <x:c r="Y441" s="315" t="n">
        <x:f>IF(J441="Mobility",N441,MAX(1,ROUND(N441*X441,0)))</x:f>
        <x:v>2</x:v>
      </x:c>
      <x:c r="Z441" s="333" t="n">
        <x:f>ROUND((IF(AU388&gt;0,AU388,IF(Z388&gt;0,Z388,'Setup'!$D$86))*T441)/'Setup'!$B$9,0)*'Setup'!$B$9</x:f>
        <x:v>0</x:v>
      </x:c>
      <x:c r="AA441" s="334"/>
      <x:c r="AB441" s="334"/>
      <x:c r="AC441" s="334"/>
      <x:c r="AD441" s="334"/>
      <x:c r="AE441" s="334"/>
      <x:c r="AF441" s="334"/>
      <x:c r="AG441" s="334"/>
      <x:c r="AH441" s="334"/>
      <x:c r="AI441" s="334"/>
      <x:c r="AJ441" s="312"/>
      <x:c r="AK441" s="312"/>
      <x:c r="AL441" s="312"/>
      <x:c r="AM441" s="312"/>
      <x:c r="AN441" s="312"/>
      <x:c r="AO441" s="315" t="n">
        <x:f>COUNT(AB441,AD441,AF441,AH441,AJ441)</x:f>
        <x:v>0</x:v>
      </x:c>
      <x:c r="AP441" s="315" t="n">
        <x:f>SUM(AB441,AD441,AF441,AH441,AJ441)</x:f>
        <x:v>0</x:v>
      </x:c>
      <x:c r="AQ441" s="333" t="n">
        <x:f>AA441*AB441+AC441*AD441+AE441*AF441+AG441*AH441+AI441*AJ441</x:f>
        <x:v>0</x:v>
      </x:c>
      <x:c r="AR441" s="333" t="n">
        <x:f>IF(OR(J441="Strength",J441="Hypertrophy"),MAX(IF(AB441&gt;0,AA441*(1+AB441/30),0),IF(AD441&gt;0,AC441*(1+AD441/30),0),IF(AF441&gt;0,AE441*(1+AF441/30),0),IF(AH441&gt;0,AG441*(1+AH441/30),0),IF(AJ441&gt;0,AI441*(1+AJ441/30),0)),0)</x:f>
        <x:v>0</x:v>
      </x:c>
      <x:c r="AS441" s="315" t="str">
        <x:f>IF(AN441&lt;&gt;"Yes","Not logged",IF(AL441&gt;='Setup'!$B$14,"STOP / MODIFY",IF(Z441=0,"Complete",IF(OR(AO441=0,AK441=""),"Add set data + RIR",IF(AND(MAX(AB441,AD441,AF441,AH441,AJ441)&gt;=P441,AK441&gt;=Q441+1),"Progress",IF(OR(MAX(AB441,AD441,AF441,AH441,AJ441)&lt;O441,AK441&lt;Q441-1),"Regress","Hold"))))))</x:f>
        <x:v>Not logged</x:v>
      </x:c>
      <x:c r="AT441" s="335" t="n">
        <x:f>IF(OR(Z441=0,AN441&lt;&gt;"Yes",AO441=0,AK441=""),0,IF(AL441&gt;='Setup'!$B$14,-2*'Setup'!$B$11,IF(AND(MAX(AB441,AD441,AF441,AH441,AJ441)&gt;=P441,AK441&gt;=Q441+1),'Setup'!$B$10,IF(OR(MAX(AB441,AD441,AF441,AH441,AJ441)&lt;O441,AK441&lt;Q441-1),-'Setup'!$B$11,0))))</x:f>
        <x:v>0</x:v>
      </x:c>
      <x:c r="AU441" s="333" t="n">
        <x:f>IF(Z441=0,0,IF(AN441&lt;&gt;"Yes",Z441,IF(COUNT(AA441,AC441,AE441,AG441,AI441)=0,Z441,ROUND((MAX(AA441,AC441,AE441,AG441,AI441)*(1+AT441))/'Setup'!$B$9,0)*'Setup'!$B$9)))</x:f>
        <x:v>0</x:v>
      </x:c>
      <x:c r="AV441" s="336"/>
    </x:row>
    <x:row r="442">
      <x:c r="A442" s="310" t="n">
        <x:f>'Setup'!$B$3+(C442-1)*7+(D442-1)</x:f>
        <x:v>46298</x:v>
      </x:c>
      <x:c r="B442" s="311" t="str">
        <x:v>8|6|7</x:v>
      </x:c>
      <x:c r="C442" s="311" t="n">
        <x:v>8</x:v>
      </x:c>
      <x:c r="D442" s="311" t="n">
        <x:v>6</x:v>
      </x:c>
      <x:c r="E442" s="311" t="str">
        <x:v>Deload 2</x:v>
      </x:c>
      <x:c r="F442" s="311" t="str">
        <x:v>Athletic Full Body</x:v>
      </x:c>
      <x:c r="G442" s="311" t="str">
        <x:v>Speed, elastic power, work capacity</x:v>
      </x:c>
      <x:c r="H442" s="311" t="n">
        <x:v>7</x:v>
      </x:c>
      <x:c r="I442" s="311" t="str">
        <x:v>Pull-Up</x:v>
      </x:c>
      <x:c r="J442" s="311" t="str">
        <x:v>Hypertrophy</x:v>
      </x:c>
      <x:c r="K442" s="311" t="str">
        <x:v>Back</x:v>
      </x:c>
      <x:c r="L442" s="311" t="str">
        <x:v>Straight sets, crisp reps only</x:v>
      </x:c>
      <x:c r="M442" s="311" t="str"/>
      <x:c r="N442" s="311" t="n">
        <x:v>2</x:v>
      </x:c>
      <x:c r="O442" s="311" t="n">
        <x:v>6</x:v>
      </x:c>
      <x:c r="P442" s="311" t="n">
        <x:v>10</x:v>
      </x:c>
      <x:c r="Q442" s="311" t="n">
        <x:v>4</x:v>
      </x:c>
      <x:c r="R442" s="311" t="n">
        <x:v>75</x:v>
      </x:c>
      <x:c r="S442" s="311" t="str">
        <x:v>2-1-1</x:v>
      </x:c>
      <x:c r="T442" s="330" t="n">
        <x:v>0.9</x:v>
      </x:c>
      <x:c r="U442" s="330" t="n">
        <x:v>0</x:v>
      </x:c>
      <x:c r="V442" s="331" t="str">
        <x:v>reps</x:v>
      </x:c>
      <x:c r="W442" s="332" t="str">
        <x:f>'Readiness'!K54</x:f>
      </x:c>
      <x:c r="X442" s="314" t="n">
        <x:f>'Readiness'!L54</x:f>
        <x:v>1</x:v>
      </x:c>
      <x:c r="Y442" s="315" t="n">
        <x:f>IF(J442="Mobility",N442,MAX(1,ROUND(N442*X442,0)))</x:f>
        <x:v>2</x:v>
      </x:c>
      <x:c r="Z442" s="333" t="n">
        <x:f>0</x:f>
        <x:v>0</x:v>
      </x:c>
      <x:c r="AA442" s="334"/>
      <x:c r="AB442" s="334"/>
      <x:c r="AC442" s="334"/>
      <x:c r="AD442" s="334"/>
      <x:c r="AE442" s="334"/>
      <x:c r="AF442" s="334"/>
      <x:c r="AG442" s="334"/>
      <x:c r="AH442" s="334"/>
      <x:c r="AI442" s="334"/>
      <x:c r="AJ442" s="312"/>
      <x:c r="AK442" s="312"/>
      <x:c r="AL442" s="312"/>
      <x:c r="AM442" s="312"/>
      <x:c r="AN442" s="312"/>
      <x:c r="AO442" s="315" t="n">
        <x:f>COUNT(AB442,AD442,AF442,AH442,AJ442)</x:f>
        <x:v>0</x:v>
      </x:c>
      <x:c r="AP442" s="315" t="n">
        <x:f>SUM(AB442,AD442,AF442,AH442,AJ442)</x:f>
        <x:v>0</x:v>
      </x:c>
      <x:c r="AQ442" s="333" t="n">
        <x:f>AA442*AB442+AC442*AD442+AE442*AF442+AG442*AH442+AI442*AJ442</x:f>
        <x:v>0</x:v>
      </x:c>
      <x:c r="AR442" s="333" t="n">
        <x:f>IF(OR(J442="Strength",J442="Hypertrophy"),MAX(IF(AB442&gt;0,AA442*(1+AB442/30),0),IF(AD442&gt;0,AC442*(1+AD442/30),0),IF(AF442&gt;0,AE442*(1+AF442/30),0),IF(AH442&gt;0,AG442*(1+AH442/30),0),IF(AJ442&gt;0,AI442*(1+AJ442/30),0)),0)</x:f>
        <x:v>0</x:v>
      </x:c>
      <x:c r="AS442" s="315" t="str">
        <x:f>IF(AN442&lt;&gt;"Yes","Not logged",IF(AL442&gt;='Setup'!$B$14,"STOP / MODIFY",IF(Z442=0,"Complete",IF(OR(AO442=0,AK442=""),"Add set data + RIR",IF(AND(MAX(AB442,AD442,AF442,AH442,AJ442)&gt;=P442,AK442&gt;=Q442+1),"Progress",IF(OR(MAX(AB442,AD442,AF442,AH442,AJ442)&lt;O442,AK442&lt;Q442-1),"Regress","Hold"))))))</x:f>
        <x:v>Not logged</x:v>
      </x:c>
      <x:c r="AT442" s="335" t="n">
        <x:f>IF(OR(Z442=0,AN442&lt;&gt;"Yes",AO442=0,AK442=""),0,IF(AL442&gt;='Setup'!$B$14,-2*'Setup'!$B$11,IF(AND(MAX(AB442,AD442,AF442,AH442,AJ442)&gt;=P442,AK442&gt;=Q442+1),'Setup'!$B$10,IF(OR(MAX(AB442,AD442,AF442,AH442,AJ442)&lt;O442,AK442&lt;Q442-1),-'Setup'!$B$11,0))))</x:f>
        <x:v>0</x:v>
      </x:c>
      <x:c r="AU442" s="333" t="n">
        <x:f>IF(Z442=0,0,IF(AN442&lt;&gt;"Yes",Z442,IF(COUNT(AA442,AC442,AE442,AG442,AI442)=0,Z442,ROUND((MAX(AA442,AC442,AE442,AG442,AI442)*(1+AT442))/'Setup'!$B$9,0)*'Setup'!$B$9)))</x:f>
        <x:v>0</x:v>
      </x:c>
      <x:c r="AV442" s="336"/>
    </x:row>
    <x:row r="443">
      <x:c r="A443" s="310" t="n">
        <x:f>'Setup'!$B$3+(C443-1)*7+(D443-1)</x:f>
        <x:v>46298</x:v>
      </x:c>
      <x:c r="B443" s="311" t="str">
        <x:v>8|6|8</x:v>
      </x:c>
      <x:c r="C443" s="311" t="n">
        <x:v>8</x:v>
      </x:c>
      <x:c r="D443" s="311" t="n">
        <x:v>6</x:v>
      </x:c>
      <x:c r="E443" s="311" t="str">
        <x:v>Deload 2</x:v>
      </x:c>
      <x:c r="F443" s="311" t="str">
        <x:v>Athletic Full Body</x:v>
      </x:c>
      <x:c r="G443" s="311" t="str">
        <x:v>Speed, elastic power, work capacity</x:v>
      </x:c>
      <x:c r="H443" s="311" t="n">
        <x:v>8</x:v>
      </x:c>
      <x:c r="I443" s="311" t="str">
        <x:v>Pallof Press</x:v>
      </x:c>
      <x:c r="J443" s="311" t="str">
        <x:v>Hypertrophy</x:v>
      </x:c>
      <x:c r="K443" s="311" t="str">
        <x:v>Core</x:v>
      </x:c>
      <x:c r="L443" s="311" t="str">
        <x:v>Straight sets, crisp reps only</x:v>
      </x:c>
      <x:c r="M443" s="311" t="str"/>
      <x:c r="N443" s="311" t="n">
        <x:v>2</x:v>
      </x:c>
      <x:c r="O443" s="311" t="n">
        <x:v>10</x:v>
      </x:c>
      <x:c r="P443" s="311" t="n">
        <x:v>12</x:v>
      </x:c>
      <x:c r="Q443" s="311" t="n">
        <x:v>4</x:v>
      </x:c>
      <x:c r="R443" s="311" t="n">
        <x:v>45</x:v>
      </x:c>
      <x:c r="S443" s="311" t="str">
        <x:v>2-1-2</x:v>
      </x:c>
      <x:c r="T443" s="330" t="n">
        <x:v>0.9</x:v>
      </x:c>
      <x:c r="U443" s="330" t="n">
        <x:v>0</x:v>
      </x:c>
      <x:c r="V443" s="331" t="str">
        <x:v>load × reps</x:v>
      </x:c>
      <x:c r="W443" s="332" t="str">
        <x:f>'Readiness'!K54</x:f>
      </x:c>
      <x:c r="X443" s="314" t="n">
        <x:f>'Readiness'!L54</x:f>
        <x:v>1</x:v>
      </x:c>
      <x:c r="Y443" s="315" t="n">
        <x:f>IF(J443="Mobility",N443,MAX(1,ROUND(N443*X443,0)))</x:f>
        <x:v>2</x:v>
      </x:c>
      <x:c r="Z443" s="333" t="n">
        <x:f>ROUND((IF(AU390&gt;0,AU390,IF(Z390&gt;0,Z390,'Setup'!$D$71))*T443)/'Setup'!$B$9,0)*'Setup'!$B$9</x:f>
        <x:v>0</x:v>
      </x:c>
      <x:c r="AA443" s="334"/>
      <x:c r="AB443" s="334"/>
      <x:c r="AC443" s="334"/>
      <x:c r="AD443" s="334"/>
      <x:c r="AE443" s="334"/>
      <x:c r="AF443" s="334"/>
      <x:c r="AG443" s="334"/>
      <x:c r="AH443" s="334"/>
      <x:c r="AI443" s="334"/>
      <x:c r="AJ443" s="312"/>
      <x:c r="AK443" s="312"/>
      <x:c r="AL443" s="312"/>
      <x:c r="AM443" s="312"/>
      <x:c r="AN443" s="312"/>
      <x:c r="AO443" s="315" t="n">
        <x:f>COUNT(AB443,AD443,AF443,AH443,AJ443)</x:f>
        <x:v>0</x:v>
      </x:c>
      <x:c r="AP443" s="315" t="n">
        <x:f>SUM(AB443,AD443,AF443,AH443,AJ443)</x:f>
        <x:v>0</x:v>
      </x:c>
      <x:c r="AQ443" s="333" t="n">
        <x:f>AA443*AB443+AC443*AD443+AE443*AF443+AG443*AH443+AI443*AJ443</x:f>
        <x:v>0</x:v>
      </x:c>
      <x:c r="AR443" s="333" t="n">
        <x:f>IF(OR(J443="Strength",J443="Hypertrophy"),MAX(IF(AB443&gt;0,AA443*(1+AB443/30),0),IF(AD443&gt;0,AC443*(1+AD443/30),0),IF(AF443&gt;0,AE443*(1+AF443/30),0),IF(AH443&gt;0,AG443*(1+AH443/30),0),IF(AJ443&gt;0,AI443*(1+AJ443/30),0)),0)</x:f>
        <x:v>0</x:v>
      </x:c>
      <x:c r="AS443" s="315" t="str">
        <x:f>IF(AN443&lt;&gt;"Yes","Not logged",IF(AL443&gt;='Setup'!$B$14,"STOP / MODIFY",IF(Z443=0,"Complete",IF(OR(AO443=0,AK443=""),"Add set data + RIR",IF(AND(MAX(AB443,AD443,AF443,AH443,AJ443)&gt;=P443,AK443&gt;=Q443+1),"Progress",IF(OR(MAX(AB443,AD443,AF443,AH443,AJ443)&lt;O443,AK443&lt;Q443-1),"Regress","Hold"))))))</x:f>
        <x:v>Not logged</x:v>
      </x:c>
      <x:c r="AT443" s="335" t="n">
        <x:f>IF(OR(Z443=0,AN443&lt;&gt;"Yes",AO443=0,AK443=""),0,IF(AL443&gt;='Setup'!$B$14,-2*'Setup'!$B$11,IF(AND(MAX(AB443,AD443,AF443,AH443,AJ443)&gt;=P443,AK443&gt;=Q443+1),'Setup'!$B$10,IF(OR(MAX(AB443,AD443,AF443,AH443,AJ443)&lt;O443,AK443&lt;Q443-1),-'Setup'!$B$11,0))))</x:f>
        <x:v>0</x:v>
      </x:c>
      <x:c r="AU443" s="333" t="n">
        <x:f>IF(Z443=0,0,IF(AN443&lt;&gt;"Yes",Z443,IF(COUNT(AA443,AC443,AE443,AG443,AI443)=0,Z443,ROUND((MAX(AA443,AC443,AE443,AG443,AI443)*(1+AT443))/'Setup'!$B$9,0)*'Setup'!$B$9)))</x:f>
        <x:v>0</x:v>
      </x:c>
      <x:c r="AV443" s="336"/>
    </x:row>
    <x:row r="444">
      <x:c r="A444" s="310" t="n">
        <x:f>'Setup'!$B$3+(C444-1)*7+(D444-1)</x:f>
        <x:v>46298</x:v>
      </x:c>
      <x:c r="B444" s="311" t="str">
        <x:v>8|6|9</x:v>
      </x:c>
      <x:c r="C444" s="311" t="n">
        <x:v>8</x:v>
      </x:c>
      <x:c r="D444" s="311" t="n">
        <x:v>6</x:v>
      </x:c>
      <x:c r="E444" s="311" t="str">
        <x:v>Deload 2</x:v>
      </x:c>
      <x:c r="F444" s="311" t="str">
        <x:v>Athletic Full Body</x:v>
      </x:c>
      <x:c r="G444" s="311" t="str">
        <x:v>Speed, elastic power, work capacity</x:v>
      </x:c>
      <x:c r="H444" s="311" t="n">
        <x:v>9</x:v>
      </x:c>
      <x:c r="I444" s="311" t="str">
        <x:v>RowErg Sprint Intervals</x:v>
      </x:c>
      <x:c r="J444" s="311" t="str">
        <x:v>Athletic</x:v>
      </x:c>
      <x:c r="K444" s="311" t="str">
        <x:v>Full Body</x:v>
      </x:c>
      <x:c r="L444" s="311" t="str">
        <x:v>Straight sets, crisp reps only</x:v>
      </x:c>
      <x:c r="M444" s="311" t="str"/>
      <x:c r="N444" s="311" t="n">
        <x:v>3</x:v>
      </x:c>
      <x:c r="O444" s="311" t="n">
        <x:v>20</x:v>
      </x:c>
      <x:c r="P444" s="311" t="n">
        <x:v>20</x:v>
      </x:c>
      <x:c r="Q444" s="311" t="n">
        <x:v>4</x:v>
      </x:c>
      <x:c r="R444" s="311" t="n">
        <x:v>70</x:v>
      </x:c>
      <x:c r="S444" s="311" t="str">
        <x:v>Powerful</x:v>
      </x:c>
      <x:c r="T444" s="330" t="n">
        <x:v>0.9</x:v>
      </x:c>
      <x:c r="U444" s="330" t="n">
        <x:v>0</x:v>
      </x:c>
      <x:c r="V444" s="331" t="str">
        <x:v>watts / meters</x:v>
      </x:c>
      <x:c r="W444" s="332" t="str">
        <x:f>'Readiness'!K54</x:f>
      </x:c>
      <x:c r="X444" s="314" t="n">
        <x:f>'Readiness'!L54</x:f>
        <x:v>1</x:v>
      </x:c>
      <x:c r="Y444" s="315" t="n">
        <x:f>IF(J444="Mobility",N444,MAX(1,ROUND(N444*X444,0)))</x:f>
        <x:v>3</x:v>
      </x:c>
      <x:c r="Z444" s="333" t="n">
        <x:f>0</x:f>
        <x:v>0</x:v>
      </x:c>
      <x:c r="AA444" s="334"/>
      <x:c r="AB444" s="334"/>
      <x:c r="AC444" s="334"/>
      <x:c r="AD444" s="334"/>
      <x:c r="AE444" s="334"/>
      <x:c r="AF444" s="334"/>
      <x:c r="AG444" s="334"/>
      <x:c r="AH444" s="334"/>
      <x:c r="AI444" s="334"/>
      <x:c r="AJ444" s="312"/>
      <x:c r="AK444" s="312"/>
      <x:c r="AL444" s="312"/>
      <x:c r="AM444" s="312"/>
      <x:c r="AN444" s="312"/>
      <x:c r="AO444" s="315" t="n">
        <x:f>COUNT(AB444,AD444,AF444,AH444,AJ444)</x:f>
        <x:v>0</x:v>
      </x:c>
      <x:c r="AP444" s="315" t="n">
        <x:f>SUM(AB444,AD444,AF444,AH444,AJ444)</x:f>
        <x:v>0</x:v>
      </x:c>
      <x:c r="AQ444" s="333" t="n">
        <x:f>AA444*AB444+AC444*AD444+AE444*AF444+AG444*AH444+AI444*AJ444</x:f>
        <x:v>0</x:v>
      </x:c>
      <x:c r="AR444" s="333" t="n">
        <x:f>IF(OR(J444="Strength",J444="Hypertrophy"),MAX(IF(AB444&gt;0,AA444*(1+AB444/30),0),IF(AD444&gt;0,AC444*(1+AD444/30),0),IF(AF444&gt;0,AE444*(1+AF444/30),0),IF(AH444&gt;0,AG444*(1+AH444/30),0),IF(AJ444&gt;0,AI444*(1+AJ444/30),0)),0)</x:f>
        <x:v>0</x:v>
      </x:c>
      <x:c r="AS444" s="315" t="str">
        <x:f>IF(AN444&lt;&gt;"Yes","Not logged",IF(AL444&gt;='Setup'!$B$14,"STOP / MODIFY",IF(Z444=0,"Complete",IF(OR(AO444=0,AK444=""),"Add set data + RIR",IF(AND(MAX(AB444,AD444,AF444,AH444,AJ444)&gt;=P444,AK444&gt;=Q444+1),"Progress",IF(OR(MAX(AB444,AD444,AF444,AH444,AJ444)&lt;O444,AK444&lt;Q444-1),"Regress","Hold"))))))</x:f>
        <x:v>Not logged</x:v>
      </x:c>
      <x:c r="AT444" s="335" t="n">
        <x:f>IF(OR(Z444=0,AN444&lt;&gt;"Yes",AO444=0,AK444=""),0,IF(AL444&gt;='Setup'!$B$14,-2*'Setup'!$B$11,IF(AND(MAX(AB444,AD444,AF444,AH444,AJ444)&gt;=P444,AK444&gt;=Q444+1),'Setup'!$B$10,IF(OR(MAX(AB444,AD444,AF444,AH444,AJ444)&lt;O444,AK444&lt;Q444-1),-'Setup'!$B$11,0))))</x:f>
        <x:v>0</x:v>
      </x:c>
      <x:c r="AU444" s="333" t="n">
        <x:f>IF(Z444=0,0,IF(AN444&lt;&gt;"Yes",Z444,IF(COUNT(AA444,AC444,AE444,AG444,AI444)=0,Z444,ROUND((MAX(AA444,AC444,AE444,AG444,AI444)*(1+AT444))/'Setup'!$B$9,0)*'Setup'!$B$9)))</x:f>
        <x:v>0</x:v>
      </x:c>
      <x:c r="AV444" s="336"/>
    </x:row>
    <x:row r="445">
      <x:c r="A445" s="310" t="n">
        <x:f>'Setup'!$B$3+(C445-1)*7+(D445-1)</x:f>
        <x:v>46298</x:v>
      </x:c>
      <x:c r="B445" s="311" t="str">
        <x:v>8|6|10</x:v>
      </x:c>
      <x:c r="C445" s="311" t="n">
        <x:v>8</x:v>
      </x:c>
      <x:c r="D445" s="311" t="n">
        <x:v>6</x:v>
      </x:c>
      <x:c r="E445" s="311" t="str">
        <x:v>Deload 2</x:v>
      </x:c>
      <x:c r="F445" s="311" t="str">
        <x:v>Athletic Full Body</x:v>
      </x:c>
      <x:c r="G445" s="311" t="str">
        <x:v>Speed, elastic power, work capacity</x:v>
      </x:c>
      <x:c r="H445" s="311" t="n">
        <x:v>10</x:v>
      </x:c>
      <x:c r="I445" s="311" t="str">
        <x:v>Full-Body Mobility Flow</x:v>
      </x:c>
      <x:c r="J445" s="311" t="str">
        <x:v>Mobility</x:v>
      </x:c>
      <x:c r="K445" s="311" t="str">
        <x:v>Full Body</x:v>
      </x:c>
      <x:c r="L445" s="311" t="str">
        <x:v>Straight sets, crisp reps only</x:v>
      </x:c>
      <x:c r="M445" s="311" t="str"/>
      <x:c r="N445" s="311" t="n">
        <x:v>1</x:v>
      </x:c>
      <x:c r="O445" s="311" t="n">
        <x:v>8</x:v>
      </x:c>
      <x:c r="P445" s="311" t="n">
        <x:v>12</x:v>
      </x:c>
      <x:c r="Q445" s="311" t="str"/>
      <x:c r="R445" s="311" t="n">
        <x:v>0</x:v>
      </x:c>
      <x:c r="S445" s="311" t="str">
        <x:v>Easy</x:v>
      </x:c>
      <x:c r="T445" s="330" t="n">
        <x:v>0.9</x:v>
      </x:c>
      <x:c r="U445" s="330" t="n">
        <x:v>0</x:v>
      </x:c>
      <x:c r="V445" s="331" t="str">
        <x:v>minutes</x:v>
      </x:c>
      <x:c r="W445" s="332" t="str">
        <x:f>'Readiness'!K54</x:f>
      </x:c>
      <x:c r="X445" s="314" t="n">
        <x:f>'Readiness'!L54</x:f>
        <x:v>1</x:v>
      </x:c>
      <x:c r="Y445" s="315" t="n">
        <x:f>IF(J445="Mobility",N445,MAX(1,ROUND(N445*X445,0)))</x:f>
        <x:v>1</x:v>
      </x:c>
      <x:c r="Z445" s="333" t="n">
        <x:f>0</x:f>
        <x:v>0</x:v>
      </x:c>
      <x:c r="AA445" s="334"/>
      <x:c r="AB445" s="334"/>
      <x:c r="AC445" s="334"/>
      <x:c r="AD445" s="334"/>
      <x:c r="AE445" s="334"/>
      <x:c r="AF445" s="334"/>
      <x:c r="AG445" s="334"/>
      <x:c r="AH445" s="334"/>
      <x:c r="AI445" s="334"/>
      <x:c r="AJ445" s="312"/>
      <x:c r="AK445" s="312"/>
      <x:c r="AL445" s="312"/>
      <x:c r="AM445" s="312"/>
      <x:c r="AN445" s="312"/>
      <x:c r="AO445" s="315" t="n">
        <x:f>COUNT(AB445,AD445,AF445,AH445,AJ445)</x:f>
        <x:v>0</x:v>
      </x:c>
      <x:c r="AP445" s="315" t="n">
        <x:f>SUM(AB445,AD445,AF445,AH445,AJ445)</x:f>
        <x:v>0</x:v>
      </x:c>
      <x:c r="AQ445" s="333" t="n">
        <x:f>AA445*AB445+AC445*AD445+AE445*AF445+AG445*AH445+AI445*AJ445</x:f>
        <x:v>0</x:v>
      </x:c>
      <x:c r="AR445" s="333" t="n">
        <x:f>IF(OR(J445="Strength",J445="Hypertrophy"),MAX(IF(AB445&gt;0,AA445*(1+AB445/30),0),IF(AD445&gt;0,AC445*(1+AD445/30),0),IF(AF445&gt;0,AE445*(1+AF445/30),0),IF(AH445&gt;0,AG445*(1+AH445/30),0),IF(AJ445&gt;0,AI445*(1+AJ445/30),0)),0)</x:f>
        <x:v>0</x:v>
      </x:c>
      <x:c r="AS445" s="315" t="str">
        <x:f>IF(AN445&lt;&gt;"Yes","Not logged",IF(AL445&gt;='Setup'!$B$14,"STOP / MODIFY",IF(Z445=0,"Complete",IF(OR(AO445=0,AK445=""),"Add set data + RIR",IF(AND(MAX(AB445,AD445,AF445,AH445,AJ445)&gt;=P445,AK445&gt;=Q445+1),"Progress",IF(OR(MAX(AB445,AD445,AF445,AH445,AJ445)&lt;O445,AK445&lt;Q445-1),"Regress","Hold"))))))</x:f>
        <x:v>Not logged</x:v>
      </x:c>
      <x:c r="AT445" s="335" t="n">
        <x:f>IF(OR(Z445=0,AN445&lt;&gt;"Yes",AO445=0,AK445=""),0,IF(AL445&gt;='Setup'!$B$14,-2*'Setup'!$B$11,IF(AND(MAX(AB445,AD445,AF445,AH445,AJ445)&gt;=P445,AK445&gt;=Q445+1),'Setup'!$B$10,IF(OR(MAX(AB445,AD445,AF445,AH445,AJ445)&lt;O445,AK445&lt;Q445-1),-'Setup'!$B$11,0))))</x:f>
        <x:v>0</x:v>
      </x:c>
      <x:c r="AU445" s="333" t="n">
        <x:f>IF(Z445=0,0,IF(AN445&lt;&gt;"Yes",Z445,IF(COUNT(AA445,AC445,AE445,AG445,AI445)=0,Z445,ROUND((MAX(AA445,AC445,AE445,AG445,AI445)*(1+AT445))/'Setup'!$B$9,0)*'Setup'!$B$9)))</x:f>
        <x:v>0</x:v>
      </x:c>
      <x:c r="AV445" s="336"/>
    </x:row>
    <x:row r="446">
      <x:c r="A446" s="310" t="n">
        <x:f>'Setup'!$B$3+(C446-1)*7+(D446-1)</x:f>
        <x:v>46300</x:v>
      </x:c>
      <x:c r="B446" s="311" t="str">
        <x:v>9|1|1</x:v>
      </x:c>
      <x:c r="C446" s="311" t="n">
        <x:v>9</x:v>
      </x:c>
      <x:c r="D446" s="311" t="n">
        <x:v>1</x:v>
      </x:c>
      <x:c r="E446" s="311" t="str">
        <x:v>Realization</x:v>
      </x:c>
      <x:c r="F446" s="311" t="str">
        <x:v>Lower Power + Squat</x:v>
      </x:c>
      <x:c r="G446" s="311" t="str">
        <x:v>Squat strength and reactive power</x:v>
      </x:c>
      <x:c r="H446" s="311" t="n">
        <x:v>1</x:v>
      </x:c>
      <x:c r="I446" s="311" t="str">
        <x:v>Pogo Jump</x:v>
      </x:c>
      <x:c r="J446" s="311" t="str">
        <x:v>Power</x:v>
      </x:c>
      <x:c r="K446" s="311" t="str">
        <x:v>Calves</x:v>
      </x:c>
      <x:c r="L446" s="311" t="str">
        <x:v>Stiff, quick contacts</x:v>
      </x:c>
      <x:c r="M446" s="311" t="str"/>
      <x:c r="N446" s="311" t="n">
        <x:v>3</x:v>
      </x:c>
      <x:c r="O446" s="311" t="n">
        <x:v>15</x:v>
      </x:c>
      <x:c r="P446" s="311" t="n">
        <x:v>20</x:v>
      </x:c>
      <x:c r="Q446" s="311" t="n">
        <x:v>3</x:v>
      </x:c>
      <x:c r="R446" s="311" t="n">
        <x:v>45</x:v>
      </x:c>
      <x:c r="S446" s="311" t="str">
        <x:v>Explosive</x:v>
      </x:c>
      <x:c r="T446" s="330" t="n">
        <x:v>1.11</x:v>
      </x:c>
      <x:c r="U446" s="330" t="n">
        <x:v>0</x:v>
      </x:c>
      <x:c r="V446" s="331" t="str">
        <x:v>contacts</x:v>
      </x:c>
      <x:c r="W446" s="332" t="str">
        <x:f>'Readiness'!K55</x:f>
      </x:c>
      <x:c r="X446" s="314" t="n">
        <x:f>'Readiness'!L55</x:f>
        <x:v>1</x:v>
      </x:c>
      <x:c r="Y446" s="315" t="n">
        <x:f>IF(J446="Mobility",N446,MAX(1,ROUND(N446*X446,0)))</x:f>
        <x:v>3</x:v>
      </x:c>
      <x:c r="Z446" s="333" t="n">
        <x:f>0</x:f>
        <x:v>0</x:v>
      </x:c>
      <x:c r="AA446" s="334"/>
      <x:c r="AB446" s="334"/>
      <x:c r="AC446" s="334"/>
      <x:c r="AD446" s="334"/>
      <x:c r="AE446" s="334"/>
      <x:c r="AF446" s="334"/>
      <x:c r="AG446" s="334"/>
      <x:c r="AH446" s="334"/>
      <x:c r="AI446" s="334"/>
      <x:c r="AJ446" s="312"/>
      <x:c r="AK446" s="312"/>
      <x:c r="AL446" s="312"/>
      <x:c r="AM446" s="312"/>
      <x:c r="AN446" s="312"/>
      <x:c r="AO446" s="315" t="n">
        <x:f>COUNT(AB446,AD446,AF446,AH446,AJ446)</x:f>
        <x:v>0</x:v>
      </x:c>
      <x:c r="AP446" s="315" t="n">
        <x:f>SUM(AB446,AD446,AF446,AH446,AJ446)</x:f>
        <x:v>0</x:v>
      </x:c>
      <x:c r="AQ446" s="333" t="n">
        <x:f>AA446*AB446+AC446*AD446+AE446*AF446+AG446*AH446+AI446*AJ446</x:f>
        <x:v>0</x:v>
      </x:c>
      <x:c r="AR446" s="333" t="n">
        <x:f>IF(OR(J446="Strength",J446="Hypertrophy"),MAX(IF(AB446&gt;0,AA446*(1+AB446/30),0),IF(AD446&gt;0,AC446*(1+AD446/30),0),IF(AF446&gt;0,AE446*(1+AF446/30),0),IF(AH446&gt;0,AG446*(1+AH446/30),0),IF(AJ446&gt;0,AI446*(1+AJ446/30),0)),0)</x:f>
        <x:v>0</x:v>
      </x:c>
      <x:c r="AS446" s="315" t="str">
        <x:f>IF(AN446&lt;&gt;"Yes","Not logged",IF(AL446&gt;='Setup'!$B$14,"STOP / MODIFY",IF(Z446=0,"Complete",IF(OR(AO446=0,AK446=""),"Add set data + RIR",IF(AND(MAX(AB446,AD446,AF446,AH446,AJ446)&gt;=P446,AK446&gt;=Q446+1),"Progress",IF(OR(MAX(AB446,AD446,AF446,AH446,AJ446)&lt;O446,AK446&lt;Q446-1),"Regress","Hold"))))))</x:f>
        <x:v>Not logged</x:v>
      </x:c>
      <x:c r="AT446" s="335" t="n">
        <x:f>IF(OR(Z446=0,AN446&lt;&gt;"Yes",AO446=0,AK446=""),0,IF(AL446&gt;='Setup'!$B$14,-2*'Setup'!$B$11,IF(AND(MAX(AB446,AD446,AF446,AH446,AJ446)&gt;=P446,AK446&gt;=Q446+1),'Setup'!$B$10,IF(OR(MAX(AB446,AD446,AF446,AH446,AJ446)&lt;O446,AK446&lt;Q446-1),-'Setup'!$B$11,0))))</x:f>
        <x:v>0</x:v>
      </x:c>
      <x:c r="AU446" s="333" t="n">
        <x:f>IF(Z446=0,0,IF(AN446&lt;&gt;"Yes",Z446,IF(COUNT(AA446,AC446,AE446,AG446,AI446)=0,Z446,ROUND((MAX(AA446,AC446,AE446,AG446,AI446)*(1+AT446))/'Setup'!$B$9,0)*'Setup'!$B$9)))</x:f>
        <x:v>0</x:v>
      </x:c>
      <x:c r="AV446" s="336"/>
    </x:row>
    <x:row r="447">
      <x:c r="A447" s="310" t="n">
        <x:f>'Setup'!$B$3+(C447-1)*7+(D447-1)</x:f>
        <x:v>46300</x:v>
      </x:c>
      <x:c r="B447" s="311" t="str">
        <x:v>9|1|2</x:v>
      </x:c>
      <x:c r="C447" s="311" t="n">
        <x:v>9</x:v>
      </x:c>
      <x:c r="D447" s="311" t="n">
        <x:v>1</x:v>
      </x:c>
      <x:c r="E447" s="311" t="str">
        <x:v>Realization</x:v>
      </x:c>
      <x:c r="F447" s="311" t="str">
        <x:v>Lower Power + Squat</x:v>
      </x:c>
      <x:c r="G447" s="311" t="str">
        <x:v>Squat strength and reactive power</x:v>
      </x:c>
      <x:c r="H447" s="311" t="n">
        <x:v>2</x:v>
      </x:c>
      <x:c r="I447" s="311" t="str">
        <x:v>Box Jump</x:v>
      </x:c>
      <x:c r="J447" s="311" t="str">
        <x:v>Power</x:v>
      </x:c>
      <x:c r="K447" s="311" t="str">
        <x:v>Quads</x:v>
      </x:c>
      <x:c r="L447" s="311" t="str">
        <x:v>Full reset, stop if height drops</x:v>
      </x:c>
      <x:c r="M447" s="311" t="str"/>
      <x:c r="N447" s="311" t="n">
        <x:v>4</x:v>
      </x:c>
      <x:c r="O447" s="311" t="n">
        <x:v>3</x:v>
      </x:c>
      <x:c r="P447" s="311" t="n">
        <x:v>3</x:v>
      </x:c>
      <x:c r="Q447" s="311" t="n">
        <x:v>3</x:v>
      </x:c>
      <x:c r="R447" s="311" t="n">
        <x:v>75</x:v>
      </x:c>
      <x:c r="S447" s="311" t="str">
        <x:v>Explosive</x:v>
      </x:c>
      <x:c r="T447" s="330" t="n">
        <x:v>1.11</x:v>
      </x:c>
      <x:c r="U447" s="330" t="n">
        <x:v>0</x:v>
      </x:c>
      <x:c r="V447" s="331" t="str">
        <x:v>height</x:v>
      </x:c>
      <x:c r="W447" s="332" t="str">
        <x:f>'Readiness'!K55</x:f>
      </x:c>
      <x:c r="X447" s="314" t="n">
        <x:f>'Readiness'!L55</x:f>
        <x:v>1</x:v>
      </x:c>
      <x:c r="Y447" s="315" t="n">
        <x:f>IF(J447="Mobility",N447,MAX(1,ROUND(N447*X447,0)))</x:f>
        <x:v>4</x:v>
      </x:c>
      <x:c r="Z447" s="333" t="n">
        <x:f>0</x:f>
        <x:v>0</x:v>
      </x:c>
      <x:c r="AA447" s="334"/>
      <x:c r="AB447" s="334"/>
      <x:c r="AC447" s="334"/>
      <x:c r="AD447" s="334"/>
      <x:c r="AE447" s="334"/>
      <x:c r="AF447" s="334"/>
      <x:c r="AG447" s="334"/>
      <x:c r="AH447" s="334"/>
      <x:c r="AI447" s="334"/>
      <x:c r="AJ447" s="312"/>
      <x:c r="AK447" s="312"/>
      <x:c r="AL447" s="312"/>
      <x:c r="AM447" s="312"/>
      <x:c r="AN447" s="312"/>
      <x:c r="AO447" s="315" t="n">
        <x:f>COUNT(AB447,AD447,AF447,AH447,AJ447)</x:f>
        <x:v>0</x:v>
      </x:c>
      <x:c r="AP447" s="315" t="n">
        <x:f>SUM(AB447,AD447,AF447,AH447,AJ447)</x:f>
        <x:v>0</x:v>
      </x:c>
      <x:c r="AQ447" s="333" t="n">
        <x:f>AA447*AB447+AC447*AD447+AE447*AF447+AG447*AH447+AI447*AJ447</x:f>
        <x:v>0</x:v>
      </x:c>
      <x:c r="AR447" s="333" t="n">
        <x:f>IF(OR(J447="Strength",J447="Hypertrophy"),MAX(IF(AB447&gt;0,AA447*(1+AB447/30),0),IF(AD447&gt;0,AC447*(1+AD447/30),0),IF(AF447&gt;0,AE447*(1+AF447/30),0),IF(AH447&gt;0,AG447*(1+AH447/30),0),IF(AJ447&gt;0,AI447*(1+AJ447/30),0)),0)</x:f>
        <x:v>0</x:v>
      </x:c>
      <x:c r="AS447" s="315" t="str">
        <x:f>IF(AN447&lt;&gt;"Yes","Not logged",IF(AL447&gt;='Setup'!$B$14,"STOP / MODIFY",IF(Z447=0,"Complete",IF(OR(AO447=0,AK447=""),"Add set data + RIR",IF(AND(MAX(AB447,AD447,AF447,AH447,AJ447)&gt;=P447,AK447&gt;=Q447+1),"Progress",IF(OR(MAX(AB447,AD447,AF447,AH447,AJ447)&lt;O447,AK447&lt;Q447-1),"Regress","Hold"))))))</x:f>
        <x:v>Not logged</x:v>
      </x:c>
      <x:c r="AT447" s="335" t="n">
        <x:f>IF(OR(Z447=0,AN447&lt;&gt;"Yes",AO447=0,AK447=""),0,IF(AL447&gt;='Setup'!$B$14,-2*'Setup'!$B$11,IF(AND(MAX(AB447,AD447,AF447,AH447,AJ447)&gt;=P447,AK447&gt;=Q447+1),'Setup'!$B$10,IF(OR(MAX(AB447,AD447,AF447,AH447,AJ447)&lt;O447,AK447&lt;Q447-1),-'Setup'!$B$11,0))))</x:f>
        <x:v>0</x:v>
      </x:c>
      <x:c r="AU447" s="333" t="n">
        <x:f>IF(Z447=0,0,IF(AN447&lt;&gt;"Yes",Z447,IF(COUNT(AA447,AC447,AE447,AG447,AI447)=0,Z447,ROUND((MAX(AA447,AC447,AE447,AG447,AI447)*(1+AT447))/'Setup'!$B$9,0)*'Setup'!$B$9)))</x:f>
        <x:v>0</x:v>
      </x:c>
      <x:c r="AV447" s="336"/>
    </x:row>
    <x:row r="448">
      <x:c r="A448" s="310" t="n">
        <x:f>'Setup'!$B$3+(C448-1)*7+(D448-1)</x:f>
        <x:v>46300</x:v>
      </x:c>
      <x:c r="B448" s="311" t="str">
        <x:v>9|1|3</x:v>
      </x:c>
      <x:c r="C448" s="311" t="n">
        <x:v>9</x:v>
      </x:c>
      <x:c r="D448" s="311" t="n">
        <x:v>1</x:v>
      </x:c>
      <x:c r="E448" s="311" t="str">
        <x:v>Realization</x:v>
      </x:c>
      <x:c r="F448" s="311" t="str">
        <x:v>Lower Power + Squat</x:v>
      </x:c>
      <x:c r="G448" s="311" t="str">
        <x:v>Squat strength and reactive power</x:v>
      </x:c>
      <x:c r="H448" s="311" t="n">
        <x:v>3</x:v>
      </x:c>
      <x:c r="I448" s="311" t="str">
        <x:v>Back Squat</x:v>
      </x:c>
      <x:c r="J448" s="311" t="str">
        <x:v>Strength</x:v>
      </x:c>
      <x:c r="K448" s="311" t="str">
        <x:v>Quads</x:v>
      </x:c>
      <x:c r="L448" s="311" t="str">
        <x:v>Top set + back-offs</x:v>
      </x:c>
      <x:c r="M448" s="311" t="str"/>
      <x:c r="N448" s="311" t="n">
        <x:v>4</x:v>
      </x:c>
      <x:c r="O448" s="311" t="n">
        <x:v>3</x:v>
      </x:c>
      <x:c r="P448" s="311" t="n">
        <x:v>5</x:v>
      </x:c>
      <x:c r="Q448" s="311" t="n">
        <x:v>3</x:v>
      </x:c>
      <x:c r="R448" s="311" t="n">
        <x:v>180</x:v>
      </x:c>
      <x:c r="S448" s="311" t="str">
        <x:v>3-1-X</x:v>
      </x:c>
      <x:c r="T448" s="330" t="n">
        <x:v>1.11</x:v>
      </x:c>
      <x:c r="U448" s="330" t="n">
        <x:v>0.82</x:v>
      </x:c>
      <x:c r="V448" s="331" t="str">
        <x:v>load × reps</x:v>
      </x:c>
      <x:c r="W448" s="332" t="str">
        <x:f>'Readiness'!K55</x:f>
      </x:c>
      <x:c r="X448" s="314" t="n">
        <x:f>'Readiness'!L55</x:f>
        <x:v>1</x:v>
      </x:c>
      <x:c r="Y448" s="315" t="n">
        <x:f>IF(J448="Mobility",N448,MAX(1,ROUND(N448*X448,0)))</x:f>
        <x:v>4</x:v>
      </x:c>
      <x:c r="Z448" s="333" t="n">
        <x:f>ROUND((IF(AU394&gt;0,AU394,IF(Z394&gt;0,Z394,'Setup'!$D$23))*T448)/'Setup'!$B$9,0)*'Setup'!$B$9</x:f>
        <x:v>0</x:v>
      </x:c>
      <x:c r="AA448" s="334"/>
      <x:c r="AB448" s="334"/>
      <x:c r="AC448" s="334"/>
      <x:c r="AD448" s="334"/>
      <x:c r="AE448" s="334"/>
      <x:c r="AF448" s="334"/>
      <x:c r="AG448" s="334"/>
      <x:c r="AH448" s="334"/>
      <x:c r="AI448" s="334"/>
      <x:c r="AJ448" s="312"/>
      <x:c r="AK448" s="312"/>
      <x:c r="AL448" s="312"/>
      <x:c r="AM448" s="312"/>
      <x:c r="AN448" s="312"/>
      <x:c r="AO448" s="315" t="n">
        <x:f>COUNT(AB448,AD448,AF448,AH448,AJ448)</x:f>
        <x:v>0</x:v>
      </x:c>
      <x:c r="AP448" s="315" t="n">
        <x:f>SUM(AB448,AD448,AF448,AH448,AJ448)</x:f>
        <x:v>0</x:v>
      </x:c>
      <x:c r="AQ448" s="333" t="n">
        <x:f>AA448*AB448+AC448*AD448+AE448*AF448+AG448*AH448+AI448*AJ448</x:f>
        <x:v>0</x:v>
      </x:c>
      <x:c r="AR448" s="333" t="n">
        <x:f>IF(OR(J448="Strength",J448="Hypertrophy"),MAX(IF(AB448&gt;0,AA448*(1+AB448/30),0),IF(AD448&gt;0,AC448*(1+AD448/30),0),IF(AF448&gt;0,AE448*(1+AF448/30),0),IF(AH448&gt;0,AG448*(1+AH448/30),0),IF(AJ448&gt;0,AI448*(1+AJ448/30),0)),0)</x:f>
        <x:v>0</x:v>
      </x:c>
      <x:c r="AS448" s="315" t="str">
        <x:f>IF(AN448&lt;&gt;"Yes","Not logged",IF(AL448&gt;='Setup'!$B$14,"STOP / MODIFY",IF(Z448=0,"Complete",IF(OR(AO448=0,AK448=""),"Add set data + RIR",IF(AND(MAX(AB448,AD448,AF448,AH448,AJ448)&gt;=P448,AK448&gt;=Q448+1),"Progress",IF(OR(MAX(AB448,AD448,AF448,AH448,AJ448)&lt;O448,AK448&lt;Q448-1),"Regress","Hold"))))))</x:f>
        <x:v>Not logged</x:v>
      </x:c>
      <x:c r="AT448" s="335" t="n">
        <x:f>IF(OR(Z448=0,AN448&lt;&gt;"Yes",AO448=0,AK448=""),0,IF(AL448&gt;='Setup'!$B$14,-2*'Setup'!$B$11,IF(AND(MAX(AB448,AD448,AF448,AH448,AJ448)&gt;=P448,AK448&gt;=Q448+1),'Setup'!$B$10,IF(OR(MAX(AB448,AD448,AF448,AH448,AJ448)&lt;O448,AK448&lt;Q448-1),-'Setup'!$B$11,0))))</x:f>
        <x:v>0</x:v>
      </x:c>
      <x:c r="AU448" s="333" t="n">
        <x:f>IF(Z448=0,0,IF(AN448&lt;&gt;"Yes",Z448,IF(COUNT(AA448,AC448,AE448,AG448,AI448)=0,Z448,ROUND((MAX(AA448,AC448,AE448,AG448,AI448)*(1+AT448))/'Setup'!$B$9,0)*'Setup'!$B$9)))</x:f>
        <x:v>0</x:v>
      </x:c>
      <x:c r="AV448" s="336"/>
    </x:row>
    <x:row r="449">
      <x:c r="A449" s="310" t="n">
        <x:f>'Setup'!$B$3+(C449-1)*7+(D449-1)</x:f>
        <x:v>46300</x:v>
      </x:c>
      <x:c r="B449" s="311" t="str">
        <x:v>9|1|4</x:v>
      </x:c>
      <x:c r="C449" s="311" t="n">
        <x:v>9</x:v>
      </x:c>
      <x:c r="D449" s="311" t="n">
        <x:v>1</x:v>
      </x:c>
      <x:c r="E449" s="311" t="str">
        <x:v>Realization</x:v>
      </x:c>
      <x:c r="F449" s="311" t="str">
        <x:v>Lower Power + Squat</x:v>
      </x:c>
      <x:c r="G449" s="311" t="str">
        <x:v>Squat strength and reactive power</x:v>
      </x:c>
      <x:c r="H449" s="311" t="n">
        <x:v>4</x:v>
      </x:c>
      <x:c r="I449" s="311" t="str">
        <x:v>Pause Squat</x:v>
      </x:c>
      <x:c r="J449" s="311" t="str">
        <x:v>Strength</x:v>
      </x:c>
      <x:c r="K449" s="311" t="str">
        <x:v>Quads</x:v>
      </x:c>
      <x:c r="L449" s="311" t="str">
        <x:v>Straight sets</x:v>
      </x:c>
      <x:c r="M449" s="311" t="str"/>
      <x:c r="N449" s="311" t="n">
        <x:v>3</x:v>
      </x:c>
      <x:c r="O449" s="311" t="n">
        <x:v>4</x:v>
      </x:c>
      <x:c r="P449" s="311" t="n">
        <x:v>6</x:v>
      </x:c>
      <x:c r="Q449" s="311" t="n">
        <x:v>3</x:v>
      </x:c>
      <x:c r="R449" s="311" t="n">
        <x:v>150</x:v>
      </x:c>
      <x:c r="S449" s="311" t="str">
        <x:v>3-2-X</x:v>
      </x:c>
      <x:c r="T449" s="330" t="n">
        <x:v>1.11</x:v>
      </x:c>
      <x:c r="U449" s="330" t="n">
        <x:v>0.66</x:v>
      </x:c>
      <x:c r="V449" s="331" t="str">
        <x:v>load × reps</x:v>
      </x:c>
      <x:c r="W449" s="332" t="str">
        <x:f>'Readiness'!K55</x:f>
      </x:c>
      <x:c r="X449" s="314" t="n">
        <x:f>'Readiness'!L55</x:f>
        <x:v>1</x:v>
      </x:c>
      <x:c r="Y449" s="315" t="n">
        <x:f>IF(J449="Mobility",N449,MAX(1,ROUND(N449*X449,0)))</x:f>
        <x:v>3</x:v>
      </x:c>
      <x:c r="Z449" s="333" t="n">
        <x:f>IF('Setup'!$D$73&gt;0,'Setup'!$D$73,IF('Setup'!$B$6&gt;0,ROUND(('Setup'!$B$6*U449)/'Setup'!$B$9,0)*'Setup'!$B$9,0))</x:f>
        <x:v>0</x:v>
      </x:c>
      <x:c r="AA449" s="334"/>
      <x:c r="AB449" s="334"/>
      <x:c r="AC449" s="334"/>
      <x:c r="AD449" s="334"/>
      <x:c r="AE449" s="334"/>
      <x:c r="AF449" s="334"/>
      <x:c r="AG449" s="334"/>
      <x:c r="AH449" s="334"/>
      <x:c r="AI449" s="334"/>
      <x:c r="AJ449" s="312"/>
      <x:c r="AK449" s="312"/>
      <x:c r="AL449" s="312"/>
      <x:c r="AM449" s="312"/>
      <x:c r="AN449" s="312"/>
      <x:c r="AO449" s="315" t="n">
        <x:f>COUNT(AB449,AD449,AF449,AH449,AJ449)</x:f>
        <x:v>0</x:v>
      </x:c>
      <x:c r="AP449" s="315" t="n">
        <x:f>SUM(AB449,AD449,AF449,AH449,AJ449)</x:f>
        <x:v>0</x:v>
      </x:c>
      <x:c r="AQ449" s="333" t="n">
        <x:f>AA449*AB449+AC449*AD449+AE449*AF449+AG449*AH449+AI449*AJ449</x:f>
        <x:v>0</x:v>
      </x:c>
      <x:c r="AR449" s="333" t="n">
        <x:f>IF(OR(J449="Strength",J449="Hypertrophy"),MAX(IF(AB449&gt;0,AA449*(1+AB449/30),0),IF(AD449&gt;0,AC449*(1+AD449/30),0),IF(AF449&gt;0,AE449*(1+AF449/30),0),IF(AH449&gt;0,AG449*(1+AH449/30),0),IF(AJ449&gt;0,AI449*(1+AJ449/30),0)),0)</x:f>
        <x:v>0</x:v>
      </x:c>
      <x:c r="AS449" s="315" t="str">
        <x:f>IF(AN449&lt;&gt;"Yes","Not logged",IF(AL449&gt;='Setup'!$B$14,"STOP / MODIFY",IF(Z449=0,"Complete",IF(OR(AO449=0,AK449=""),"Add set data + RIR",IF(AND(MAX(AB449,AD449,AF449,AH449,AJ449)&gt;=P449,AK449&gt;=Q449+1),"Progress",IF(OR(MAX(AB449,AD449,AF449,AH449,AJ449)&lt;O449,AK449&lt;Q449-1),"Regress","Hold"))))))</x:f>
        <x:v>Not logged</x:v>
      </x:c>
      <x:c r="AT449" s="335" t="n">
        <x:f>IF(OR(Z449=0,AN449&lt;&gt;"Yes",AO449=0,AK449=""),0,IF(AL449&gt;='Setup'!$B$14,-2*'Setup'!$B$11,IF(AND(MAX(AB449,AD449,AF449,AH449,AJ449)&gt;=P449,AK449&gt;=Q449+1),'Setup'!$B$10,IF(OR(MAX(AB449,AD449,AF449,AH449,AJ449)&lt;O449,AK449&lt;Q449-1),-'Setup'!$B$11,0))))</x:f>
        <x:v>0</x:v>
      </x:c>
      <x:c r="AU449" s="333" t="n">
        <x:f>IF(Z449=0,0,IF(AN449&lt;&gt;"Yes",Z449,IF(COUNT(AA449,AC449,AE449,AG449,AI449)=0,Z449,ROUND((MAX(AA449,AC449,AE449,AG449,AI449)*(1+AT449))/'Setup'!$B$9,0)*'Setup'!$B$9)))</x:f>
        <x:v>0</x:v>
      </x:c>
      <x:c r="AV449" s="336"/>
    </x:row>
    <x:row r="450">
      <x:c r="A450" s="310" t="n">
        <x:f>'Setup'!$B$3+(C450-1)*7+(D450-1)</x:f>
        <x:v>46300</x:v>
      </x:c>
      <x:c r="B450" s="311" t="str">
        <x:v>9|1|5</x:v>
      </x:c>
      <x:c r="C450" s="311" t="n">
        <x:v>9</x:v>
      </x:c>
      <x:c r="D450" s="311" t="n">
        <x:v>1</x:v>
      </x:c>
      <x:c r="E450" s="311" t="str">
        <x:v>Realization</x:v>
      </x:c>
      <x:c r="F450" s="311" t="str">
        <x:v>Lower Power + Squat</x:v>
      </x:c>
      <x:c r="G450" s="311" t="str">
        <x:v>Squat strength and reactive power</x:v>
      </x:c>
      <x:c r="H450" s="311" t="n">
        <x:v>5</x:v>
      </x:c>
      <x:c r="I450" s="311" t="str">
        <x:v>Romanian Deadlift</x:v>
      </x:c>
      <x:c r="J450" s="311" t="str">
        <x:v>Strength</x:v>
      </x:c>
      <x:c r="K450" s="311" t="str">
        <x:v>Hamstrings</x:v>
      </x:c>
      <x:c r="L450" s="311" t="str">
        <x:v>Straight sets</x:v>
      </x:c>
      <x:c r="M450" s="311" t="str"/>
      <x:c r="N450" s="311" t="n">
        <x:v>3</x:v>
      </x:c>
      <x:c r="O450" s="311" t="n">
        <x:v>6</x:v>
      </x:c>
      <x:c r="P450" s="311" t="n">
        <x:v>8</x:v>
      </x:c>
      <x:c r="Q450" s="311" t="n">
        <x:v>3</x:v>
      </x:c>
      <x:c r="R450" s="311" t="n">
        <x:v>120</x:v>
      </x:c>
      <x:c r="S450" s="311" t="str">
        <x:v>3-1-1</x:v>
      </x:c>
      <x:c r="T450" s="330" t="n">
        <x:v>1.11</x:v>
      </x:c>
      <x:c r="U450" s="330" t="n">
        <x:v>0.62</x:v>
      </x:c>
      <x:c r="V450" s="331" t="str">
        <x:v>load × reps</x:v>
      </x:c>
      <x:c r="W450" s="332" t="str">
        <x:f>'Readiness'!K55</x:f>
      </x:c>
      <x:c r="X450" s="314" t="n">
        <x:f>'Readiness'!L55</x:f>
        <x:v>1</x:v>
      </x:c>
      <x:c r="Y450" s="315" t="n">
        <x:f>IF(J450="Mobility",N450,MAX(1,ROUND(N450*X450,0)))</x:f>
        <x:v>3</x:v>
      </x:c>
      <x:c r="Z450" s="333" t="n">
        <x:f>ROUND((IF(AU412&gt;0,AU412,IF(Z412&gt;0,Z412,'Setup'!$D$79))*T450)/'Setup'!$B$9,0)*'Setup'!$B$9</x:f>
        <x:v>0</x:v>
      </x:c>
      <x:c r="AA450" s="334"/>
      <x:c r="AB450" s="334"/>
      <x:c r="AC450" s="334"/>
      <x:c r="AD450" s="334"/>
      <x:c r="AE450" s="334"/>
      <x:c r="AF450" s="334"/>
      <x:c r="AG450" s="334"/>
      <x:c r="AH450" s="334"/>
      <x:c r="AI450" s="334"/>
      <x:c r="AJ450" s="312"/>
      <x:c r="AK450" s="312"/>
      <x:c r="AL450" s="312"/>
      <x:c r="AM450" s="312"/>
      <x:c r="AN450" s="312"/>
      <x:c r="AO450" s="315" t="n">
        <x:f>COUNT(AB450,AD450,AF450,AH450,AJ450)</x:f>
        <x:v>0</x:v>
      </x:c>
      <x:c r="AP450" s="315" t="n">
        <x:f>SUM(AB450,AD450,AF450,AH450,AJ450)</x:f>
        <x:v>0</x:v>
      </x:c>
      <x:c r="AQ450" s="333" t="n">
        <x:f>AA450*AB450+AC450*AD450+AE450*AF450+AG450*AH450+AI450*AJ450</x:f>
        <x:v>0</x:v>
      </x:c>
      <x:c r="AR450" s="333" t="n">
        <x:f>IF(OR(J450="Strength",J450="Hypertrophy"),MAX(IF(AB450&gt;0,AA450*(1+AB450/30),0),IF(AD450&gt;0,AC450*(1+AD450/30),0),IF(AF450&gt;0,AE450*(1+AF450/30),0),IF(AH450&gt;0,AG450*(1+AH450/30),0),IF(AJ450&gt;0,AI450*(1+AJ450/30),0)),0)</x:f>
        <x:v>0</x:v>
      </x:c>
      <x:c r="AS450" s="315" t="str">
        <x:f>IF(AN450&lt;&gt;"Yes","Not logged",IF(AL450&gt;='Setup'!$B$14,"STOP / MODIFY",IF(Z450=0,"Complete",IF(OR(AO450=0,AK450=""),"Add set data + RIR",IF(AND(MAX(AB450,AD450,AF450,AH450,AJ450)&gt;=P450,AK450&gt;=Q450+1),"Progress",IF(OR(MAX(AB450,AD450,AF450,AH450,AJ450)&lt;O450,AK450&lt;Q450-1),"Regress","Hold"))))))</x:f>
        <x:v>Not logged</x:v>
      </x:c>
      <x:c r="AT450" s="335" t="n">
        <x:f>IF(OR(Z450=0,AN450&lt;&gt;"Yes",AO450=0,AK450=""),0,IF(AL450&gt;='Setup'!$B$14,-2*'Setup'!$B$11,IF(AND(MAX(AB450,AD450,AF450,AH450,AJ450)&gt;=P450,AK450&gt;=Q450+1),'Setup'!$B$10,IF(OR(MAX(AB450,AD450,AF450,AH450,AJ450)&lt;O450,AK450&lt;Q450-1),-'Setup'!$B$11,0))))</x:f>
        <x:v>0</x:v>
      </x:c>
      <x:c r="AU450" s="333" t="n">
        <x:f>IF(Z450=0,0,IF(AN450&lt;&gt;"Yes",Z450,IF(COUNT(AA450,AC450,AE450,AG450,AI450)=0,Z450,ROUND((MAX(AA450,AC450,AE450,AG450,AI450)*(1+AT450))/'Setup'!$B$9,0)*'Setup'!$B$9)))</x:f>
        <x:v>0</x:v>
      </x:c>
      <x:c r="AV450" s="336"/>
    </x:row>
    <x:row r="451">
      <x:c r="A451" s="310" t="n">
        <x:f>'Setup'!$B$3+(C451-1)*7+(D451-1)</x:f>
        <x:v>46300</x:v>
      </x:c>
      <x:c r="B451" s="311" t="str">
        <x:v>9|1|6</x:v>
      </x:c>
      <x:c r="C451" s="311" t="n">
        <x:v>9</x:v>
      </x:c>
      <x:c r="D451" s="311" t="n">
        <x:v>1</x:v>
      </x:c>
      <x:c r="E451" s="311" t="str">
        <x:v>Realization</x:v>
      </x:c>
      <x:c r="F451" s="311" t="str">
        <x:v>Lower Power + Squat</x:v>
      </x:c>
      <x:c r="G451" s="311" t="str">
        <x:v>Squat strength and reactive power</x:v>
      </x:c>
      <x:c r="H451" s="311" t="n">
        <x:v>6</x:v>
      </x:c>
      <x:c r="I451" s="311" t="str">
        <x:v>Bulgarian Split Squat</x:v>
      </x:c>
      <x:c r="J451" s="311" t="str">
        <x:v>Hypertrophy</x:v>
      </x:c>
      <x:c r="K451" s="311" t="str">
        <x:v>Quads</x:v>
      </x:c>
      <x:c r="L451" s="311" t="str">
        <x:v>Straight sets</x:v>
      </x:c>
      <x:c r="M451" s="311" t="str"/>
      <x:c r="N451" s="311" t="n">
        <x:v>3</x:v>
      </x:c>
      <x:c r="O451" s="311" t="n">
        <x:v>8</x:v>
      </x:c>
      <x:c r="P451" s="311" t="n">
        <x:v>10</x:v>
      </x:c>
      <x:c r="Q451" s="311" t="n">
        <x:v>3</x:v>
      </x:c>
      <x:c r="R451" s="311" t="n">
        <x:v>90</x:v>
      </x:c>
      <x:c r="S451" s="311" t="str">
        <x:v>3-0-1</x:v>
      </x:c>
      <x:c r="T451" s="330" t="n">
        <x:v>1.11</x:v>
      </x:c>
      <x:c r="U451" s="330" t="n">
        <x:v>0</x:v>
      </x:c>
      <x:c r="V451" s="331" t="str">
        <x:v>load × reps</x:v>
      </x:c>
      <x:c r="W451" s="332" t="str">
        <x:f>'Readiness'!K55</x:f>
      </x:c>
      <x:c r="X451" s="314" t="n">
        <x:f>'Readiness'!L55</x:f>
        <x:v>1</x:v>
      </x:c>
      <x:c r="Y451" s="315" t="n">
        <x:f>IF(J451="Mobility",N451,MAX(1,ROUND(N451*X451,0)))</x:f>
        <x:v>3</x:v>
      </x:c>
      <x:c r="Z451" s="333" t="n">
        <x:f>ROUND((IF(AU413&gt;0,AU413,IF(Z413&gt;0,Z413,'Setup'!$D$30))*T451)/'Setup'!$B$9,0)*'Setup'!$B$9</x:f>
        <x:v>0</x:v>
      </x:c>
      <x:c r="AA451" s="334"/>
      <x:c r="AB451" s="334"/>
      <x:c r="AC451" s="334"/>
      <x:c r="AD451" s="334"/>
      <x:c r="AE451" s="334"/>
      <x:c r="AF451" s="334"/>
      <x:c r="AG451" s="334"/>
      <x:c r="AH451" s="334"/>
      <x:c r="AI451" s="334"/>
      <x:c r="AJ451" s="312"/>
      <x:c r="AK451" s="312"/>
      <x:c r="AL451" s="312"/>
      <x:c r="AM451" s="312"/>
      <x:c r="AN451" s="312"/>
      <x:c r="AO451" s="315" t="n">
        <x:f>COUNT(AB451,AD451,AF451,AH451,AJ451)</x:f>
        <x:v>0</x:v>
      </x:c>
      <x:c r="AP451" s="315" t="n">
        <x:f>SUM(AB451,AD451,AF451,AH451,AJ451)</x:f>
        <x:v>0</x:v>
      </x:c>
      <x:c r="AQ451" s="333" t="n">
        <x:f>AA451*AB451+AC451*AD451+AE451*AF451+AG451*AH451+AI451*AJ451</x:f>
        <x:v>0</x:v>
      </x:c>
      <x:c r="AR451" s="333" t="n">
        <x:f>IF(OR(J451="Strength",J451="Hypertrophy"),MAX(IF(AB451&gt;0,AA451*(1+AB451/30),0),IF(AD451&gt;0,AC451*(1+AD451/30),0),IF(AF451&gt;0,AE451*(1+AF451/30),0),IF(AH451&gt;0,AG451*(1+AH451/30),0),IF(AJ451&gt;0,AI451*(1+AJ451/30),0)),0)</x:f>
        <x:v>0</x:v>
      </x:c>
      <x:c r="AS451" s="315" t="str">
        <x:f>IF(AN451&lt;&gt;"Yes","Not logged",IF(AL451&gt;='Setup'!$B$14,"STOP / MODIFY",IF(Z451=0,"Complete",IF(OR(AO451=0,AK451=""),"Add set data + RIR",IF(AND(MAX(AB451,AD451,AF451,AH451,AJ451)&gt;=P451,AK451&gt;=Q451+1),"Progress",IF(OR(MAX(AB451,AD451,AF451,AH451,AJ451)&lt;O451,AK451&lt;Q451-1),"Regress","Hold"))))))</x:f>
        <x:v>Not logged</x:v>
      </x:c>
      <x:c r="AT451" s="335" t="n">
        <x:f>IF(OR(Z451=0,AN451&lt;&gt;"Yes",AO451=0,AK451=""),0,IF(AL451&gt;='Setup'!$B$14,-2*'Setup'!$B$11,IF(AND(MAX(AB451,AD451,AF451,AH451,AJ451)&gt;=P451,AK451&gt;=Q451+1),'Setup'!$B$10,IF(OR(MAX(AB451,AD451,AF451,AH451,AJ451)&lt;O451,AK451&lt;Q451-1),-'Setup'!$B$11,0))))</x:f>
        <x:v>0</x:v>
      </x:c>
      <x:c r="AU451" s="333" t="n">
        <x:f>IF(Z451=0,0,IF(AN451&lt;&gt;"Yes",Z451,IF(COUNT(AA451,AC451,AE451,AG451,AI451)=0,Z451,ROUND((MAX(AA451,AC451,AE451,AG451,AI451)*(1+AT451))/'Setup'!$B$9,0)*'Setup'!$B$9)))</x:f>
        <x:v>0</x:v>
      </x:c>
      <x:c r="AV451" s="336"/>
    </x:row>
    <x:row r="452">
      <x:c r="A452" s="310" t="n">
        <x:f>'Setup'!$B$3+(C452-1)*7+(D452-1)</x:f>
        <x:v>46300</x:v>
      </x:c>
      <x:c r="B452" s="311" t="str">
        <x:v>9|1|7</x:v>
      </x:c>
      <x:c r="C452" s="311" t="n">
        <x:v>9</x:v>
      </x:c>
      <x:c r="D452" s="311" t="n">
        <x:v>1</x:v>
      </x:c>
      <x:c r="E452" s="311" t="str">
        <x:v>Realization</x:v>
      </x:c>
      <x:c r="F452" s="311" t="str">
        <x:v>Lower Power + Squat</x:v>
      </x:c>
      <x:c r="G452" s="311" t="str">
        <x:v>Squat strength and reactive power</x:v>
      </x:c>
      <x:c r="H452" s="311" t="n">
        <x:v>7</x:v>
      </x:c>
      <x:c r="I452" s="311" t="str">
        <x:v>Standing Calf Raise</x:v>
      </x:c>
      <x:c r="J452" s="311" t="str">
        <x:v>Hypertrophy</x:v>
      </x:c>
      <x:c r="K452" s="311" t="str">
        <x:v>Calves</x:v>
      </x:c>
      <x:c r="L452" s="311" t="str">
        <x:v>Straight sets</x:v>
      </x:c>
      <x:c r="M452" s="311" t="str"/>
      <x:c r="N452" s="311" t="n">
        <x:v>3</x:v>
      </x:c>
      <x:c r="O452" s="311" t="n">
        <x:v>10</x:v>
      </x:c>
      <x:c r="P452" s="311" t="n">
        <x:v>15</x:v>
      </x:c>
      <x:c r="Q452" s="311" t="n">
        <x:v>3</x:v>
      </x:c>
      <x:c r="R452" s="311" t="n">
        <x:v>60</x:v>
      </x:c>
      <x:c r="S452" s="311" t="str">
        <x:v>2-2-1</x:v>
      </x:c>
      <x:c r="T452" s="330" t="n">
        <x:v>1.11</x:v>
      </x:c>
      <x:c r="U452" s="330" t="n">
        <x:v>0</x:v>
      </x:c>
      <x:c r="V452" s="331" t="str">
        <x:v>load × reps</x:v>
      </x:c>
      <x:c r="W452" s="332" t="str">
        <x:f>'Readiness'!K55</x:f>
      </x:c>
      <x:c r="X452" s="314" t="n">
        <x:f>'Readiness'!L55</x:f>
        <x:v>1</x:v>
      </x:c>
      <x:c r="Y452" s="315" t="n">
        <x:f>IF(J452="Mobility",N452,MAX(1,ROUND(N452*X452,0)))</x:f>
        <x:v>3</x:v>
      </x:c>
      <x:c r="Z452" s="333" t="n">
        <x:f>ROUND((IF(AU398&gt;0,AU398,IF(Z398&gt;0,Z398,'Setup'!$D$90))*T452)/'Setup'!$B$9,0)*'Setup'!$B$9</x:f>
        <x:v>0</x:v>
      </x:c>
      <x:c r="AA452" s="334"/>
      <x:c r="AB452" s="334"/>
      <x:c r="AC452" s="334"/>
      <x:c r="AD452" s="334"/>
      <x:c r="AE452" s="334"/>
      <x:c r="AF452" s="334"/>
      <x:c r="AG452" s="334"/>
      <x:c r="AH452" s="334"/>
      <x:c r="AI452" s="334"/>
      <x:c r="AJ452" s="312"/>
      <x:c r="AK452" s="312"/>
      <x:c r="AL452" s="312"/>
      <x:c r="AM452" s="312"/>
      <x:c r="AN452" s="312"/>
      <x:c r="AO452" s="315" t="n">
        <x:f>COUNT(AB452,AD452,AF452,AH452,AJ452)</x:f>
        <x:v>0</x:v>
      </x:c>
      <x:c r="AP452" s="315" t="n">
        <x:f>SUM(AB452,AD452,AF452,AH452,AJ452)</x:f>
        <x:v>0</x:v>
      </x:c>
      <x:c r="AQ452" s="333" t="n">
        <x:f>AA452*AB452+AC452*AD452+AE452*AF452+AG452*AH452+AI452*AJ452</x:f>
        <x:v>0</x:v>
      </x:c>
      <x:c r="AR452" s="333" t="n">
        <x:f>IF(OR(J452="Strength",J452="Hypertrophy"),MAX(IF(AB452&gt;0,AA452*(1+AB452/30),0),IF(AD452&gt;0,AC452*(1+AD452/30),0),IF(AF452&gt;0,AE452*(1+AF452/30),0),IF(AH452&gt;0,AG452*(1+AH452/30),0),IF(AJ452&gt;0,AI452*(1+AJ452/30),0)),0)</x:f>
        <x:v>0</x:v>
      </x:c>
      <x:c r="AS452" s="315" t="str">
        <x:f>IF(AN452&lt;&gt;"Yes","Not logged",IF(AL452&gt;='Setup'!$B$14,"STOP / MODIFY",IF(Z452=0,"Complete",IF(OR(AO452=0,AK452=""),"Add set data + RIR",IF(AND(MAX(AB452,AD452,AF452,AH452,AJ452)&gt;=P452,AK452&gt;=Q452+1),"Progress",IF(OR(MAX(AB452,AD452,AF452,AH452,AJ452)&lt;O452,AK452&lt;Q452-1),"Regress","Hold"))))))</x:f>
        <x:v>Not logged</x:v>
      </x:c>
      <x:c r="AT452" s="335" t="n">
        <x:f>IF(OR(Z452=0,AN452&lt;&gt;"Yes",AO452=0,AK452=""),0,IF(AL452&gt;='Setup'!$B$14,-2*'Setup'!$B$11,IF(AND(MAX(AB452,AD452,AF452,AH452,AJ452)&gt;=P452,AK452&gt;=Q452+1),'Setup'!$B$10,IF(OR(MAX(AB452,AD452,AF452,AH452,AJ452)&lt;O452,AK452&lt;Q452-1),-'Setup'!$B$11,0))))</x:f>
        <x:v>0</x:v>
      </x:c>
      <x:c r="AU452" s="333" t="n">
        <x:f>IF(Z452=0,0,IF(AN452&lt;&gt;"Yes",Z452,IF(COUNT(AA452,AC452,AE452,AG452,AI452)=0,Z452,ROUND((MAX(AA452,AC452,AE452,AG452,AI452)*(1+AT452))/'Setup'!$B$9,0)*'Setup'!$B$9)))</x:f>
        <x:v>0</x:v>
      </x:c>
      <x:c r="AV452" s="336"/>
    </x:row>
    <x:row r="453">
      <x:c r="A453" s="310" t="n">
        <x:f>'Setup'!$B$3+(C453-1)*7+(D453-1)</x:f>
        <x:v>46300</x:v>
      </x:c>
      <x:c r="B453" s="311" t="str">
        <x:v>9|1|8</x:v>
      </x:c>
      <x:c r="C453" s="311" t="n">
        <x:v>9</x:v>
      </x:c>
      <x:c r="D453" s="311" t="n">
        <x:v>1</x:v>
      </x:c>
      <x:c r="E453" s="311" t="str">
        <x:v>Realization</x:v>
      </x:c>
      <x:c r="F453" s="311" t="str">
        <x:v>Lower Power + Squat</x:v>
      </x:c>
      <x:c r="G453" s="311" t="str">
        <x:v>Squat strength and reactive power</x:v>
      </x:c>
      <x:c r="H453" s="311" t="n">
        <x:v>8</x:v>
      </x:c>
      <x:c r="I453" s="311" t="str">
        <x:v>Ankle Dorsiflexion Mobilization</x:v>
      </x:c>
      <x:c r="J453" s="311" t="str">
        <x:v>Mobility</x:v>
      </x:c>
      <x:c r="K453" s="311" t="str">
        <x:v>Ankles</x:v>
      </x:c>
      <x:c r="L453" s="311" t="str">
        <x:v>Controlled mobility</x:v>
      </x:c>
      <x:c r="M453" s="311" t="str"/>
      <x:c r="N453" s="311" t="n">
        <x:v>2</x:v>
      </x:c>
      <x:c r="O453" s="311" t="n">
        <x:v>8</x:v>
      </x:c>
      <x:c r="P453" s="311" t="n">
        <x:v>12</x:v>
      </x:c>
      <x:c r="Q453" s="311" t="str"/>
      <x:c r="R453" s="311" t="n">
        <x:v>20</x:v>
      </x:c>
      <x:c r="S453" s="311" t="str">
        <x:v>Slow</x:v>
      </x:c>
      <x:c r="T453" s="330" t="n">
        <x:v>1.11</x:v>
      </x:c>
      <x:c r="U453" s="330" t="n">
        <x:v>0</x:v>
      </x:c>
      <x:c r="V453" s="331" t="str">
        <x:v>reps</x:v>
      </x:c>
      <x:c r="W453" s="332" t="str">
        <x:f>'Readiness'!K55</x:f>
      </x:c>
      <x:c r="X453" s="314" t="n">
        <x:f>'Readiness'!L55</x:f>
        <x:v>1</x:v>
      </x:c>
      <x:c r="Y453" s="315" t="n">
        <x:f>IF(J453="Mobility",N453,MAX(1,ROUND(N453*X453,0)))</x:f>
        <x:v>2</x:v>
      </x:c>
      <x:c r="Z453" s="333" t="n">
        <x:f>0</x:f>
        <x:v>0</x:v>
      </x:c>
      <x:c r="AA453" s="334"/>
      <x:c r="AB453" s="334"/>
      <x:c r="AC453" s="334"/>
      <x:c r="AD453" s="334"/>
      <x:c r="AE453" s="334"/>
      <x:c r="AF453" s="334"/>
      <x:c r="AG453" s="334"/>
      <x:c r="AH453" s="334"/>
      <x:c r="AI453" s="334"/>
      <x:c r="AJ453" s="312"/>
      <x:c r="AK453" s="312"/>
      <x:c r="AL453" s="312"/>
      <x:c r="AM453" s="312"/>
      <x:c r="AN453" s="312"/>
      <x:c r="AO453" s="315" t="n">
        <x:f>COUNT(AB453,AD453,AF453,AH453,AJ453)</x:f>
        <x:v>0</x:v>
      </x:c>
      <x:c r="AP453" s="315" t="n">
        <x:f>SUM(AB453,AD453,AF453,AH453,AJ453)</x:f>
        <x:v>0</x:v>
      </x:c>
      <x:c r="AQ453" s="333" t="n">
        <x:f>AA453*AB453+AC453*AD453+AE453*AF453+AG453*AH453+AI453*AJ453</x:f>
        <x:v>0</x:v>
      </x:c>
      <x:c r="AR453" s="333" t="n">
        <x:f>IF(OR(J453="Strength",J453="Hypertrophy"),MAX(IF(AB453&gt;0,AA453*(1+AB453/30),0),IF(AD453&gt;0,AC453*(1+AD453/30),0),IF(AF453&gt;0,AE453*(1+AF453/30),0),IF(AH453&gt;0,AG453*(1+AH453/30),0),IF(AJ453&gt;0,AI453*(1+AJ453/30),0)),0)</x:f>
        <x:v>0</x:v>
      </x:c>
      <x:c r="AS453" s="315" t="str">
        <x:f>IF(AN453&lt;&gt;"Yes","Not logged",IF(AL453&gt;='Setup'!$B$14,"STOP / MODIFY",IF(Z453=0,"Complete",IF(OR(AO453=0,AK453=""),"Add set data + RIR",IF(AND(MAX(AB453,AD453,AF453,AH453,AJ453)&gt;=P453,AK453&gt;=Q453+1),"Progress",IF(OR(MAX(AB453,AD453,AF453,AH453,AJ453)&lt;O453,AK453&lt;Q453-1),"Regress","Hold"))))))</x:f>
        <x:v>Not logged</x:v>
      </x:c>
      <x:c r="AT453" s="335" t="n">
        <x:f>IF(OR(Z453=0,AN453&lt;&gt;"Yes",AO453=0,AK453=""),0,IF(AL453&gt;='Setup'!$B$14,-2*'Setup'!$B$11,IF(AND(MAX(AB453,AD453,AF453,AH453,AJ453)&gt;=P453,AK453&gt;=Q453+1),'Setup'!$B$10,IF(OR(MAX(AB453,AD453,AF453,AH453,AJ453)&lt;O453,AK453&lt;Q453-1),-'Setup'!$B$11,0))))</x:f>
        <x:v>0</x:v>
      </x:c>
      <x:c r="AU453" s="333" t="n">
        <x:f>IF(Z453=0,0,IF(AN453&lt;&gt;"Yes",Z453,IF(COUNT(AA453,AC453,AE453,AG453,AI453)=0,Z453,ROUND((MAX(AA453,AC453,AE453,AG453,AI453)*(1+AT453))/'Setup'!$B$9,0)*'Setup'!$B$9)))</x:f>
        <x:v>0</x:v>
      </x:c>
      <x:c r="AV453" s="336"/>
    </x:row>
    <x:row r="454">
      <x:c r="A454" s="310" t="n">
        <x:f>'Setup'!$B$3+(C454-1)*7+(D454-1)</x:f>
        <x:v>46300</x:v>
      </x:c>
      <x:c r="B454" s="311" t="str">
        <x:v>9|1|9</x:v>
      </x:c>
      <x:c r="C454" s="311" t="n">
        <x:v>9</x:v>
      </x:c>
      <x:c r="D454" s="311" t="n">
        <x:v>1</x:v>
      </x:c>
      <x:c r="E454" s="311" t="str">
        <x:v>Realization</x:v>
      </x:c>
      <x:c r="F454" s="311" t="str">
        <x:v>Lower Power + Squat</x:v>
      </x:c>
      <x:c r="G454" s="311" t="str">
        <x:v>Squat strength and reactive power</x:v>
      </x:c>
      <x:c r="H454" s="311" t="n">
        <x:v>9</x:v>
      </x:c>
      <x:c r="I454" s="311" t="str">
        <x:v>90/90 Hip Switch</x:v>
      </x:c>
      <x:c r="J454" s="311" t="str">
        <x:v>Mobility</x:v>
      </x:c>
      <x:c r="K454" s="311" t="str">
        <x:v>Hips</x:v>
      </x:c>
      <x:c r="L454" s="311" t="str">
        <x:v>Controlled mobility</x:v>
      </x:c>
      <x:c r="M454" s="311" t="str"/>
      <x:c r="N454" s="311" t="n">
        <x:v>2</x:v>
      </x:c>
      <x:c r="O454" s="311" t="n">
        <x:v>6</x:v>
      </x:c>
      <x:c r="P454" s="311" t="n">
        <x:v>10</x:v>
      </x:c>
      <x:c r="Q454" s="311" t="str"/>
      <x:c r="R454" s="311" t="n">
        <x:v>20</x:v>
      </x:c>
      <x:c r="S454" s="311" t="str">
        <x:v>Slow</x:v>
      </x:c>
      <x:c r="T454" s="330" t="n">
        <x:v>1.11</x:v>
      </x:c>
      <x:c r="U454" s="330" t="n">
        <x:v>0</x:v>
      </x:c>
      <x:c r="V454" s="331" t="str">
        <x:v>reps</x:v>
      </x:c>
      <x:c r="W454" s="332" t="str">
        <x:f>'Readiness'!K55</x:f>
      </x:c>
      <x:c r="X454" s="314" t="n">
        <x:f>'Readiness'!L55</x:f>
        <x:v>1</x:v>
      </x:c>
      <x:c r="Y454" s="315" t="n">
        <x:f>IF(J454="Mobility",N454,MAX(1,ROUND(N454*X454,0)))</x:f>
        <x:v>2</x:v>
      </x:c>
      <x:c r="Z454" s="333" t="n">
        <x:f>0</x:f>
        <x:v>0</x:v>
      </x:c>
      <x:c r="AA454" s="334"/>
      <x:c r="AB454" s="334"/>
      <x:c r="AC454" s="334"/>
      <x:c r="AD454" s="334"/>
      <x:c r="AE454" s="334"/>
      <x:c r="AF454" s="334"/>
      <x:c r="AG454" s="334"/>
      <x:c r="AH454" s="334"/>
      <x:c r="AI454" s="334"/>
      <x:c r="AJ454" s="312"/>
      <x:c r="AK454" s="312"/>
      <x:c r="AL454" s="312"/>
      <x:c r="AM454" s="312"/>
      <x:c r="AN454" s="312"/>
      <x:c r="AO454" s="315" t="n">
        <x:f>COUNT(AB454,AD454,AF454,AH454,AJ454)</x:f>
        <x:v>0</x:v>
      </x:c>
      <x:c r="AP454" s="315" t="n">
        <x:f>SUM(AB454,AD454,AF454,AH454,AJ454)</x:f>
        <x:v>0</x:v>
      </x:c>
      <x:c r="AQ454" s="333" t="n">
        <x:f>AA454*AB454+AC454*AD454+AE454*AF454+AG454*AH454+AI454*AJ454</x:f>
        <x:v>0</x:v>
      </x:c>
      <x:c r="AR454" s="333" t="n">
        <x:f>IF(OR(J454="Strength",J454="Hypertrophy"),MAX(IF(AB454&gt;0,AA454*(1+AB454/30),0),IF(AD454&gt;0,AC454*(1+AD454/30),0),IF(AF454&gt;0,AE454*(1+AF454/30),0),IF(AH454&gt;0,AG454*(1+AH454/30),0),IF(AJ454&gt;0,AI454*(1+AJ454/30),0)),0)</x:f>
        <x:v>0</x:v>
      </x:c>
      <x:c r="AS454" s="315" t="str">
        <x:f>IF(AN454&lt;&gt;"Yes","Not logged",IF(AL454&gt;='Setup'!$B$14,"STOP / MODIFY",IF(Z454=0,"Complete",IF(OR(AO454=0,AK454=""),"Add set data + RIR",IF(AND(MAX(AB454,AD454,AF454,AH454,AJ454)&gt;=P454,AK454&gt;=Q454+1),"Progress",IF(OR(MAX(AB454,AD454,AF454,AH454,AJ454)&lt;O454,AK454&lt;Q454-1),"Regress","Hold"))))))</x:f>
        <x:v>Not logged</x:v>
      </x:c>
      <x:c r="AT454" s="335" t="n">
        <x:f>IF(OR(Z454=0,AN454&lt;&gt;"Yes",AO454=0,AK454=""),0,IF(AL454&gt;='Setup'!$B$14,-2*'Setup'!$B$11,IF(AND(MAX(AB454,AD454,AF454,AH454,AJ454)&gt;=P454,AK454&gt;=Q454+1),'Setup'!$B$10,IF(OR(MAX(AB454,AD454,AF454,AH454,AJ454)&lt;O454,AK454&lt;Q454-1),-'Setup'!$B$11,0))))</x:f>
        <x:v>0</x:v>
      </x:c>
      <x:c r="AU454" s="333" t="n">
        <x:f>IF(Z454=0,0,IF(AN454&lt;&gt;"Yes",Z454,IF(COUNT(AA454,AC454,AE454,AG454,AI454)=0,Z454,ROUND((MAX(AA454,AC454,AE454,AG454,AI454)*(1+AT454))/'Setup'!$B$9,0)*'Setup'!$B$9)))</x:f>
        <x:v>0</x:v>
      </x:c>
      <x:c r="AV454" s="336"/>
    </x:row>
    <x:row r="455">
      <x:c r="A455" s="310" t="n">
        <x:f>'Setup'!$B$3+(C455-1)*7+(D455-1)</x:f>
        <x:v>46301</x:v>
      </x:c>
      <x:c r="B455" s="311" t="str">
        <x:v>9|2|1</x:v>
      </x:c>
      <x:c r="C455" s="311" t="n">
        <x:v>9</x:v>
      </x:c>
      <x:c r="D455" s="311" t="n">
        <x:v>2</x:v>
      </x:c>
      <x:c r="E455" s="311" t="str">
        <x:v>Realization</x:v>
      </x:c>
      <x:c r="F455" s="311" t="str">
        <x:v>Back + Triceps</x:v>
      </x:c>
      <x:c r="G455" s="311" t="str">
        <x:v>High-volume back with triceps isolation</x:v>
      </x:c>
      <x:c r="H455" s="311" t="n">
        <x:v>1</x:v>
      </x:c>
      <x:c r="I455" s="311" t="str">
        <x:v>Neutral-Grip Lat Pulldown</x:v>
      </x:c>
      <x:c r="J455" s="311" t="str">
        <x:v>Hypertrophy</x:v>
      </x:c>
      <x:c r="K455" s="311" t="str">
        <x:v>Back</x:v>
      </x:c>
      <x:c r="L455" s="311" t="str">
        <x:v>Straight sets</x:v>
      </x:c>
      <x:c r="M455" s="311" t="str"/>
      <x:c r="N455" s="311" t="n">
        <x:v>4</x:v>
      </x:c>
      <x:c r="O455" s="311" t="n">
        <x:v>8</x:v>
      </x:c>
      <x:c r="P455" s="311" t="n">
        <x:v>12</x:v>
      </x:c>
      <x:c r="Q455" s="311" t="n">
        <x:v>3</x:v>
      </x:c>
      <x:c r="R455" s="311" t="n">
        <x:v>90</x:v>
      </x:c>
      <x:c r="S455" s="311" t="str">
        <x:v>2-1-1</x:v>
      </x:c>
      <x:c r="T455" s="330" t="n">
        <x:v>1.11</x:v>
      </x:c>
      <x:c r="U455" s="330" t="n">
        <x:v>0</x:v>
      </x:c>
      <x:c r="V455" s="331" t="str">
        <x:v>load × reps</x:v>
      </x:c>
      <x:c r="W455" s="332" t="str">
        <x:f>'Readiness'!K56</x:f>
      </x:c>
      <x:c r="X455" s="314" t="n">
        <x:f>'Readiness'!L56</x:f>
        <x:v>1</x:v>
      </x:c>
      <x:c r="Y455" s="315" t="n">
        <x:f>IF(J455="Mobility",N455,MAX(1,ROUND(N455*X455,0)))</x:f>
        <x:v>4</x:v>
      </x:c>
      <x:c r="Z455" s="333" t="n">
        <x:f>ROUND((IF(AU217&gt;0,AU217,IF(Z217&gt;0,Z217,'Setup'!$D$65))*T455)/'Setup'!$B$9,0)*'Setup'!$B$9</x:f>
        <x:v>0</x:v>
      </x:c>
      <x:c r="AA455" s="334"/>
      <x:c r="AB455" s="334"/>
      <x:c r="AC455" s="334"/>
      <x:c r="AD455" s="334"/>
      <x:c r="AE455" s="334"/>
      <x:c r="AF455" s="334"/>
      <x:c r="AG455" s="334"/>
      <x:c r="AH455" s="334"/>
      <x:c r="AI455" s="334"/>
      <x:c r="AJ455" s="312"/>
      <x:c r="AK455" s="312"/>
      <x:c r="AL455" s="312"/>
      <x:c r="AM455" s="312"/>
      <x:c r="AN455" s="312"/>
      <x:c r="AO455" s="315" t="n">
        <x:f>COUNT(AB455,AD455,AF455,AH455,AJ455)</x:f>
        <x:v>0</x:v>
      </x:c>
      <x:c r="AP455" s="315" t="n">
        <x:f>SUM(AB455,AD455,AF455,AH455,AJ455)</x:f>
        <x:v>0</x:v>
      </x:c>
      <x:c r="AQ455" s="333" t="n">
        <x:f>AA455*AB455+AC455*AD455+AE455*AF455+AG455*AH455+AI455*AJ455</x:f>
        <x:v>0</x:v>
      </x:c>
      <x:c r="AR455" s="333" t="n">
        <x:f>IF(OR(J455="Strength",J455="Hypertrophy"),MAX(IF(AB455&gt;0,AA455*(1+AB455/30),0),IF(AD455&gt;0,AC455*(1+AD455/30),0),IF(AF455&gt;0,AE455*(1+AF455/30),0),IF(AH455&gt;0,AG455*(1+AH455/30),0),IF(AJ455&gt;0,AI455*(1+AJ455/30),0)),0)</x:f>
        <x:v>0</x:v>
      </x:c>
      <x:c r="AS455" s="315" t="str">
        <x:f>IF(AN455&lt;&gt;"Yes","Not logged",IF(AL455&gt;='Setup'!$B$14,"STOP / MODIFY",IF(Z455=0,"Complete",IF(OR(AO455=0,AK455=""),"Add set data + RIR",IF(AND(MAX(AB455,AD455,AF455,AH455,AJ455)&gt;=P455,AK455&gt;=Q455+1),"Progress",IF(OR(MAX(AB455,AD455,AF455,AH455,AJ455)&lt;O455,AK455&lt;Q455-1),"Regress","Hold"))))))</x:f>
        <x:v>Not logged</x:v>
      </x:c>
      <x:c r="AT455" s="335" t="n">
        <x:f>IF(OR(Z455=0,AN455&lt;&gt;"Yes",AO455=0,AK455=""),0,IF(AL455&gt;='Setup'!$B$14,-2*'Setup'!$B$11,IF(AND(MAX(AB455,AD455,AF455,AH455,AJ455)&gt;=P455,AK455&gt;=Q455+1),'Setup'!$B$10,IF(OR(MAX(AB455,AD455,AF455,AH455,AJ455)&lt;O455,AK455&lt;Q455-1),-'Setup'!$B$11,0))))</x:f>
        <x:v>0</x:v>
      </x:c>
      <x:c r="AU455" s="333" t="n">
        <x:f>IF(Z455=0,0,IF(AN455&lt;&gt;"Yes",Z455,IF(COUNT(AA455,AC455,AE455,AG455,AI455)=0,Z455,ROUND((MAX(AA455,AC455,AE455,AG455,AI455)*(1+AT455))/'Setup'!$B$9,0)*'Setup'!$B$9)))</x:f>
        <x:v>0</x:v>
      </x:c>
      <x:c r="AV455" s="336"/>
    </x:row>
    <x:row r="456">
      <x:c r="A456" s="310" t="n">
        <x:f>'Setup'!$B$3+(C456-1)*7+(D456-1)</x:f>
        <x:v>46301</x:v>
      </x:c>
      <x:c r="B456" s="311" t="str">
        <x:v>9|2|2</x:v>
      </x:c>
      <x:c r="C456" s="311" t="n">
        <x:v>9</x:v>
      </x:c>
      <x:c r="D456" s="311" t="n">
        <x:v>2</x:v>
      </x:c>
      <x:c r="E456" s="311" t="str">
        <x:v>Realization</x:v>
      </x:c>
      <x:c r="F456" s="311" t="str">
        <x:v>Back + Triceps</x:v>
      </x:c>
      <x:c r="G456" s="311" t="str">
        <x:v>High-volume back with triceps isolation</x:v>
      </x:c>
      <x:c r="H456" s="311" t="n">
        <x:v>2</x:v>
      </x:c>
      <x:c r="I456" s="311" t="str">
        <x:v>Machine High Row</x:v>
      </x:c>
      <x:c r="J456" s="311" t="str">
        <x:v>Hypertrophy</x:v>
      </x:c>
      <x:c r="K456" s="311" t="str">
        <x:v>Back</x:v>
      </x:c>
      <x:c r="L456" s="311" t="str">
        <x:v>Straight sets</x:v>
      </x:c>
      <x:c r="M456" s="311" t="str"/>
      <x:c r="N456" s="311" t="n">
        <x:v>4</x:v>
      </x:c>
      <x:c r="O456" s="311" t="n">
        <x:v>8</x:v>
      </x:c>
      <x:c r="P456" s="311" t="n">
        <x:v>12</x:v>
      </x:c>
      <x:c r="Q456" s="311" t="n">
        <x:v>3</x:v>
      </x:c>
      <x:c r="R456" s="311" t="n">
        <x:v>90</x:v>
      </x:c>
      <x:c r="S456" s="311" t="str">
        <x:v>2-1-1</x:v>
      </x:c>
      <x:c r="T456" s="330" t="n">
        <x:v>1.11</x:v>
      </x:c>
      <x:c r="U456" s="330" t="n">
        <x:v>0</x:v>
      </x:c>
      <x:c r="V456" s="331" t="str">
        <x:v>load × reps</x:v>
      </x:c>
      <x:c r="W456" s="332" t="str">
        <x:f>'Readiness'!K56</x:f>
      </x:c>
      <x:c r="X456" s="314" t="n">
        <x:f>'Readiness'!L56</x:f>
        <x:v>1</x:v>
      </x:c>
      <x:c r="Y456" s="315" t="n">
        <x:f>IF(J456="Mobility",N456,MAX(1,ROUND(N456*X456,0)))</x:f>
        <x:v>4</x:v>
      </x:c>
      <x:c r="Z456" s="333" t="n">
        <x:f>ROUND((IF(AU219&gt;0,AU219,IF(Z219&gt;0,Z219,'Setup'!$D$61))*T456)/'Setup'!$B$9,0)*'Setup'!$B$9</x:f>
        <x:v>0</x:v>
      </x:c>
      <x:c r="AA456" s="334"/>
      <x:c r="AB456" s="334"/>
      <x:c r="AC456" s="334"/>
      <x:c r="AD456" s="334"/>
      <x:c r="AE456" s="334"/>
      <x:c r="AF456" s="334"/>
      <x:c r="AG456" s="334"/>
      <x:c r="AH456" s="334"/>
      <x:c r="AI456" s="334"/>
      <x:c r="AJ456" s="312"/>
      <x:c r="AK456" s="312"/>
      <x:c r="AL456" s="312"/>
      <x:c r="AM456" s="312"/>
      <x:c r="AN456" s="312"/>
      <x:c r="AO456" s="315" t="n">
        <x:f>COUNT(AB456,AD456,AF456,AH456,AJ456)</x:f>
        <x:v>0</x:v>
      </x:c>
      <x:c r="AP456" s="315" t="n">
        <x:f>SUM(AB456,AD456,AF456,AH456,AJ456)</x:f>
        <x:v>0</x:v>
      </x:c>
      <x:c r="AQ456" s="333" t="n">
        <x:f>AA456*AB456+AC456*AD456+AE456*AF456+AG456*AH456+AI456*AJ456</x:f>
        <x:v>0</x:v>
      </x:c>
      <x:c r="AR456" s="333" t="n">
        <x:f>IF(OR(J456="Strength",J456="Hypertrophy"),MAX(IF(AB456&gt;0,AA456*(1+AB456/30),0),IF(AD456&gt;0,AC456*(1+AD456/30),0),IF(AF456&gt;0,AE456*(1+AF456/30),0),IF(AH456&gt;0,AG456*(1+AH456/30),0),IF(AJ456&gt;0,AI456*(1+AJ456/30),0)),0)</x:f>
        <x:v>0</x:v>
      </x:c>
      <x:c r="AS456" s="315" t="str">
        <x:f>IF(AN456&lt;&gt;"Yes","Not logged",IF(AL456&gt;='Setup'!$B$14,"STOP / MODIFY",IF(Z456=0,"Complete",IF(OR(AO456=0,AK456=""),"Add set data + RIR",IF(AND(MAX(AB456,AD456,AF456,AH456,AJ456)&gt;=P456,AK456&gt;=Q456+1),"Progress",IF(OR(MAX(AB456,AD456,AF456,AH456,AJ456)&lt;O456,AK456&lt;Q456-1),"Regress","Hold"))))))</x:f>
        <x:v>Not logged</x:v>
      </x:c>
      <x:c r="AT456" s="335" t="n">
        <x:f>IF(OR(Z456=0,AN456&lt;&gt;"Yes",AO456=0,AK456=""),0,IF(AL456&gt;='Setup'!$B$14,-2*'Setup'!$B$11,IF(AND(MAX(AB456,AD456,AF456,AH456,AJ456)&gt;=P456,AK456&gt;=Q456+1),'Setup'!$B$10,IF(OR(MAX(AB456,AD456,AF456,AH456,AJ456)&lt;O456,AK456&lt;Q456-1),-'Setup'!$B$11,0))))</x:f>
        <x:v>0</x:v>
      </x:c>
      <x:c r="AU456" s="333" t="n">
        <x:f>IF(Z456=0,0,IF(AN456&lt;&gt;"Yes",Z456,IF(COUNT(AA456,AC456,AE456,AG456,AI456)=0,Z456,ROUND((MAX(AA456,AC456,AE456,AG456,AI456)*(1+AT456))/'Setup'!$B$9,0)*'Setup'!$B$9)))</x:f>
        <x:v>0</x:v>
      </x:c>
      <x:c r="AV456" s="336"/>
    </x:row>
    <x:row r="457">
      <x:c r="A457" s="310" t="n">
        <x:f>'Setup'!$B$3+(C457-1)*7+(D457-1)</x:f>
        <x:v>46301</x:v>
      </x:c>
      <x:c r="B457" s="311" t="str">
        <x:v>9|2|3</x:v>
      </x:c>
      <x:c r="C457" s="311" t="n">
        <x:v>9</x:v>
      </x:c>
      <x:c r="D457" s="311" t="n">
        <x:v>2</x:v>
      </x:c>
      <x:c r="E457" s="311" t="str">
        <x:v>Realization</x:v>
      </x:c>
      <x:c r="F457" s="311" t="str">
        <x:v>Back + Triceps</x:v>
      </x:c>
      <x:c r="G457" s="311" t="str">
        <x:v>High-volume back with triceps isolation</x:v>
      </x:c>
      <x:c r="H457" s="311" t="n">
        <x:v>3</x:v>
      </x:c>
      <x:c r="I457" s="311" t="str">
        <x:v>One-Arm Cable Row</x:v>
      </x:c>
      <x:c r="J457" s="311" t="str">
        <x:v>Hypertrophy</x:v>
      </x:c>
      <x:c r="K457" s="311" t="str">
        <x:v>Back</x:v>
      </x:c>
      <x:c r="L457" s="311" t="str">
        <x:v>Straight sets</x:v>
      </x:c>
      <x:c r="M457" s="311" t="str"/>
      <x:c r="N457" s="311" t="n">
        <x:v>3</x:v>
      </x:c>
      <x:c r="O457" s="311" t="n">
        <x:v>10</x:v>
      </x:c>
      <x:c r="P457" s="311" t="n">
        <x:v>15</x:v>
      </x:c>
      <x:c r="Q457" s="311" t="n">
        <x:v>3</x:v>
      </x:c>
      <x:c r="R457" s="311" t="n">
        <x:v>75</x:v>
      </x:c>
      <x:c r="S457" s="311" t="str">
        <x:v>2-1-1</x:v>
      </x:c>
      <x:c r="T457" s="330" t="n">
        <x:v>1.11</x:v>
      </x:c>
      <x:c r="U457" s="330" t="n">
        <x:v>0</x:v>
      </x:c>
      <x:c r="V457" s="331" t="str">
        <x:v>load × reps</x:v>
      </x:c>
      <x:c r="W457" s="332" t="str">
        <x:f>'Readiness'!K56</x:f>
      </x:c>
      <x:c r="X457" s="314" t="n">
        <x:f>'Readiness'!L56</x:f>
        <x:v>1</x:v>
      </x:c>
      <x:c r="Y457" s="315" t="n">
        <x:f>IF(J457="Mobility",N457,MAX(1,ROUND(N457*X457,0)))</x:f>
        <x:v>3</x:v>
      </x:c>
      <x:c r="Z457" s="333" t="n">
        <x:f>ROUND((IF(AU429&gt;0,AU429,IF(Z429&gt;0,Z429,'Setup'!$D$67))*T457)/'Setup'!$B$9,0)*'Setup'!$B$9</x:f>
        <x:v>0</x:v>
      </x:c>
      <x:c r="AA457" s="334"/>
      <x:c r="AB457" s="334"/>
      <x:c r="AC457" s="334"/>
      <x:c r="AD457" s="334"/>
      <x:c r="AE457" s="334"/>
      <x:c r="AF457" s="334"/>
      <x:c r="AG457" s="334"/>
      <x:c r="AH457" s="334"/>
      <x:c r="AI457" s="334"/>
      <x:c r="AJ457" s="312"/>
      <x:c r="AK457" s="312"/>
      <x:c r="AL457" s="312"/>
      <x:c r="AM457" s="312"/>
      <x:c r="AN457" s="312"/>
      <x:c r="AO457" s="315" t="n">
        <x:f>COUNT(AB457,AD457,AF457,AH457,AJ457)</x:f>
        <x:v>0</x:v>
      </x:c>
      <x:c r="AP457" s="315" t="n">
        <x:f>SUM(AB457,AD457,AF457,AH457,AJ457)</x:f>
        <x:v>0</x:v>
      </x:c>
      <x:c r="AQ457" s="333" t="n">
        <x:f>AA457*AB457+AC457*AD457+AE457*AF457+AG457*AH457+AI457*AJ457</x:f>
        <x:v>0</x:v>
      </x:c>
      <x:c r="AR457" s="333" t="n">
        <x:f>IF(OR(J457="Strength",J457="Hypertrophy"),MAX(IF(AB457&gt;0,AA457*(1+AB457/30),0),IF(AD457&gt;0,AC457*(1+AD457/30),0),IF(AF457&gt;0,AE457*(1+AF457/30),0),IF(AH457&gt;0,AG457*(1+AH457/30),0),IF(AJ457&gt;0,AI457*(1+AJ457/30),0)),0)</x:f>
        <x:v>0</x:v>
      </x:c>
      <x:c r="AS457" s="315" t="str">
        <x:f>IF(AN457&lt;&gt;"Yes","Not logged",IF(AL457&gt;='Setup'!$B$14,"STOP / MODIFY",IF(Z457=0,"Complete",IF(OR(AO457=0,AK457=""),"Add set data + RIR",IF(AND(MAX(AB457,AD457,AF457,AH457,AJ457)&gt;=P457,AK457&gt;=Q457+1),"Progress",IF(OR(MAX(AB457,AD457,AF457,AH457,AJ457)&lt;O457,AK457&lt;Q457-1),"Regress","Hold"))))))</x:f>
        <x:v>Not logged</x:v>
      </x:c>
      <x:c r="AT457" s="335" t="n">
        <x:f>IF(OR(Z457=0,AN457&lt;&gt;"Yes",AO457=0,AK457=""),0,IF(AL457&gt;='Setup'!$B$14,-2*'Setup'!$B$11,IF(AND(MAX(AB457,AD457,AF457,AH457,AJ457)&gt;=P457,AK457&gt;=Q457+1),'Setup'!$B$10,IF(OR(MAX(AB457,AD457,AF457,AH457,AJ457)&lt;O457,AK457&lt;Q457-1),-'Setup'!$B$11,0))))</x:f>
        <x:v>0</x:v>
      </x:c>
      <x:c r="AU457" s="333" t="n">
        <x:f>IF(Z457=0,0,IF(AN457&lt;&gt;"Yes",Z457,IF(COUNT(AA457,AC457,AE457,AG457,AI457)=0,Z457,ROUND((MAX(AA457,AC457,AE457,AG457,AI457)*(1+AT457))/'Setup'!$B$9,0)*'Setup'!$B$9)))</x:f>
        <x:v>0</x:v>
      </x:c>
      <x:c r="AV457" s="336"/>
    </x:row>
    <x:row r="458">
      <x:c r="A458" s="310" t="n">
        <x:f>'Setup'!$B$3+(C458-1)*7+(D458-1)</x:f>
        <x:v>46301</x:v>
      </x:c>
      <x:c r="B458" s="311" t="str">
        <x:v>9|2|4</x:v>
      </x:c>
      <x:c r="C458" s="311" t="n">
        <x:v>9</x:v>
      </x:c>
      <x:c r="D458" s="311" t="n">
        <x:v>2</x:v>
      </x:c>
      <x:c r="E458" s="311" t="str">
        <x:v>Realization</x:v>
      </x:c>
      <x:c r="F458" s="311" t="str">
        <x:v>Back + Triceps</x:v>
      </x:c>
      <x:c r="G458" s="311" t="str">
        <x:v>High-volume back with triceps isolation</x:v>
      </x:c>
      <x:c r="H458" s="311" t="n">
        <x:v>4</x:v>
      </x:c>
      <x:c r="I458" s="311" t="str">
        <x:v>Straight-Arm Pulldown</x:v>
      </x:c>
      <x:c r="J458" s="311" t="str">
        <x:v>Hypertrophy</x:v>
      </x:c>
      <x:c r="K458" s="311" t="str">
        <x:v>Back</x:v>
      </x:c>
      <x:c r="L458" s="311" t="str">
        <x:v>Straight sets</x:v>
      </x:c>
      <x:c r="M458" s="311" t="str"/>
      <x:c r="N458" s="311" t="n">
        <x:v>3</x:v>
      </x:c>
      <x:c r="O458" s="311" t="n">
        <x:v>12</x:v>
      </x:c>
      <x:c r="P458" s="311" t="n">
        <x:v>15</x:v>
      </x:c>
      <x:c r="Q458" s="311" t="n">
        <x:v>3</x:v>
      </x:c>
      <x:c r="R458" s="311" t="n">
        <x:v>60</x:v>
      </x:c>
      <x:c r="S458" s="311" t="str">
        <x:v>3-1-1</x:v>
      </x:c>
      <x:c r="T458" s="330" t="n">
        <x:v>1.11</x:v>
      </x:c>
      <x:c r="U458" s="330" t="n">
        <x:v>0</x:v>
      </x:c>
      <x:c r="V458" s="331" t="str">
        <x:v>load × reps</x:v>
      </x:c>
      <x:c r="W458" s="332" t="str">
        <x:f>'Readiness'!K56</x:f>
      </x:c>
      <x:c r="X458" s="314" t="n">
        <x:f>'Readiness'!L56</x:f>
        <x:v>1</x:v>
      </x:c>
      <x:c r="Y458" s="315" t="n">
        <x:f>IF(J458="Mobility",N458,MAX(1,ROUND(N458*X458,0)))</x:f>
        <x:v>3</x:v>
      </x:c>
      <x:c r="Z458" s="333" t="n">
        <x:f>ROUND((IF(AU430&gt;0,AU430,IF(Z430&gt;0,Z430,'Setup'!$D$91))*T458)/'Setup'!$B$9,0)*'Setup'!$B$9</x:f>
        <x:v>0</x:v>
      </x:c>
      <x:c r="AA458" s="334"/>
      <x:c r="AB458" s="334"/>
      <x:c r="AC458" s="334"/>
      <x:c r="AD458" s="334"/>
      <x:c r="AE458" s="334"/>
      <x:c r="AF458" s="334"/>
      <x:c r="AG458" s="334"/>
      <x:c r="AH458" s="334"/>
      <x:c r="AI458" s="334"/>
      <x:c r="AJ458" s="312"/>
      <x:c r="AK458" s="312"/>
      <x:c r="AL458" s="312"/>
      <x:c r="AM458" s="312"/>
      <x:c r="AN458" s="312"/>
      <x:c r="AO458" s="315" t="n">
        <x:f>COUNT(AB458,AD458,AF458,AH458,AJ458)</x:f>
        <x:v>0</x:v>
      </x:c>
      <x:c r="AP458" s="315" t="n">
        <x:f>SUM(AB458,AD458,AF458,AH458,AJ458)</x:f>
        <x:v>0</x:v>
      </x:c>
      <x:c r="AQ458" s="333" t="n">
        <x:f>AA458*AB458+AC458*AD458+AE458*AF458+AG458*AH458+AI458*AJ458</x:f>
        <x:v>0</x:v>
      </x:c>
      <x:c r="AR458" s="333" t="n">
        <x:f>IF(OR(J458="Strength",J458="Hypertrophy"),MAX(IF(AB458&gt;0,AA458*(1+AB458/30),0),IF(AD458&gt;0,AC458*(1+AD458/30),0),IF(AF458&gt;0,AE458*(1+AF458/30),0),IF(AH458&gt;0,AG458*(1+AH458/30),0),IF(AJ458&gt;0,AI458*(1+AJ458/30),0)),0)</x:f>
        <x:v>0</x:v>
      </x:c>
      <x:c r="AS458" s="315" t="str">
        <x:f>IF(AN458&lt;&gt;"Yes","Not logged",IF(AL458&gt;='Setup'!$B$14,"STOP / MODIFY",IF(Z458=0,"Complete",IF(OR(AO458=0,AK458=""),"Add set data + RIR",IF(AND(MAX(AB458,AD458,AF458,AH458,AJ458)&gt;=P458,AK458&gt;=Q458+1),"Progress",IF(OR(MAX(AB458,AD458,AF458,AH458,AJ458)&lt;O458,AK458&lt;Q458-1),"Regress","Hold"))))))</x:f>
        <x:v>Not logged</x:v>
      </x:c>
      <x:c r="AT458" s="335" t="n">
        <x:f>IF(OR(Z458=0,AN458&lt;&gt;"Yes",AO458=0,AK458=""),0,IF(AL458&gt;='Setup'!$B$14,-2*'Setup'!$B$11,IF(AND(MAX(AB458,AD458,AF458,AH458,AJ458)&gt;=P458,AK458&gt;=Q458+1),'Setup'!$B$10,IF(OR(MAX(AB458,AD458,AF458,AH458,AJ458)&lt;O458,AK458&lt;Q458-1),-'Setup'!$B$11,0))))</x:f>
        <x:v>0</x:v>
      </x:c>
      <x:c r="AU458" s="333" t="n">
        <x:f>IF(Z458=0,0,IF(AN458&lt;&gt;"Yes",Z458,IF(COUNT(AA458,AC458,AE458,AG458,AI458)=0,Z458,ROUND((MAX(AA458,AC458,AE458,AG458,AI458)*(1+AT458))/'Setup'!$B$9,0)*'Setup'!$B$9)))</x:f>
        <x:v>0</x:v>
      </x:c>
      <x:c r="AV458" s="336"/>
    </x:row>
    <x:row r="459">
      <x:c r="A459" s="310" t="n">
        <x:f>'Setup'!$B$3+(C459-1)*7+(D459-1)</x:f>
        <x:v>46301</x:v>
      </x:c>
      <x:c r="B459" s="311" t="str">
        <x:v>9|2|5</x:v>
      </x:c>
      <x:c r="C459" s="311" t="n">
        <x:v>9</x:v>
      </x:c>
      <x:c r="D459" s="311" t="n">
        <x:v>2</x:v>
      </x:c>
      <x:c r="E459" s="311" t="str">
        <x:v>Realization</x:v>
      </x:c>
      <x:c r="F459" s="311" t="str">
        <x:v>Back + Triceps</x:v>
      </x:c>
      <x:c r="G459" s="311" t="str">
        <x:v>High-volume back with triceps isolation</x:v>
      </x:c>
      <x:c r="H459" s="311" t="n">
        <x:v>5</x:v>
      </x:c>
      <x:c r="I459" s="311" t="str">
        <x:v>Rear Delt Cable Fly</x:v>
      </x:c>
      <x:c r="J459" s="311" t="str">
        <x:v>Hypertrophy</x:v>
      </x:c>
      <x:c r="K459" s="311" t="str">
        <x:v>Rear Delts</x:v>
      </x:c>
      <x:c r="L459" s="311" t="str">
        <x:v>Straight sets</x:v>
      </x:c>
      <x:c r="M459" s="311" t="str"/>
      <x:c r="N459" s="311" t="n">
        <x:v>4</x:v>
      </x:c>
      <x:c r="O459" s="311" t="n">
        <x:v>15</x:v>
      </x:c>
      <x:c r="P459" s="311" t="n">
        <x:v>20</x:v>
      </x:c>
      <x:c r="Q459" s="311" t="n">
        <x:v>3</x:v>
      </x:c>
      <x:c r="R459" s="311" t="n">
        <x:v>45</x:v>
      </x:c>
      <x:c r="S459" s="311" t="str">
        <x:v>2-1-2</x:v>
      </x:c>
      <x:c r="T459" s="330" t="n">
        <x:v>1.11</x:v>
      </x:c>
      <x:c r="U459" s="330" t="n">
        <x:v>0</x:v>
      </x:c>
      <x:c r="V459" s="331" t="str">
        <x:v>load × reps</x:v>
      </x:c>
      <x:c r="W459" s="332" t="str">
        <x:f>'Readiness'!K56</x:f>
      </x:c>
      <x:c r="X459" s="314" t="n">
        <x:f>'Readiness'!L56</x:f>
        <x:v>1</x:v>
      </x:c>
      <x:c r="Y459" s="315" t="n">
        <x:f>IF(J459="Mobility",N459,MAX(1,ROUND(N459*X459,0)))</x:f>
        <x:v>4</x:v>
      </x:c>
      <x:c r="Z459" s="333" t="n">
        <x:f>ROUND((IF(AU431&gt;0,AU431,IF(Z431&gt;0,Z431,'Setup'!$D$78))*T459)/'Setup'!$B$9,0)*'Setup'!$B$9</x:f>
        <x:v>0</x:v>
      </x:c>
      <x:c r="AA459" s="334"/>
      <x:c r="AB459" s="334"/>
      <x:c r="AC459" s="334"/>
      <x:c r="AD459" s="334"/>
      <x:c r="AE459" s="334"/>
      <x:c r="AF459" s="334"/>
      <x:c r="AG459" s="334"/>
      <x:c r="AH459" s="334"/>
      <x:c r="AI459" s="334"/>
      <x:c r="AJ459" s="312"/>
      <x:c r="AK459" s="312"/>
      <x:c r="AL459" s="312"/>
      <x:c r="AM459" s="312"/>
      <x:c r="AN459" s="312"/>
      <x:c r="AO459" s="315" t="n">
        <x:f>COUNT(AB459,AD459,AF459,AH459,AJ459)</x:f>
        <x:v>0</x:v>
      </x:c>
      <x:c r="AP459" s="315" t="n">
        <x:f>SUM(AB459,AD459,AF459,AH459,AJ459)</x:f>
        <x:v>0</x:v>
      </x:c>
      <x:c r="AQ459" s="333" t="n">
        <x:f>AA459*AB459+AC459*AD459+AE459*AF459+AG459*AH459+AI459*AJ459</x:f>
        <x:v>0</x:v>
      </x:c>
      <x:c r="AR459" s="333" t="n">
        <x:f>IF(OR(J459="Strength",J459="Hypertrophy"),MAX(IF(AB459&gt;0,AA459*(1+AB459/30),0),IF(AD459&gt;0,AC459*(1+AD459/30),0),IF(AF459&gt;0,AE459*(1+AF459/30),0),IF(AH459&gt;0,AG459*(1+AH459/30),0),IF(AJ459&gt;0,AI459*(1+AJ459/30),0)),0)</x:f>
        <x:v>0</x:v>
      </x:c>
      <x:c r="AS459" s="315" t="str">
        <x:f>IF(AN459&lt;&gt;"Yes","Not logged",IF(AL459&gt;='Setup'!$B$14,"STOP / MODIFY",IF(Z459=0,"Complete",IF(OR(AO459=0,AK459=""),"Add set data + RIR",IF(AND(MAX(AB459,AD459,AF459,AH459,AJ459)&gt;=P459,AK459&gt;=Q459+1),"Progress",IF(OR(MAX(AB459,AD459,AF459,AH459,AJ459)&lt;O459,AK459&lt;Q459-1),"Regress","Hold"))))))</x:f>
        <x:v>Not logged</x:v>
      </x:c>
      <x:c r="AT459" s="335" t="n">
        <x:f>IF(OR(Z459=0,AN459&lt;&gt;"Yes",AO459=0,AK459=""),0,IF(AL459&gt;='Setup'!$B$14,-2*'Setup'!$B$11,IF(AND(MAX(AB459,AD459,AF459,AH459,AJ459)&gt;=P459,AK459&gt;=Q459+1),'Setup'!$B$10,IF(OR(MAX(AB459,AD459,AF459,AH459,AJ459)&lt;O459,AK459&lt;Q459-1),-'Setup'!$B$11,0))))</x:f>
        <x:v>0</x:v>
      </x:c>
      <x:c r="AU459" s="333" t="n">
        <x:f>IF(Z459=0,0,IF(AN459&lt;&gt;"Yes",Z459,IF(COUNT(AA459,AC459,AE459,AG459,AI459)=0,Z459,ROUND((MAX(AA459,AC459,AE459,AG459,AI459)*(1+AT459))/'Setup'!$B$9,0)*'Setup'!$B$9)))</x:f>
        <x:v>0</x:v>
      </x:c>
      <x:c r="AV459" s="336"/>
    </x:row>
    <x:row r="460">
      <x:c r="A460" s="310" t="n">
        <x:f>'Setup'!$B$3+(C460-1)*7+(D460-1)</x:f>
        <x:v>46301</x:v>
      </x:c>
      <x:c r="B460" s="311" t="str">
        <x:v>9|2|6</x:v>
      </x:c>
      <x:c r="C460" s="311" t="n">
        <x:v>9</x:v>
      </x:c>
      <x:c r="D460" s="311" t="n">
        <x:v>2</x:v>
      </x:c>
      <x:c r="E460" s="311" t="str">
        <x:v>Realization</x:v>
      </x:c>
      <x:c r="F460" s="311" t="str">
        <x:v>Back + Triceps</x:v>
      </x:c>
      <x:c r="G460" s="311" t="str">
        <x:v>High-volume back with triceps isolation</x:v>
      </x:c>
      <x:c r="H460" s="311" t="n">
        <x:v>6</x:v>
      </x:c>
      <x:c r="I460" s="311" t="str">
        <x:v>Dumbbell Lateral Raise</x:v>
      </x:c>
      <x:c r="J460" s="311" t="str">
        <x:v>Hypertrophy</x:v>
      </x:c>
      <x:c r="K460" s="311" t="str">
        <x:v>Shoulders</x:v>
      </x:c>
      <x:c r="L460" s="311" t="str">
        <x:v>Straight sets</x:v>
      </x:c>
      <x:c r="M460" s="311" t="str"/>
      <x:c r="N460" s="311" t="n">
        <x:v>4</x:v>
      </x:c>
      <x:c r="O460" s="311" t="n">
        <x:v>12</x:v>
      </x:c>
      <x:c r="P460" s="311" t="n">
        <x:v>20</x:v>
      </x:c>
      <x:c r="Q460" s="311" t="n">
        <x:v>3</x:v>
      </x:c>
      <x:c r="R460" s="311" t="n">
        <x:v>45</x:v>
      </x:c>
      <x:c r="S460" s="311" t="str">
        <x:v>2-1-2</x:v>
      </x:c>
      <x:c r="T460" s="330" t="n">
        <x:v>1.11</x:v>
      </x:c>
      <x:c r="U460" s="330" t="n">
        <x:v>0</x:v>
      </x:c>
      <x:c r="V460" s="331" t="str">
        <x:v>load × reps</x:v>
      </x:c>
      <x:c r="W460" s="332" t="str">
        <x:f>'Readiness'!K56</x:f>
      </x:c>
      <x:c r="X460" s="314" t="n">
        <x:f>'Readiness'!L56</x:f>
        <x:v>1</x:v>
      </x:c>
      <x:c r="Y460" s="315" t="n">
        <x:f>IF(J460="Mobility",N460,MAX(1,ROUND(N460*X460,0)))</x:f>
        <x:v>4</x:v>
      </x:c>
      <x:c r="Z460" s="333" t="n">
        <x:f>ROUND((IF(AU230&gt;0,AU230,IF(Z230&gt;0,Z230,'Setup'!$D$39))*T460)/'Setup'!$B$9,0)*'Setup'!$B$9</x:f>
        <x:v>0</x:v>
      </x:c>
      <x:c r="AA460" s="334"/>
      <x:c r="AB460" s="334"/>
      <x:c r="AC460" s="334"/>
      <x:c r="AD460" s="334"/>
      <x:c r="AE460" s="334"/>
      <x:c r="AF460" s="334"/>
      <x:c r="AG460" s="334"/>
      <x:c r="AH460" s="334"/>
      <x:c r="AI460" s="334"/>
      <x:c r="AJ460" s="312"/>
      <x:c r="AK460" s="312"/>
      <x:c r="AL460" s="312"/>
      <x:c r="AM460" s="312"/>
      <x:c r="AN460" s="312"/>
      <x:c r="AO460" s="315" t="n">
        <x:f>COUNT(AB460,AD460,AF460,AH460,AJ460)</x:f>
        <x:v>0</x:v>
      </x:c>
      <x:c r="AP460" s="315" t="n">
        <x:f>SUM(AB460,AD460,AF460,AH460,AJ460)</x:f>
        <x:v>0</x:v>
      </x:c>
      <x:c r="AQ460" s="333" t="n">
        <x:f>AA460*AB460+AC460*AD460+AE460*AF460+AG460*AH460+AI460*AJ460</x:f>
        <x:v>0</x:v>
      </x:c>
      <x:c r="AR460" s="333" t="n">
        <x:f>IF(OR(J460="Strength",J460="Hypertrophy"),MAX(IF(AB460&gt;0,AA460*(1+AB460/30),0),IF(AD460&gt;0,AC460*(1+AD460/30),0),IF(AF460&gt;0,AE460*(1+AF460/30),0),IF(AH460&gt;0,AG460*(1+AH460/30),0),IF(AJ460&gt;0,AI460*(1+AJ460/30),0)),0)</x:f>
        <x:v>0</x:v>
      </x:c>
      <x:c r="AS460" s="315" t="str">
        <x:f>IF(AN460&lt;&gt;"Yes","Not logged",IF(AL460&gt;='Setup'!$B$14,"STOP / MODIFY",IF(Z460=0,"Complete",IF(OR(AO460=0,AK460=""),"Add set data + RIR",IF(AND(MAX(AB460,AD460,AF460,AH460,AJ460)&gt;=P460,AK460&gt;=Q460+1),"Progress",IF(OR(MAX(AB460,AD460,AF460,AH460,AJ460)&lt;O460,AK460&lt;Q460-1),"Regress","Hold"))))))</x:f>
        <x:v>Not logged</x:v>
      </x:c>
      <x:c r="AT460" s="335" t="n">
        <x:f>IF(OR(Z460=0,AN460&lt;&gt;"Yes",AO460=0,AK460=""),0,IF(AL460&gt;='Setup'!$B$14,-2*'Setup'!$B$11,IF(AND(MAX(AB460,AD460,AF460,AH460,AJ460)&gt;=P460,AK460&gt;=Q460+1),'Setup'!$B$10,IF(OR(MAX(AB460,AD460,AF460,AH460,AJ460)&lt;O460,AK460&lt;Q460-1),-'Setup'!$B$11,0))))</x:f>
        <x:v>0</x:v>
      </x:c>
      <x:c r="AU460" s="333" t="n">
        <x:f>IF(Z460=0,0,IF(AN460&lt;&gt;"Yes",Z460,IF(COUNT(AA460,AC460,AE460,AG460,AI460)=0,Z460,ROUND((MAX(AA460,AC460,AE460,AG460,AI460)*(1+AT460))/'Setup'!$B$9,0)*'Setup'!$B$9)))</x:f>
        <x:v>0</x:v>
      </x:c>
      <x:c r="AV460" s="336"/>
    </x:row>
    <x:row r="461">
      <x:c r="A461" s="310" t="n">
        <x:f>'Setup'!$B$3+(C461-1)*7+(D461-1)</x:f>
        <x:v>46301</x:v>
      </x:c>
      <x:c r="B461" s="311" t="str">
        <x:v>9|2|7</x:v>
      </x:c>
      <x:c r="C461" s="311" t="n">
        <x:v>9</x:v>
      </x:c>
      <x:c r="D461" s="311" t="n">
        <x:v>2</x:v>
      </x:c>
      <x:c r="E461" s="311" t="str">
        <x:v>Realization</x:v>
      </x:c>
      <x:c r="F461" s="311" t="str">
        <x:v>Back + Triceps</x:v>
      </x:c>
      <x:c r="G461" s="311" t="str">
        <x:v>High-volume back with triceps isolation</x:v>
      </x:c>
      <x:c r="H461" s="311" t="n">
        <x:v>7</x:v>
      </x:c>
      <x:c r="I461" s="311" t="str">
        <x:v>Overhead Cable Triceps Extension</x:v>
      </x:c>
      <x:c r="J461" s="311" t="str">
        <x:v>Hypertrophy</x:v>
      </x:c>
      <x:c r="K461" s="311" t="str">
        <x:v>Triceps</x:v>
      </x:c>
      <x:c r="L461" s="311" t="str">
        <x:v>Straight sets</x:v>
      </x:c>
      <x:c r="M461" s="311" t="str"/>
      <x:c r="N461" s="311" t="n">
        <x:v>3</x:v>
      </x:c>
      <x:c r="O461" s="311" t="n">
        <x:v>10</x:v>
      </x:c>
      <x:c r="P461" s="311" t="n">
        <x:v>15</x:v>
      </x:c>
      <x:c r="Q461" s="311" t="n">
        <x:v>3</x:v>
      </x:c>
      <x:c r="R461" s="311" t="n">
        <x:v>60</x:v>
      </x:c>
      <x:c r="S461" s="311" t="str">
        <x:v>3-0-1</x:v>
      </x:c>
      <x:c r="T461" s="330" t="n">
        <x:v>1.11</x:v>
      </x:c>
      <x:c r="U461" s="330" t="n">
        <x:v>0</x:v>
      </x:c>
      <x:c r="V461" s="331" t="str">
        <x:v>load × reps</x:v>
      </x:c>
      <x:c r="W461" s="332" t="str">
        <x:f>'Readiness'!K56</x:f>
      </x:c>
      <x:c r="X461" s="314" t="n">
        <x:f>'Readiness'!L56</x:f>
        <x:v>1</x:v>
      </x:c>
      <x:c r="Y461" s="315" t="n">
        <x:f>IF(J461="Mobility",N461,MAX(1,ROUND(N461*X461,0)))</x:f>
        <x:v>3</x:v>
      </x:c>
      <x:c r="Z461" s="333" t="n">
        <x:f>ROUND((IF(AU424&gt;0,AU424,IF(Z424&gt;0,Z424,'Setup'!$D$69))*T461)/'Setup'!$B$9,0)*'Setup'!$B$9</x:f>
        <x:v>0</x:v>
      </x:c>
      <x:c r="AA461" s="334"/>
      <x:c r="AB461" s="334"/>
      <x:c r="AC461" s="334"/>
      <x:c r="AD461" s="334"/>
      <x:c r="AE461" s="334"/>
      <x:c r="AF461" s="334"/>
      <x:c r="AG461" s="334"/>
      <x:c r="AH461" s="334"/>
      <x:c r="AI461" s="334"/>
      <x:c r="AJ461" s="312"/>
      <x:c r="AK461" s="312"/>
      <x:c r="AL461" s="312"/>
      <x:c r="AM461" s="312"/>
      <x:c r="AN461" s="312"/>
      <x:c r="AO461" s="315" t="n">
        <x:f>COUNT(AB461,AD461,AF461,AH461,AJ461)</x:f>
        <x:v>0</x:v>
      </x:c>
      <x:c r="AP461" s="315" t="n">
        <x:f>SUM(AB461,AD461,AF461,AH461,AJ461)</x:f>
        <x:v>0</x:v>
      </x:c>
      <x:c r="AQ461" s="333" t="n">
        <x:f>AA461*AB461+AC461*AD461+AE461*AF461+AG461*AH461+AI461*AJ461</x:f>
        <x:v>0</x:v>
      </x:c>
      <x:c r="AR461" s="333" t="n">
        <x:f>IF(OR(J461="Strength",J461="Hypertrophy"),MAX(IF(AB461&gt;0,AA461*(1+AB461/30),0),IF(AD461&gt;0,AC461*(1+AD461/30),0),IF(AF461&gt;0,AE461*(1+AF461/30),0),IF(AH461&gt;0,AG461*(1+AH461/30),0),IF(AJ461&gt;0,AI461*(1+AJ461/30),0)),0)</x:f>
        <x:v>0</x:v>
      </x:c>
      <x:c r="AS461" s="315" t="str">
        <x:f>IF(AN461&lt;&gt;"Yes","Not logged",IF(AL461&gt;='Setup'!$B$14,"STOP / MODIFY",IF(Z461=0,"Complete",IF(OR(AO461=0,AK461=""),"Add set data + RIR",IF(AND(MAX(AB461,AD461,AF461,AH461,AJ461)&gt;=P461,AK461&gt;=Q461+1),"Progress",IF(OR(MAX(AB461,AD461,AF461,AH461,AJ461)&lt;O461,AK461&lt;Q461-1),"Regress","Hold"))))))</x:f>
        <x:v>Not logged</x:v>
      </x:c>
      <x:c r="AT461" s="335" t="n">
        <x:f>IF(OR(Z461=0,AN461&lt;&gt;"Yes",AO461=0,AK461=""),0,IF(AL461&gt;='Setup'!$B$14,-2*'Setup'!$B$11,IF(AND(MAX(AB461,AD461,AF461,AH461,AJ461)&gt;=P461,AK461&gt;=Q461+1),'Setup'!$B$10,IF(OR(MAX(AB461,AD461,AF461,AH461,AJ461)&lt;O461,AK461&lt;Q461-1),-'Setup'!$B$11,0))))</x:f>
        <x:v>0</x:v>
      </x:c>
      <x:c r="AU461" s="333" t="n">
        <x:f>IF(Z461=0,0,IF(AN461&lt;&gt;"Yes",Z461,IF(COUNT(AA461,AC461,AE461,AG461,AI461)=0,Z461,ROUND((MAX(AA461,AC461,AE461,AG461,AI461)*(1+AT461))/'Setup'!$B$9,0)*'Setup'!$B$9)))</x:f>
        <x:v>0</x:v>
      </x:c>
      <x:c r="AV461" s="336"/>
    </x:row>
    <x:row r="462">
      <x:c r="A462" s="310" t="n">
        <x:f>'Setup'!$B$3+(C462-1)*7+(D462-1)</x:f>
        <x:v>46301</x:v>
      </x:c>
      <x:c r="B462" s="311" t="str">
        <x:v>9|2|8</x:v>
      </x:c>
      <x:c r="C462" s="311" t="n">
        <x:v>9</x:v>
      </x:c>
      <x:c r="D462" s="311" t="n">
        <x:v>2</x:v>
      </x:c>
      <x:c r="E462" s="311" t="str">
        <x:v>Realization</x:v>
      </x:c>
      <x:c r="F462" s="311" t="str">
        <x:v>Back + Triceps</x:v>
      </x:c>
      <x:c r="G462" s="311" t="str">
        <x:v>High-volume back with triceps isolation</x:v>
      </x:c>
      <x:c r="H462" s="311" t="n">
        <x:v>8</x:v>
      </x:c>
      <x:c r="I462" s="311" t="str">
        <x:v>Triceps Pressdown</x:v>
      </x:c>
      <x:c r="J462" s="311" t="str">
        <x:v>Hypertrophy</x:v>
      </x:c>
      <x:c r="K462" s="311" t="str">
        <x:v>Triceps</x:v>
      </x:c>
      <x:c r="L462" s="311" t="str">
        <x:v>Straight sets</x:v>
      </x:c>
      <x:c r="M462" s="311" t="str"/>
      <x:c r="N462" s="311" t="n">
        <x:v>3</x:v>
      </x:c>
      <x:c r="O462" s="311" t="n">
        <x:v>12</x:v>
      </x:c>
      <x:c r="P462" s="311" t="n">
        <x:v>15</x:v>
      </x:c>
      <x:c r="Q462" s="311" t="n">
        <x:v>3</x:v>
      </x:c>
      <x:c r="R462" s="311" t="n">
        <x:v>60</x:v>
      </x:c>
      <x:c r="S462" s="311" t="str">
        <x:v>2-1-1</x:v>
      </x:c>
      <x:c r="T462" s="330" t="n">
        <x:v>1.11</x:v>
      </x:c>
      <x:c r="U462" s="330" t="n">
        <x:v>0</x:v>
      </x:c>
      <x:c r="V462" s="331" t="str">
        <x:v>load × reps</x:v>
      </x:c>
      <x:c r="W462" s="332" t="str">
        <x:f>'Readiness'!K56</x:f>
      </x:c>
      <x:c r="X462" s="314" t="n">
        <x:f>'Readiness'!L56</x:f>
        <x:v>1</x:v>
      </x:c>
      <x:c r="Y462" s="315" t="n">
        <x:f>IF(J462="Mobility",N462,MAX(1,ROUND(N462*X462,0)))</x:f>
        <x:v>3</x:v>
      </x:c>
      <x:c r="Z462" s="333" t="n">
        <x:f>ROUND((IF(AU425&gt;0,AU425,IF(Z425&gt;0,Z425,'Setup'!$D$92))*T462)/'Setup'!$B$9,0)*'Setup'!$B$9</x:f>
        <x:v>0</x:v>
      </x:c>
      <x:c r="AA462" s="334"/>
      <x:c r="AB462" s="334"/>
      <x:c r="AC462" s="334"/>
      <x:c r="AD462" s="334"/>
      <x:c r="AE462" s="334"/>
      <x:c r="AF462" s="334"/>
      <x:c r="AG462" s="334"/>
      <x:c r="AH462" s="334"/>
      <x:c r="AI462" s="334"/>
      <x:c r="AJ462" s="312"/>
      <x:c r="AK462" s="312"/>
      <x:c r="AL462" s="312"/>
      <x:c r="AM462" s="312"/>
      <x:c r="AN462" s="312"/>
      <x:c r="AO462" s="315" t="n">
        <x:f>COUNT(AB462,AD462,AF462,AH462,AJ462)</x:f>
        <x:v>0</x:v>
      </x:c>
      <x:c r="AP462" s="315" t="n">
        <x:f>SUM(AB462,AD462,AF462,AH462,AJ462)</x:f>
        <x:v>0</x:v>
      </x:c>
      <x:c r="AQ462" s="333" t="n">
        <x:f>AA462*AB462+AC462*AD462+AE462*AF462+AG462*AH462+AI462*AJ462</x:f>
        <x:v>0</x:v>
      </x:c>
      <x:c r="AR462" s="333" t="n">
        <x:f>IF(OR(J462="Strength",J462="Hypertrophy"),MAX(IF(AB462&gt;0,AA462*(1+AB462/30),0),IF(AD462&gt;0,AC462*(1+AD462/30),0),IF(AF462&gt;0,AE462*(1+AF462/30),0),IF(AH462&gt;0,AG462*(1+AH462/30),0),IF(AJ462&gt;0,AI462*(1+AJ462/30),0)),0)</x:f>
        <x:v>0</x:v>
      </x:c>
      <x:c r="AS462" s="315" t="str">
        <x:f>IF(AN462&lt;&gt;"Yes","Not logged",IF(AL462&gt;='Setup'!$B$14,"STOP / MODIFY",IF(Z462=0,"Complete",IF(OR(AO462=0,AK462=""),"Add set data + RIR",IF(AND(MAX(AB462,AD462,AF462,AH462,AJ462)&gt;=P462,AK462&gt;=Q462+1),"Progress",IF(OR(MAX(AB462,AD462,AF462,AH462,AJ462)&lt;O462,AK462&lt;Q462-1),"Regress","Hold"))))))</x:f>
        <x:v>Not logged</x:v>
      </x:c>
      <x:c r="AT462" s="335" t="n">
        <x:f>IF(OR(Z462=0,AN462&lt;&gt;"Yes",AO462=0,AK462=""),0,IF(AL462&gt;='Setup'!$B$14,-2*'Setup'!$B$11,IF(AND(MAX(AB462,AD462,AF462,AH462,AJ462)&gt;=P462,AK462&gt;=Q462+1),'Setup'!$B$10,IF(OR(MAX(AB462,AD462,AF462,AH462,AJ462)&lt;O462,AK462&lt;Q462-1),-'Setup'!$B$11,0))))</x:f>
        <x:v>0</x:v>
      </x:c>
      <x:c r="AU462" s="333" t="n">
        <x:f>IF(Z462=0,0,IF(AN462&lt;&gt;"Yes",Z462,IF(COUNT(AA462,AC462,AE462,AG462,AI462)=0,Z462,ROUND((MAX(AA462,AC462,AE462,AG462,AI462)*(1+AT462))/'Setup'!$B$9,0)*'Setup'!$B$9)))</x:f>
        <x:v>0</x:v>
      </x:c>
      <x:c r="AV462" s="336"/>
    </x:row>
    <x:row r="463">
      <x:c r="A463" s="310" t="n">
        <x:f>'Setup'!$B$3+(C463-1)*7+(D463-1)</x:f>
        <x:v>46301</x:v>
      </x:c>
      <x:c r="B463" s="311" t="str">
        <x:v>9|2|9</x:v>
      </x:c>
      <x:c r="C463" s="311" t="n">
        <x:v>9</x:v>
      </x:c>
      <x:c r="D463" s="311" t="n">
        <x:v>2</x:v>
      </x:c>
      <x:c r="E463" s="311" t="str">
        <x:v>Realization</x:v>
      </x:c>
      <x:c r="F463" s="311" t="str">
        <x:v>Back + Triceps</x:v>
      </x:c>
      <x:c r="G463" s="311" t="str">
        <x:v>High-volume back with triceps isolation</x:v>
      </x:c>
      <x:c r="H463" s="311" t="n">
        <x:v>9</x:v>
      </x:c>
      <x:c r="I463" s="311" t="str">
        <x:v>SkiErg Power Intervals</x:v>
      </x:c>
      <x:c r="J463" s="311" t="str">
        <x:v>Athletic</x:v>
      </x:c>
      <x:c r="K463" s="311" t="str">
        <x:v>Full Body</x:v>
      </x:c>
      <x:c r="L463" s="311" t="str">
        <x:v>15 s hard / 45 s easy</x:v>
      </x:c>
      <x:c r="M463" s="311" t="str"/>
      <x:c r="N463" s="311" t="n">
        <x:v>6</x:v>
      </x:c>
      <x:c r="O463" s="311" t="n">
        <x:v>15</x:v>
      </x:c>
      <x:c r="P463" s="311" t="n">
        <x:v>15</x:v>
      </x:c>
      <x:c r="Q463" s="311" t="n">
        <x:v>3</x:v>
      </x:c>
      <x:c r="R463" s="311" t="n">
        <x:v>45</x:v>
      </x:c>
      <x:c r="S463" s="311" t="str">
        <x:v>Powerful</x:v>
      </x:c>
      <x:c r="T463" s="330" t="n">
        <x:v>1.11</x:v>
      </x:c>
      <x:c r="U463" s="330" t="n">
        <x:v>0</x:v>
      </x:c>
      <x:c r="V463" s="331" t="str">
        <x:v>watts / meters</x:v>
      </x:c>
      <x:c r="W463" s="332" t="str">
        <x:f>'Readiness'!K56</x:f>
      </x:c>
      <x:c r="X463" s="314" t="n">
        <x:f>'Readiness'!L56</x:f>
        <x:v>1</x:v>
      </x:c>
      <x:c r="Y463" s="315" t="n">
        <x:f>IF(J463="Mobility",N463,MAX(1,ROUND(N463*X463,0)))</x:f>
        <x:v>6</x:v>
      </x:c>
      <x:c r="Z463" s="333" t="n">
        <x:f>0</x:f>
        <x:v>0</x:v>
      </x:c>
      <x:c r="AA463" s="334"/>
      <x:c r="AB463" s="334"/>
      <x:c r="AC463" s="334"/>
      <x:c r="AD463" s="334"/>
      <x:c r="AE463" s="334"/>
      <x:c r="AF463" s="334"/>
      <x:c r="AG463" s="334"/>
      <x:c r="AH463" s="334"/>
      <x:c r="AI463" s="334"/>
      <x:c r="AJ463" s="312"/>
      <x:c r="AK463" s="312"/>
      <x:c r="AL463" s="312"/>
      <x:c r="AM463" s="312"/>
      <x:c r="AN463" s="312"/>
      <x:c r="AO463" s="315" t="n">
        <x:f>COUNT(AB463,AD463,AF463,AH463,AJ463)</x:f>
        <x:v>0</x:v>
      </x:c>
      <x:c r="AP463" s="315" t="n">
        <x:f>SUM(AB463,AD463,AF463,AH463,AJ463)</x:f>
        <x:v>0</x:v>
      </x:c>
      <x:c r="AQ463" s="333" t="n">
        <x:f>AA463*AB463+AC463*AD463+AE463*AF463+AG463*AH463+AI463*AJ463</x:f>
        <x:v>0</x:v>
      </x:c>
      <x:c r="AR463" s="333" t="n">
        <x:f>IF(OR(J463="Strength",J463="Hypertrophy"),MAX(IF(AB463&gt;0,AA463*(1+AB463/30),0),IF(AD463&gt;0,AC463*(1+AD463/30),0),IF(AF463&gt;0,AE463*(1+AF463/30),0),IF(AH463&gt;0,AG463*(1+AH463/30),0),IF(AJ463&gt;0,AI463*(1+AJ463/30),0)),0)</x:f>
        <x:v>0</x:v>
      </x:c>
      <x:c r="AS463" s="315" t="str">
        <x:f>IF(AN463&lt;&gt;"Yes","Not logged",IF(AL463&gt;='Setup'!$B$14,"STOP / MODIFY",IF(Z463=0,"Complete",IF(OR(AO463=0,AK463=""),"Add set data + RIR",IF(AND(MAX(AB463,AD463,AF463,AH463,AJ463)&gt;=P463,AK463&gt;=Q463+1),"Progress",IF(OR(MAX(AB463,AD463,AF463,AH463,AJ463)&lt;O463,AK463&lt;Q463-1),"Regress","Hold"))))))</x:f>
        <x:v>Not logged</x:v>
      </x:c>
      <x:c r="AT463" s="335" t="n">
        <x:f>IF(OR(Z463=0,AN463&lt;&gt;"Yes",AO463=0,AK463=""),0,IF(AL463&gt;='Setup'!$B$14,-2*'Setup'!$B$11,IF(AND(MAX(AB463,AD463,AF463,AH463,AJ463)&gt;=P463,AK463&gt;=Q463+1),'Setup'!$B$10,IF(OR(MAX(AB463,AD463,AF463,AH463,AJ463)&lt;O463,AK463&lt;Q463-1),-'Setup'!$B$11,0))))</x:f>
        <x:v>0</x:v>
      </x:c>
      <x:c r="AU463" s="333" t="n">
        <x:f>IF(Z463=0,0,IF(AN463&lt;&gt;"Yes",Z463,IF(COUNT(AA463,AC463,AE463,AG463,AI463)=0,Z463,ROUND((MAX(AA463,AC463,AE463,AG463,AI463)*(1+AT463))/'Setup'!$B$9,0)*'Setup'!$B$9)))</x:f>
        <x:v>0</x:v>
      </x:c>
      <x:c r="AV463" s="336"/>
    </x:row>
    <x:row r="464">
      <x:c r="A464" s="310" t="n">
        <x:f>'Setup'!$B$3+(C464-1)*7+(D464-1)</x:f>
        <x:v>46301</x:v>
      </x:c>
      <x:c r="B464" s="311" t="str">
        <x:v>9|2|10</x:v>
      </x:c>
      <x:c r="C464" s="311" t="n">
        <x:v>9</x:v>
      </x:c>
      <x:c r="D464" s="311" t="n">
        <x:v>2</x:v>
      </x:c>
      <x:c r="E464" s="311" t="str">
        <x:v>Realization</x:v>
      </x:c>
      <x:c r="F464" s="311" t="str">
        <x:v>Back + Triceps</x:v>
      </x:c>
      <x:c r="G464" s="311" t="str">
        <x:v>High-volume back with triceps isolation</x:v>
      </x:c>
      <x:c r="H464" s="311" t="n">
        <x:v>10</x:v>
      </x:c>
      <x:c r="I464" s="311" t="str">
        <x:v>Open-Book Thoracic Rotation</x:v>
      </x:c>
      <x:c r="J464" s="311" t="str">
        <x:v>Mobility</x:v>
      </x:c>
      <x:c r="K464" s="311" t="str">
        <x:v>Thoracic</x:v>
      </x:c>
      <x:c r="L464" s="311" t="str">
        <x:v>Controlled mobility</x:v>
      </x:c>
      <x:c r="M464" s="311" t="str"/>
      <x:c r="N464" s="311" t="n">
        <x:v>2</x:v>
      </x:c>
      <x:c r="O464" s="311" t="n">
        <x:v>6</x:v>
      </x:c>
      <x:c r="P464" s="311" t="n">
        <x:v>10</x:v>
      </x:c>
      <x:c r="Q464" s="311" t="str"/>
      <x:c r="R464" s="311" t="n">
        <x:v>20</x:v>
      </x:c>
      <x:c r="S464" s="311" t="str">
        <x:v>Slow</x:v>
      </x:c>
      <x:c r="T464" s="330" t="n">
        <x:v>1.11</x:v>
      </x:c>
      <x:c r="U464" s="330" t="n">
        <x:v>0</x:v>
      </x:c>
      <x:c r="V464" s="331" t="str">
        <x:v>reps</x:v>
      </x:c>
      <x:c r="W464" s="332" t="str">
        <x:f>'Readiness'!K56</x:f>
      </x:c>
      <x:c r="X464" s="314" t="n">
        <x:f>'Readiness'!L56</x:f>
        <x:v>1</x:v>
      </x:c>
      <x:c r="Y464" s="315" t="n">
        <x:f>IF(J464="Mobility",N464,MAX(1,ROUND(N464*X464,0)))</x:f>
        <x:v>2</x:v>
      </x:c>
      <x:c r="Z464" s="333" t="n">
        <x:f>0</x:f>
        <x:v>0</x:v>
      </x:c>
      <x:c r="AA464" s="334"/>
      <x:c r="AB464" s="334"/>
      <x:c r="AC464" s="334"/>
      <x:c r="AD464" s="334"/>
      <x:c r="AE464" s="334"/>
      <x:c r="AF464" s="334"/>
      <x:c r="AG464" s="334"/>
      <x:c r="AH464" s="334"/>
      <x:c r="AI464" s="334"/>
      <x:c r="AJ464" s="312"/>
      <x:c r="AK464" s="312"/>
      <x:c r="AL464" s="312"/>
      <x:c r="AM464" s="312"/>
      <x:c r="AN464" s="312"/>
      <x:c r="AO464" s="315" t="n">
        <x:f>COUNT(AB464,AD464,AF464,AH464,AJ464)</x:f>
        <x:v>0</x:v>
      </x:c>
      <x:c r="AP464" s="315" t="n">
        <x:f>SUM(AB464,AD464,AF464,AH464,AJ464)</x:f>
        <x:v>0</x:v>
      </x:c>
      <x:c r="AQ464" s="333" t="n">
        <x:f>AA464*AB464+AC464*AD464+AE464*AF464+AG464*AH464+AI464*AJ464</x:f>
        <x:v>0</x:v>
      </x:c>
      <x:c r="AR464" s="333" t="n">
        <x:f>IF(OR(J464="Strength",J464="Hypertrophy"),MAX(IF(AB464&gt;0,AA464*(1+AB464/30),0),IF(AD464&gt;0,AC464*(1+AD464/30),0),IF(AF464&gt;0,AE464*(1+AF464/30),0),IF(AH464&gt;0,AG464*(1+AH464/30),0),IF(AJ464&gt;0,AI464*(1+AJ464/30),0)),0)</x:f>
        <x:v>0</x:v>
      </x:c>
      <x:c r="AS464" s="315" t="str">
        <x:f>IF(AN464&lt;&gt;"Yes","Not logged",IF(AL464&gt;='Setup'!$B$14,"STOP / MODIFY",IF(Z464=0,"Complete",IF(OR(AO464=0,AK464=""),"Add set data + RIR",IF(AND(MAX(AB464,AD464,AF464,AH464,AJ464)&gt;=P464,AK464&gt;=Q464+1),"Progress",IF(OR(MAX(AB464,AD464,AF464,AH464,AJ464)&lt;O464,AK464&lt;Q464-1),"Regress","Hold"))))))</x:f>
        <x:v>Not logged</x:v>
      </x:c>
      <x:c r="AT464" s="335" t="n">
        <x:f>IF(OR(Z464=0,AN464&lt;&gt;"Yes",AO464=0,AK464=""),0,IF(AL464&gt;='Setup'!$B$14,-2*'Setup'!$B$11,IF(AND(MAX(AB464,AD464,AF464,AH464,AJ464)&gt;=P464,AK464&gt;=Q464+1),'Setup'!$B$10,IF(OR(MAX(AB464,AD464,AF464,AH464,AJ464)&lt;O464,AK464&lt;Q464-1),-'Setup'!$B$11,0))))</x:f>
        <x:v>0</x:v>
      </x:c>
      <x:c r="AU464" s="333" t="n">
        <x:f>IF(Z464=0,0,IF(AN464&lt;&gt;"Yes",Z464,IF(COUNT(AA464,AC464,AE464,AG464,AI464)=0,Z464,ROUND((MAX(AA464,AC464,AE464,AG464,AI464)*(1+AT464))/'Setup'!$B$9,0)*'Setup'!$B$9)))</x:f>
        <x:v>0</x:v>
      </x:c>
      <x:c r="AV464" s="336"/>
    </x:row>
    <x:row r="465">
      <x:c r="A465" s="310" t="n">
        <x:f>'Setup'!$B$3+(C465-1)*7+(D465-1)</x:f>
        <x:v>46302</x:v>
      </x:c>
      <x:c r="B465" s="311" t="str">
        <x:v>9|3|1</x:v>
      </x:c>
      <x:c r="C465" s="311" t="n">
        <x:v>9</x:v>
      </x:c>
      <x:c r="D465" s="311" t="n">
        <x:v>3</x:v>
      </x:c>
      <x:c r="E465" s="311" t="str">
        <x:v>Realization</x:v>
      </x:c>
      <x:c r="F465" s="311" t="str">
        <x:v>Upper Power + Bench</x:v>
      </x:c>
      <x:c r="G465" s="311" t="str">
        <x:v>Bench strength and upper-body power</x:v>
      </x:c>
      <x:c r="H465" s="311" t="n">
        <x:v>1</x:v>
      </x:c>
      <x:c r="I465" s="311" t="str">
        <x:v>Medicine Ball Chest Pass</x:v>
      </x:c>
      <x:c r="J465" s="311" t="str">
        <x:v>Power</x:v>
      </x:c>
      <x:c r="K465" s="311" t="str">
        <x:v>Chest</x:v>
      </x:c>
      <x:c r="L465" s="311" t="str">
        <x:v>Max intent, full reset</x:v>
      </x:c>
      <x:c r="M465" s="311" t="str"/>
      <x:c r="N465" s="311" t="n">
        <x:v>4</x:v>
      </x:c>
      <x:c r="O465" s="311" t="n">
        <x:v>3</x:v>
      </x:c>
      <x:c r="P465" s="311" t="n">
        <x:v>3</x:v>
      </x:c>
      <x:c r="Q465" s="311" t="n">
        <x:v>3</x:v>
      </x:c>
      <x:c r="R465" s="311" t="n">
        <x:v>60</x:v>
      </x:c>
      <x:c r="S465" s="311" t="str">
        <x:v>Explosive</x:v>
      </x:c>
      <x:c r="T465" s="330" t="n">
        <x:v>1.11</x:v>
      </x:c>
      <x:c r="U465" s="330" t="n">
        <x:v>0</x:v>
      </x:c>
      <x:c r="V465" s="331" t="str">
        <x:v>throw quality</x:v>
      </x:c>
      <x:c r="W465" s="332" t="str">
        <x:f>'Readiness'!K57</x:f>
      </x:c>
      <x:c r="X465" s="314" t="n">
        <x:f>'Readiness'!L57</x:f>
        <x:v>1</x:v>
      </x:c>
      <x:c r="Y465" s="315" t="n">
        <x:f>IF(J465="Mobility",N465,MAX(1,ROUND(N465*X465,0)))</x:f>
        <x:v>4</x:v>
      </x:c>
      <x:c r="Z465" s="333" t="n">
        <x:f>0</x:f>
        <x:v>0</x:v>
      </x:c>
      <x:c r="AA465" s="334"/>
      <x:c r="AB465" s="334"/>
      <x:c r="AC465" s="334"/>
      <x:c r="AD465" s="334"/>
      <x:c r="AE465" s="334"/>
      <x:c r="AF465" s="334"/>
      <x:c r="AG465" s="334"/>
      <x:c r="AH465" s="334"/>
      <x:c r="AI465" s="334"/>
      <x:c r="AJ465" s="312"/>
      <x:c r="AK465" s="312"/>
      <x:c r="AL465" s="312"/>
      <x:c r="AM465" s="312"/>
      <x:c r="AN465" s="312"/>
      <x:c r="AO465" s="315" t="n">
        <x:f>COUNT(AB465,AD465,AF465,AH465,AJ465)</x:f>
        <x:v>0</x:v>
      </x:c>
      <x:c r="AP465" s="315" t="n">
        <x:f>SUM(AB465,AD465,AF465,AH465,AJ465)</x:f>
        <x:v>0</x:v>
      </x:c>
      <x:c r="AQ465" s="333" t="n">
        <x:f>AA465*AB465+AC465*AD465+AE465*AF465+AG465*AH465+AI465*AJ465</x:f>
        <x:v>0</x:v>
      </x:c>
      <x:c r="AR465" s="333" t="n">
        <x:f>IF(OR(J465="Strength",J465="Hypertrophy"),MAX(IF(AB465&gt;0,AA465*(1+AB465/30),0),IF(AD465&gt;0,AC465*(1+AD465/30),0),IF(AF465&gt;0,AE465*(1+AF465/30),0),IF(AH465&gt;0,AG465*(1+AH465/30),0),IF(AJ465&gt;0,AI465*(1+AJ465/30),0)),0)</x:f>
        <x:v>0</x:v>
      </x:c>
      <x:c r="AS465" s="315" t="str">
        <x:f>IF(AN465&lt;&gt;"Yes","Not logged",IF(AL465&gt;='Setup'!$B$14,"STOP / MODIFY",IF(Z465=0,"Complete",IF(OR(AO465=0,AK465=""),"Add set data + RIR",IF(AND(MAX(AB465,AD465,AF465,AH465,AJ465)&gt;=P465,AK465&gt;=Q465+1),"Progress",IF(OR(MAX(AB465,AD465,AF465,AH465,AJ465)&lt;O465,AK465&lt;Q465-1),"Regress","Hold"))))))</x:f>
        <x:v>Not logged</x:v>
      </x:c>
      <x:c r="AT465" s="335" t="n">
        <x:f>IF(OR(Z465=0,AN465&lt;&gt;"Yes",AO465=0,AK465=""),0,IF(AL465&gt;='Setup'!$B$14,-2*'Setup'!$B$11,IF(AND(MAX(AB465,AD465,AF465,AH465,AJ465)&gt;=P465,AK465&gt;=Q465+1),'Setup'!$B$10,IF(OR(MAX(AB465,AD465,AF465,AH465,AJ465)&lt;O465,AK465&lt;Q465-1),-'Setup'!$B$11,0))))</x:f>
        <x:v>0</x:v>
      </x:c>
      <x:c r="AU465" s="333" t="n">
        <x:f>IF(Z465=0,0,IF(AN465&lt;&gt;"Yes",Z465,IF(COUNT(AA465,AC465,AE465,AG465,AI465)=0,Z465,ROUND((MAX(AA465,AC465,AE465,AG465,AI465)*(1+AT465))/'Setup'!$B$9,0)*'Setup'!$B$9)))</x:f>
        <x:v>0</x:v>
      </x:c>
      <x:c r="AV465" s="336"/>
    </x:row>
    <x:row r="466">
      <x:c r="A466" s="310" t="n">
        <x:f>'Setup'!$B$3+(C466-1)*7+(D466-1)</x:f>
        <x:v>46302</x:v>
      </x:c>
      <x:c r="B466" s="311" t="str">
        <x:v>9|3|2</x:v>
      </x:c>
      <x:c r="C466" s="311" t="n">
        <x:v>9</x:v>
      </x:c>
      <x:c r="D466" s="311" t="n">
        <x:v>3</x:v>
      </x:c>
      <x:c r="E466" s="311" t="str">
        <x:v>Realization</x:v>
      </x:c>
      <x:c r="F466" s="311" t="str">
        <x:v>Upper Power + Bench</x:v>
      </x:c>
      <x:c r="G466" s="311" t="str">
        <x:v>Bench strength and upper-body power</x:v>
      </x:c>
      <x:c r="H466" s="311" t="n">
        <x:v>2</x:v>
      </x:c>
      <x:c r="I466" s="311" t="str">
        <x:v>Bench Press</x:v>
      </x:c>
      <x:c r="J466" s="311" t="str">
        <x:v>Strength</x:v>
      </x:c>
      <x:c r="K466" s="311" t="str">
        <x:v>Chest</x:v>
      </x:c>
      <x:c r="L466" s="311" t="str">
        <x:v>Top set + back-offs</x:v>
      </x:c>
      <x:c r="M466" s="311" t="str"/>
      <x:c r="N466" s="311" t="n">
        <x:v>4</x:v>
      </x:c>
      <x:c r="O466" s="311" t="n">
        <x:v>3</x:v>
      </x:c>
      <x:c r="P466" s="311" t="n">
        <x:v>5</x:v>
      </x:c>
      <x:c r="Q466" s="311" t="n">
        <x:v>3</x:v>
      </x:c>
      <x:c r="R466" s="311" t="n">
        <x:v>180</x:v>
      </x:c>
      <x:c r="S466" s="311" t="str">
        <x:v>2-0-X</x:v>
      </x:c>
      <x:c r="T466" s="330" t="n">
        <x:v>1.11</x:v>
      </x:c>
      <x:c r="U466" s="330" t="n">
        <x:v>0.82</x:v>
      </x:c>
      <x:c r="V466" s="331" t="str">
        <x:v>load × reps</x:v>
      </x:c>
      <x:c r="W466" s="332" t="str">
        <x:f>'Readiness'!K57</x:f>
      </x:c>
      <x:c r="X466" s="314" t="n">
        <x:f>'Readiness'!L57</x:f>
        <x:v>1</x:v>
      </x:c>
      <x:c r="Y466" s="315" t="n">
        <x:f>IF(J466="Mobility",N466,MAX(1,ROUND(N466*X466,0)))</x:f>
        <x:v>4</x:v>
      </x:c>
      <x:c r="Z466" s="333" t="n">
        <x:f>ROUND((IF(AU403&gt;0,AU403,IF(Z403&gt;0,Z403,'Setup'!$D$27))*T466)/'Setup'!$B$9,0)*'Setup'!$B$9</x:f>
        <x:v>0</x:v>
      </x:c>
      <x:c r="AA466" s="334"/>
      <x:c r="AB466" s="334"/>
      <x:c r="AC466" s="334"/>
      <x:c r="AD466" s="334"/>
      <x:c r="AE466" s="334"/>
      <x:c r="AF466" s="334"/>
      <x:c r="AG466" s="334"/>
      <x:c r="AH466" s="334"/>
      <x:c r="AI466" s="334"/>
      <x:c r="AJ466" s="312"/>
      <x:c r="AK466" s="312"/>
      <x:c r="AL466" s="312"/>
      <x:c r="AM466" s="312"/>
      <x:c r="AN466" s="312"/>
      <x:c r="AO466" s="315" t="n">
        <x:f>COUNT(AB466,AD466,AF466,AH466,AJ466)</x:f>
        <x:v>0</x:v>
      </x:c>
      <x:c r="AP466" s="315" t="n">
        <x:f>SUM(AB466,AD466,AF466,AH466,AJ466)</x:f>
        <x:v>0</x:v>
      </x:c>
      <x:c r="AQ466" s="333" t="n">
        <x:f>AA466*AB466+AC466*AD466+AE466*AF466+AG466*AH466+AI466*AJ466</x:f>
        <x:v>0</x:v>
      </x:c>
      <x:c r="AR466" s="333" t="n">
        <x:f>IF(OR(J466="Strength",J466="Hypertrophy"),MAX(IF(AB466&gt;0,AA466*(1+AB466/30),0),IF(AD466&gt;0,AC466*(1+AD466/30),0),IF(AF466&gt;0,AE466*(1+AF466/30),0),IF(AH466&gt;0,AG466*(1+AH466/30),0),IF(AJ466&gt;0,AI466*(1+AJ466/30),0)),0)</x:f>
        <x:v>0</x:v>
      </x:c>
      <x:c r="AS466" s="315" t="str">
        <x:f>IF(AN466&lt;&gt;"Yes","Not logged",IF(AL466&gt;='Setup'!$B$14,"STOP / MODIFY",IF(Z466=0,"Complete",IF(OR(AO466=0,AK466=""),"Add set data + RIR",IF(AND(MAX(AB466,AD466,AF466,AH466,AJ466)&gt;=P466,AK466&gt;=Q466+1),"Progress",IF(OR(MAX(AB466,AD466,AF466,AH466,AJ466)&lt;O466,AK466&lt;Q466-1),"Regress","Hold"))))))</x:f>
        <x:v>Not logged</x:v>
      </x:c>
      <x:c r="AT466" s="335" t="n">
        <x:f>IF(OR(Z466=0,AN466&lt;&gt;"Yes",AO466=0,AK466=""),0,IF(AL466&gt;='Setup'!$B$14,-2*'Setup'!$B$11,IF(AND(MAX(AB466,AD466,AF466,AH466,AJ466)&gt;=P466,AK466&gt;=Q466+1),'Setup'!$B$10,IF(OR(MAX(AB466,AD466,AF466,AH466,AJ466)&lt;O466,AK466&lt;Q466-1),-'Setup'!$B$11,0))))</x:f>
        <x:v>0</x:v>
      </x:c>
      <x:c r="AU466" s="333" t="n">
        <x:f>IF(Z466=0,0,IF(AN466&lt;&gt;"Yes",Z466,IF(COUNT(AA466,AC466,AE466,AG466,AI466)=0,Z466,ROUND((MAX(AA466,AC466,AE466,AG466,AI466)*(1+AT466))/'Setup'!$B$9,0)*'Setup'!$B$9)))</x:f>
        <x:v>0</x:v>
      </x:c>
      <x:c r="AV466" s="336"/>
    </x:row>
    <x:row r="467">
      <x:c r="A467" s="310" t="n">
        <x:f>'Setup'!$B$3+(C467-1)*7+(D467-1)</x:f>
        <x:v>46302</x:v>
      </x:c>
      <x:c r="B467" s="311" t="str">
        <x:v>9|3|3</x:v>
      </x:c>
      <x:c r="C467" s="311" t="n">
        <x:v>9</x:v>
      </x:c>
      <x:c r="D467" s="311" t="n">
        <x:v>3</x:v>
      </x:c>
      <x:c r="E467" s="311" t="str">
        <x:v>Realization</x:v>
      </x:c>
      <x:c r="F467" s="311" t="str">
        <x:v>Upper Power + Bench</x:v>
      </x:c>
      <x:c r="G467" s="311" t="str">
        <x:v>Bench strength and upper-body power</x:v>
      </x:c>
      <x:c r="H467" s="311" t="n">
        <x:v>3</x:v>
      </x:c>
      <x:c r="I467" s="311" t="str">
        <x:v>Speed Bench Press</x:v>
      </x:c>
      <x:c r="J467" s="311" t="str">
        <x:v>Power</x:v>
      </x:c>
      <x:c r="K467" s="311" t="str">
        <x:v>Chest</x:v>
      </x:c>
      <x:c r="L467" s="311" t="str">
        <x:v>Speed sets, stop if bar slows</x:v>
      </x:c>
      <x:c r="M467" s="311" t="str"/>
      <x:c r="N467" s="311" t="n">
        <x:v>5</x:v>
      </x:c>
      <x:c r="O467" s="311" t="n">
        <x:v>3</x:v>
      </x:c>
      <x:c r="P467" s="311" t="n">
        <x:v>3</x:v>
      </x:c>
      <x:c r="Q467" s="311" t="n">
        <x:v>3</x:v>
      </x:c>
      <x:c r="R467" s="311" t="n">
        <x:v>60</x:v>
      </x:c>
      <x:c r="S467" s="311" t="str">
        <x:v>1-0-X</x:v>
      </x:c>
      <x:c r="T467" s="330" t="n">
        <x:v>1.11</x:v>
      </x:c>
      <x:c r="U467" s="330" t="n">
        <x:v>0.55</x:v>
      </x:c>
      <x:c r="V467" s="331" t="str">
        <x:v>load × reps</x:v>
      </x:c>
      <x:c r="W467" s="332" t="str">
        <x:f>'Readiness'!K57</x:f>
      </x:c>
      <x:c r="X467" s="314" t="n">
        <x:f>'Readiness'!L57</x:f>
        <x:v>1</x:v>
      </x:c>
      <x:c r="Y467" s="315" t="n">
        <x:f>IF(J467="Mobility",N467,MAX(1,ROUND(N467*X467,0)))</x:f>
        <x:v>5</x:v>
      </x:c>
      <x:c r="Z467" s="333" t="n">
        <x:f>ROUND((IF(AU226&gt;0,AU226,IF(Z226&gt;0,Z226,'Setup'!$D$89))*T467)/'Setup'!$B$9,0)*'Setup'!$B$9</x:f>
        <x:v>0</x:v>
      </x:c>
      <x:c r="AA467" s="334"/>
      <x:c r="AB467" s="334"/>
      <x:c r="AC467" s="334"/>
      <x:c r="AD467" s="334"/>
      <x:c r="AE467" s="334"/>
      <x:c r="AF467" s="334"/>
      <x:c r="AG467" s="334"/>
      <x:c r="AH467" s="334"/>
      <x:c r="AI467" s="334"/>
      <x:c r="AJ467" s="312"/>
      <x:c r="AK467" s="312"/>
      <x:c r="AL467" s="312"/>
      <x:c r="AM467" s="312"/>
      <x:c r="AN467" s="312"/>
      <x:c r="AO467" s="315" t="n">
        <x:f>COUNT(AB467,AD467,AF467,AH467,AJ467)</x:f>
        <x:v>0</x:v>
      </x:c>
      <x:c r="AP467" s="315" t="n">
        <x:f>SUM(AB467,AD467,AF467,AH467,AJ467)</x:f>
        <x:v>0</x:v>
      </x:c>
      <x:c r="AQ467" s="333" t="n">
        <x:f>AA467*AB467+AC467*AD467+AE467*AF467+AG467*AH467+AI467*AJ467</x:f>
        <x:v>0</x:v>
      </x:c>
      <x:c r="AR467" s="333" t="n">
        <x:f>IF(OR(J467="Strength",J467="Hypertrophy"),MAX(IF(AB467&gt;0,AA467*(1+AB467/30),0),IF(AD467&gt;0,AC467*(1+AD467/30),0),IF(AF467&gt;0,AE467*(1+AF467/30),0),IF(AH467&gt;0,AG467*(1+AH467/30),0),IF(AJ467&gt;0,AI467*(1+AJ467/30),0)),0)</x:f>
        <x:v>0</x:v>
      </x:c>
      <x:c r="AS467" s="315" t="str">
        <x:f>IF(AN467&lt;&gt;"Yes","Not logged",IF(AL467&gt;='Setup'!$B$14,"STOP / MODIFY",IF(Z467=0,"Complete",IF(OR(AO467=0,AK467=""),"Add set data + RIR",IF(AND(MAX(AB467,AD467,AF467,AH467,AJ467)&gt;=P467,AK467&gt;=Q467+1),"Progress",IF(OR(MAX(AB467,AD467,AF467,AH467,AJ467)&lt;O467,AK467&lt;Q467-1),"Regress","Hold"))))))</x:f>
        <x:v>Not logged</x:v>
      </x:c>
      <x:c r="AT467" s="335" t="n">
        <x:f>IF(OR(Z467=0,AN467&lt;&gt;"Yes",AO467=0,AK467=""),0,IF(AL467&gt;='Setup'!$B$14,-2*'Setup'!$B$11,IF(AND(MAX(AB467,AD467,AF467,AH467,AJ467)&gt;=P467,AK467&gt;=Q467+1),'Setup'!$B$10,IF(OR(MAX(AB467,AD467,AF467,AH467,AJ467)&lt;O467,AK467&lt;Q467-1),-'Setup'!$B$11,0))))</x:f>
        <x:v>0</x:v>
      </x:c>
      <x:c r="AU467" s="333" t="n">
        <x:f>IF(Z467=0,0,IF(AN467&lt;&gt;"Yes",Z467,IF(COUNT(AA467,AC467,AE467,AG467,AI467)=0,Z467,ROUND((MAX(AA467,AC467,AE467,AG467,AI467)*(1+AT467))/'Setup'!$B$9,0)*'Setup'!$B$9)))</x:f>
        <x:v>0</x:v>
      </x:c>
      <x:c r="AV467" s="336"/>
    </x:row>
    <x:row r="468">
      <x:c r="A468" s="310" t="n">
        <x:f>'Setup'!$B$3+(C468-1)*7+(D468-1)</x:f>
        <x:v>46302</x:v>
      </x:c>
      <x:c r="B468" s="311" t="str">
        <x:v>9|3|4</x:v>
      </x:c>
      <x:c r="C468" s="311" t="n">
        <x:v>9</x:v>
      </x:c>
      <x:c r="D468" s="311" t="n">
        <x:v>3</x:v>
      </x:c>
      <x:c r="E468" s="311" t="str">
        <x:v>Realization</x:v>
      </x:c>
      <x:c r="F468" s="311" t="str">
        <x:v>Upper Power + Bench</x:v>
      </x:c>
      <x:c r="G468" s="311" t="str">
        <x:v>Bench strength and upper-body power</x:v>
      </x:c>
      <x:c r="H468" s="311" t="n">
        <x:v>4</x:v>
      </x:c>
      <x:c r="I468" s="311" t="str">
        <x:v>Weighted Pull-Up</x:v>
      </x:c>
      <x:c r="J468" s="311" t="str">
        <x:v>Strength</x:v>
      </x:c>
      <x:c r="K468" s="311" t="str">
        <x:v>Back</x:v>
      </x:c>
      <x:c r="L468" s="311" t="str">
        <x:v>Straight sets</x:v>
      </x:c>
      <x:c r="M468" s="311" t="str"/>
      <x:c r="N468" s="311" t="n">
        <x:v>4</x:v>
      </x:c>
      <x:c r="O468" s="311" t="n">
        <x:v>4</x:v>
      </x:c>
      <x:c r="P468" s="311" t="n">
        <x:v>6</x:v>
      </x:c>
      <x:c r="Q468" s="311" t="n">
        <x:v>3</x:v>
      </x:c>
      <x:c r="R468" s="311" t="n">
        <x:v>150</x:v>
      </x:c>
      <x:c r="S468" s="311" t="str">
        <x:v>2-1-X</x:v>
      </x:c>
      <x:c r="T468" s="330" t="n">
        <x:v>1.11</x:v>
      </x:c>
      <x:c r="U468" s="330" t="n">
        <x:v>0</x:v>
      </x:c>
      <x:c r="V468" s="331" t="str">
        <x:v>load × reps</x:v>
      </x:c>
      <x:c r="W468" s="332" t="str">
        <x:f>'Readiness'!K57</x:f>
      </x:c>
      <x:c r="X468" s="314" t="n">
        <x:f>'Readiness'!L57</x:f>
        <x:v>1</x:v>
      </x:c>
      <x:c r="Y468" s="315" t="n">
        <x:f>IF(J468="Mobility",N468,MAX(1,ROUND(N468*X468,0)))</x:f>
        <x:v>4</x:v>
      </x:c>
      <x:c r="Z468" s="333" t="n">
        <x:f>ROUND((IF(AU404&gt;0,AU404,IF(Z404&gt;0,Z404,'Setup'!$D$94))*T468)/'Setup'!$B$9,0)*'Setup'!$B$9</x:f>
        <x:v>0</x:v>
      </x:c>
      <x:c r="AA468" s="334"/>
      <x:c r="AB468" s="334"/>
      <x:c r="AC468" s="334"/>
      <x:c r="AD468" s="334"/>
      <x:c r="AE468" s="334"/>
      <x:c r="AF468" s="334"/>
      <x:c r="AG468" s="334"/>
      <x:c r="AH468" s="334"/>
      <x:c r="AI468" s="334"/>
      <x:c r="AJ468" s="312"/>
      <x:c r="AK468" s="312"/>
      <x:c r="AL468" s="312"/>
      <x:c r="AM468" s="312"/>
      <x:c r="AN468" s="312"/>
      <x:c r="AO468" s="315" t="n">
        <x:f>COUNT(AB468,AD468,AF468,AH468,AJ468)</x:f>
        <x:v>0</x:v>
      </x:c>
      <x:c r="AP468" s="315" t="n">
        <x:f>SUM(AB468,AD468,AF468,AH468,AJ468)</x:f>
        <x:v>0</x:v>
      </x:c>
      <x:c r="AQ468" s="333" t="n">
        <x:f>AA468*AB468+AC468*AD468+AE468*AF468+AG468*AH468+AI468*AJ468</x:f>
        <x:v>0</x:v>
      </x:c>
      <x:c r="AR468" s="333" t="n">
        <x:f>IF(OR(J468="Strength",J468="Hypertrophy"),MAX(IF(AB468&gt;0,AA468*(1+AB468/30),0),IF(AD468&gt;0,AC468*(1+AD468/30),0),IF(AF468&gt;0,AE468*(1+AF468/30),0),IF(AH468&gt;0,AG468*(1+AH468/30),0),IF(AJ468&gt;0,AI468*(1+AJ468/30),0)),0)</x:f>
        <x:v>0</x:v>
      </x:c>
      <x:c r="AS468" s="315" t="str">
        <x:f>IF(AN468&lt;&gt;"Yes","Not logged",IF(AL468&gt;='Setup'!$B$14,"STOP / MODIFY",IF(Z468=0,"Complete",IF(OR(AO468=0,AK468=""),"Add set data + RIR",IF(AND(MAX(AB468,AD468,AF468,AH468,AJ468)&gt;=P468,AK468&gt;=Q468+1),"Progress",IF(OR(MAX(AB468,AD468,AF468,AH468,AJ468)&lt;O468,AK468&lt;Q468-1),"Regress","Hold"))))))</x:f>
        <x:v>Not logged</x:v>
      </x:c>
      <x:c r="AT468" s="335" t="n">
        <x:f>IF(OR(Z468=0,AN468&lt;&gt;"Yes",AO468=0,AK468=""),0,IF(AL468&gt;='Setup'!$B$14,-2*'Setup'!$B$11,IF(AND(MAX(AB468,AD468,AF468,AH468,AJ468)&gt;=P468,AK468&gt;=Q468+1),'Setup'!$B$10,IF(OR(MAX(AB468,AD468,AF468,AH468,AJ468)&lt;O468,AK468&lt;Q468-1),-'Setup'!$B$11,0))))</x:f>
        <x:v>0</x:v>
      </x:c>
      <x:c r="AU468" s="333" t="n">
        <x:f>IF(Z468=0,0,IF(AN468&lt;&gt;"Yes",Z468,IF(COUNT(AA468,AC468,AE468,AG468,AI468)=0,Z468,ROUND((MAX(AA468,AC468,AE468,AG468,AI468)*(1+AT468))/'Setup'!$B$9,0)*'Setup'!$B$9)))</x:f>
        <x:v>0</x:v>
      </x:c>
      <x:c r="AV468" s="336"/>
    </x:row>
    <x:row r="469">
      <x:c r="A469" s="310" t="n">
        <x:f>'Setup'!$B$3+(C469-1)*7+(D469-1)</x:f>
        <x:v>46302</x:v>
      </x:c>
      <x:c r="B469" s="311" t="str">
        <x:v>9|3|5</x:v>
      </x:c>
      <x:c r="C469" s="311" t="n">
        <x:v>9</x:v>
      </x:c>
      <x:c r="D469" s="311" t="n">
        <x:v>3</x:v>
      </x:c>
      <x:c r="E469" s="311" t="str">
        <x:v>Realization</x:v>
      </x:c>
      <x:c r="F469" s="311" t="str">
        <x:v>Upper Power + Bench</x:v>
      </x:c>
      <x:c r="G469" s="311" t="str">
        <x:v>Bench strength and upper-body power</x:v>
      </x:c>
      <x:c r="H469" s="311" t="n">
        <x:v>5</x:v>
      </x:c>
      <x:c r="I469" s="311" t="str">
        <x:v>Push Press</x:v>
      </x:c>
      <x:c r="J469" s="311" t="str">
        <x:v>Power</x:v>
      </x:c>
      <x:c r="K469" s="311" t="str">
        <x:v>Shoulders</x:v>
      </x:c>
      <x:c r="L469" s="311" t="str">
        <x:v>Straight explosive sets</x:v>
      </x:c>
      <x:c r="M469" s="311" t="str"/>
      <x:c r="N469" s="311" t="n">
        <x:v>4</x:v>
      </x:c>
      <x:c r="O469" s="311" t="n">
        <x:v>3</x:v>
      </x:c>
      <x:c r="P469" s="311" t="n">
        <x:v>5</x:v>
      </x:c>
      <x:c r="Q469" s="311" t="n">
        <x:v>3</x:v>
      </x:c>
      <x:c r="R469" s="311" t="n">
        <x:v>120</x:v>
      </x:c>
      <x:c r="S469" s="311" t="str">
        <x:v>Dip-X</x:v>
      </x:c>
      <x:c r="T469" s="330" t="n">
        <x:v>1.11</x:v>
      </x:c>
      <x:c r="U469" s="330" t="n">
        <x:v>0.68</x:v>
      </x:c>
      <x:c r="V469" s="331" t="str">
        <x:v>load × reps</x:v>
      </x:c>
      <x:c r="W469" s="332" t="str">
        <x:f>'Readiness'!K57</x:f>
      </x:c>
      <x:c r="X469" s="314" t="n">
        <x:f>'Readiness'!L57</x:f>
        <x:v>1</x:v>
      </x:c>
      <x:c r="Y469" s="315" t="n">
        <x:f>IF(J469="Mobility",N469,MAX(1,ROUND(N469*X469,0)))</x:f>
        <x:v>4</x:v>
      </x:c>
      <x:c r="Z469" s="333" t="n">
        <x:f>IF('Setup'!$D$77&gt;0,'Setup'!$D$77,IF('Setup'!$B$8&gt;0,ROUND(('Setup'!$B$8*U469)/'Setup'!$B$9,0)*'Setup'!$B$9,0))</x:f>
        <x:v>0</x:v>
      </x:c>
      <x:c r="AA469" s="334"/>
      <x:c r="AB469" s="334"/>
      <x:c r="AC469" s="334"/>
      <x:c r="AD469" s="334"/>
      <x:c r="AE469" s="334"/>
      <x:c r="AF469" s="334"/>
      <x:c r="AG469" s="334"/>
      <x:c r="AH469" s="334"/>
      <x:c r="AI469" s="334"/>
      <x:c r="AJ469" s="312"/>
      <x:c r="AK469" s="312"/>
      <x:c r="AL469" s="312"/>
      <x:c r="AM469" s="312"/>
      <x:c r="AN469" s="312"/>
      <x:c r="AO469" s="315" t="n">
        <x:f>COUNT(AB469,AD469,AF469,AH469,AJ469)</x:f>
        <x:v>0</x:v>
      </x:c>
      <x:c r="AP469" s="315" t="n">
        <x:f>SUM(AB469,AD469,AF469,AH469,AJ469)</x:f>
        <x:v>0</x:v>
      </x:c>
      <x:c r="AQ469" s="333" t="n">
        <x:f>AA469*AB469+AC469*AD469+AE469*AF469+AG469*AH469+AI469*AJ469</x:f>
        <x:v>0</x:v>
      </x:c>
      <x:c r="AR469" s="333" t="n">
        <x:f>IF(OR(J469="Strength",J469="Hypertrophy"),MAX(IF(AB469&gt;0,AA469*(1+AB469/30),0),IF(AD469&gt;0,AC469*(1+AD469/30),0),IF(AF469&gt;0,AE469*(1+AF469/30),0),IF(AH469&gt;0,AG469*(1+AH469/30),0),IF(AJ469&gt;0,AI469*(1+AJ469/30),0)),0)</x:f>
        <x:v>0</x:v>
      </x:c>
      <x:c r="AS469" s="315" t="str">
        <x:f>IF(AN469&lt;&gt;"Yes","Not logged",IF(AL469&gt;='Setup'!$B$14,"STOP / MODIFY",IF(Z469=0,"Complete",IF(OR(AO469=0,AK469=""),"Add set data + RIR",IF(AND(MAX(AB469,AD469,AF469,AH469,AJ469)&gt;=P469,AK469&gt;=Q469+1),"Progress",IF(OR(MAX(AB469,AD469,AF469,AH469,AJ469)&lt;O469,AK469&lt;Q469-1),"Regress","Hold"))))))</x:f>
        <x:v>Not logged</x:v>
      </x:c>
      <x:c r="AT469" s="335" t="n">
        <x:f>IF(OR(Z469=0,AN469&lt;&gt;"Yes",AO469=0,AK469=""),0,IF(AL469&gt;='Setup'!$B$14,-2*'Setup'!$B$11,IF(AND(MAX(AB469,AD469,AF469,AH469,AJ469)&gt;=P469,AK469&gt;=Q469+1),'Setup'!$B$10,IF(OR(MAX(AB469,AD469,AF469,AH469,AJ469)&lt;O469,AK469&lt;Q469-1),-'Setup'!$B$11,0))))</x:f>
        <x:v>0</x:v>
      </x:c>
      <x:c r="AU469" s="333" t="n">
        <x:f>IF(Z469=0,0,IF(AN469&lt;&gt;"Yes",Z469,IF(COUNT(AA469,AC469,AE469,AG469,AI469)=0,Z469,ROUND((MAX(AA469,AC469,AE469,AG469,AI469)*(1+AT469))/'Setup'!$B$9,0)*'Setup'!$B$9)))</x:f>
        <x:v>0</x:v>
      </x:c>
      <x:c r="AV469" s="336"/>
    </x:row>
    <x:row r="470">
      <x:c r="A470" s="310" t="n">
        <x:f>'Setup'!$B$3+(C470-1)*7+(D470-1)</x:f>
        <x:v>46302</x:v>
      </x:c>
      <x:c r="B470" s="311" t="str">
        <x:v>9|3|6</x:v>
      </x:c>
      <x:c r="C470" s="311" t="n">
        <x:v>9</x:v>
      </x:c>
      <x:c r="D470" s="311" t="n">
        <x:v>3</x:v>
      </x:c>
      <x:c r="E470" s="311" t="str">
        <x:v>Realization</x:v>
      </x:c>
      <x:c r="F470" s="311" t="str">
        <x:v>Upper Power + Bench</x:v>
      </x:c>
      <x:c r="G470" s="311" t="str">
        <x:v>Bench strength and upper-body power</x:v>
      </x:c>
      <x:c r="H470" s="311" t="n">
        <x:v>6</x:v>
      </x:c>
      <x:c r="I470" s="311" t="str">
        <x:v>Chest-Supported Dumbbell Row</x:v>
      </x:c>
      <x:c r="J470" s="311" t="str">
        <x:v>Strength</x:v>
      </x:c>
      <x:c r="K470" s="311" t="str">
        <x:v>Back</x:v>
      </x:c>
      <x:c r="L470" s="311" t="str">
        <x:v>Straight sets</x:v>
      </x:c>
      <x:c r="M470" s="311" t="str"/>
      <x:c r="N470" s="311" t="n">
        <x:v>3</x:v>
      </x:c>
      <x:c r="O470" s="311" t="n">
        <x:v>6</x:v>
      </x:c>
      <x:c r="P470" s="311" t="n">
        <x:v>8</x:v>
      </x:c>
      <x:c r="Q470" s="311" t="n">
        <x:v>3</x:v>
      </x:c>
      <x:c r="R470" s="311" t="n">
        <x:v>90</x:v>
      </x:c>
      <x:c r="S470" s="311" t="str">
        <x:v>2-1-1</x:v>
      </x:c>
      <x:c r="T470" s="330" t="n">
        <x:v>1.11</x:v>
      </x:c>
      <x:c r="U470" s="330" t="n">
        <x:v>0</x:v>
      </x:c>
      <x:c r="V470" s="331" t="str">
        <x:v>load × reps</x:v>
      </x:c>
      <x:c r="W470" s="332" t="str">
        <x:f>'Readiness'!K57</x:f>
      </x:c>
      <x:c r="X470" s="314" t="n">
        <x:f>'Readiness'!L57</x:f>
        <x:v>1</x:v>
      </x:c>
      <x:c r="Y470" s="315" t="n">
        <x:f>IF(J470="Mobility",N470,MAX(1,ROUND(N470*X470,0)))</x:f>
        <x:v>3</x:v>
      </x:c>
      <x:c r="Z470" s="333" t="n">
        <x:f>ROUND((IF(AU428&gt;0,AU428,IF(Z428&gt;0,Z428,'Setup'!$D$34))*T470)/'Setup'!$B$9,0)*'Setup'!$B$9</x:f>
        <x:v>0</x:v>
      </x:c>
      <x:c r="AA470" s="334"/>
      <x:c r="AB470" s="334"/>
      <x:c r="AC470" s="334"/>
      <x:c r="AD470" s="334"/>
      <x:c r="AE470" s="334"/>
      <x:c r="AF470" s="334"/>
      <x:c r="AG470" s="334"/>
      <x:c r="AH470" s="334"/>
      <x:c r="AI470" s="334"/>
      <x:c r="AJ470" s="312"/>
      <x:c r="AK470" s="312"/>
      <x:c r="AL470" s="312"/>
      <x:c r="AM470" s="312"/>
      <x:c r="AN470" s="312"/>
      <x:c r="AO470" s="315" t="n">
        <x:f>COUNT(AB470,AD470,AF470,AH470,AJ470)</x:f>
        <x:v>0</x:v>
      </x:c>
      <x:c r="AP470" s="315" t="n">
        <x:f>SUM(AB470,AD470,AF470,AH470,AJ470)</x:f>
        <x:v>0</x:v>
      </x:c>
      <x:c r="AQ470" s="333" t="n">
        <x:f>AA470*AB470+AC470*AD470+AE470*AF470+AG470*AH470+AI470*AJ470</x:f>
        <x:v>0</x:v>
      </x:c>
      <x:c r="AR470" s="333" t="n">
        <x:f>IF(OR(J470="Strength",J470="Hypertrophy"),MAX(IF(AB470&gt;0,AA470*(1+AB470/30),0),IF(AD470&gt;0,AC470*(1+AD470/30),0),IF(AF470&gt;0,AE470*(1+AF470/30),0),IF(AH470&gt;0,AG470*(1+AH470/30),0),IF(AJ470&gt;0,AI470*(1+AJ470/30),0)),0)</x:f>
        <x:v>0</x:v>
      </x:c>
      <x:c r="AS470" s="315" t="str">
        <x:f>IF(AN470&lt;&gt;"Yes","Not logged",IF(AL470&gt;='Setup'!$B$14,"STOP / MODIFY",IF(Z470=0,"Complete",IF(OR(AO470=0,AK470=""),"Add set data + RIR",IF(AND(MAX(AB470,AD470,AF470,AH470,AJ470)&gt;=P470,AK470&gt;=Q470+1),"Progress",IF(OR(MAX(AB470,AD470,AF470,AH470,AJ470)&lt;O470,AK470&lt;Q470-1),"Regress","Hold"))))))</x:f>
        <x:v>Not logged</x:v>
      </x:c>
      <x:c r="AT470" s="335" t="n">
        <x:f>IF(OR(Z470=0,AN470&lt;&gt;"Yes",AO470=0,AK470=""),0,IF(AL470&gt;='Setup'!$B$14,-2*'Setup'!$B$11,IF(AND(MAX(AB470,AD470,AF470,AH470,AJ470)&gt;=P470,AK470&gt;=Q470+1),'Setup'!$B$10,IF(OR(MAX(AB470,AD470,AF470,AH470,AJ470)&lt;O470,AK470&lt;Q470-1),-'Setup'!$B$11,0))))</x:f>
        <x:v>0</x:v>
      </x:c>
      <x:c r="AU470" s="333" t="n">
        <x:f>IF(Z470=0,0,IF(AN470&lt;&gt;"Yes",Z470,IF(COUNT(AA470,AC470,AE470,AG470,AI470)=0,Z470,ROUND((MAX(AA470,AC470,AE470,AG470,AI470)*(1+AT470))/'Setup'!$B$9,0)*'Setup'!$B$9)))</x:f>
        <x:v>0</x:v>
      </x:c>
      <x:c r="AV470" s="336"/>
    </x:row>
    <x:row r="471">
      <x:c r="A471" s="310" t="n">
        <x:f>'Setup'!$B$3+(C471-1)*7+(D471-1)</x:f>
        <x:v>46302</x:v>
      </x:c>
      <x:c r="B471" s="311" t="str">
        <x:v>9|3|7</x:v>
      </x:c>
      <x:c r="C471" s="311" t="n">
        <x:v>9</x:v>
      </x:c>
      <x:c r="D471" s="311" t="n">
        <x:v>3</x:v>
      </x:c>
      <x:c r="E471" s="311" t="str">
        <x:v>Realization</x:v>
      </x:c>
      <x:c r="F471" s="311" t="str">
        <x:v>Upper Power + Bench</x:v>
      </x:c>
      <x:c r="G471" s="311" t="str">
        <x:v>Bench strength and upper-body power</x:v>
      </x:c>
      <x:c r="H471" s="311" t="n">
        <x:v>7</x:v>
      </x:c>
      <x:c r="I471" s="311" t="str">
        <x:v>Cable Lateral Raise</x:v>
      </x:c>
      <x:c r="J471" s="311" t="str">
        <x:v>Hypertrophy</x:v>
      </x:c>
      <x:c r="K471" s="311" t="str">
        <x:v>Shoulders</x:v>
      </x:c>
      <x:c r="L471" s="311" t="str">
        <x:v>Straight sets</x:v>
      </x:c>
      <x:c r="M471" s="311" t="str"/>
      <x:c r="N471" s="311" t="n">
        <x:v>3</x:v>
      </x:c>
      <x:c r="O471" s="311" t="n">
        <x:v>12</x:v>
      </x:c>
      <x:c r="P471" s="311" t="n">
        <x:v>20</x:v>
      </x:c>
      <x:c r="Q471" s="311" t="n">
        <x:v>3</x:v>
      </x:c>
      <x:c r="R471" s="311" t="n">
        <x:v>45</x:v>
      </x:c>
      <x:c r="S471" s="311" t="str">
        <x:v>2-1-2</x:v>
      </x:c>
      <x:c r="T471" s="330" t="n">
        <x:v>1.11</x:v>
      </x:c>
      <x:c r="U471" s="330" t="n">
        <x:v>0</x:v>
      </x:c>
      <x:c r="V471" s="331" t="str">
        <x:v>load × reps</x:v>
      </x:c>
      <x:c r="W471" s="332" t="str">
        <x:f>'Readiness'!K57</x:f>
      </x:c>
      <x:c r="X471" s="314" t="n">
        <x:f>'Readiness'!L57</x:f>
        <x:v>1</x:v>
      </x:c>
      <x:c r="Y471" s="315" t="n">
        <x:f>IF(J471="Mobility",N471,MAX(1,ROUND(N471*X471,0)))</x:f>
        <x:v>3</x:v>
      </x:c>
      <x:c r="Z471" s="333" t="n">
        <x:f>ROUND((IF(AU423&gt;0,AU423,IF(Z423&gt;0,Z423,'Setup'!$D$33))*T471)/'Setup'!$B$9,0)*'Setup'!$B$9</x:f>
        <x:v>0</x:v>
      </x:c>
      <x:c r="AA471" s="334"/>
      <x:c r="AB471" s="334"/>
      <x:c r="AC471" s="334"/>
      <x:c r="AD471" s="334"/>
      <x:c r="AE471" s="334"/>
      <x:c r="AF471" s="334"/>
      <x:c r="AG471" s="334"/>
      <x:c r="AH471" s="334"/>
      <x:c r="AI471" s="334"/>
      <x:c r="AJ471" s="312"/>
      <x:c r="AK471" s="312"/>
      <x:c r="AL471" s="312"/>
      <x:c r="AM471" s="312"/>
      <x:c r="AN471" s="312"/>
      <x:c r="AO471" s="315" t="n">
        <x:f>COUNT(AB471,AD471,AF471,AH471,AJ471)</x:f>
        <x:v>0</x:v>
      </x:c>
      <x:c r="AP471" s="315" t="n">
        <x:f>SUM(AB471,AD471,AF471,AH471,AJ471)</x:f>
        <x:v>0</x:v>
      </x:c>
      <x:c r="AQ471" s="333" t="n">
        <x:f>AA471*AB471+AC471*AD471+AE471*AF471+AG471*AH471+AI471*AJ471</x:f>
        <x:v>0</x:v>
      </x:c>
      <x:c r="AR471" s="333" t="n">
        <x:f>IF(OR(J471="Strength",J471="Hypertrophy"),MAX(IF(AB471&gt;0,AA471*(1+AB471/30),0),IF(AD471&gt;0,AC471*(1+AD471/30),0),IF(AF471&gt;0,AE471*(1+AF471/30),0),IF(AH471&gt;0,AG471*(1+AH471/30),0),IF(AJ471&gt;0,AI471*(1+AJ471/30),0)),0)</x:f>
        <x:v>0</x:v>
      </x:c>
      <x:c r="AS471" s="315" t="str">
        <x:f>IF(AN471&lt;&gt;"Yes","Not logged",IF(AL471&gt;='Setup'!$B$14,"STOP / MODIFY",IF(Z471=0,"Complete",IF(OR(AO471=0,AK471=""),"Add set data + RIR",IF(AND(MAX(AB471,AD471,AF471,AH471,AJ471)&gt;=P471,AK471&gt;=Q471+1),"Progress",IF(OR(MAX(AB471,AD471,AF471,AH471,AJ471)&lt;O471,AK471&lt;Q471-1),"Regress","Hold"))))))</x:f>
        <x:v>Not logged</x:v>
      </x:c>
      <x:c r="AT471" s="335" t="n">
        <x:f>IF(OR(Z471=0,AN471&lt;&gt;"Yes",AO471=0,AK471=""),0,IF(AL471&gt;='Setup'!$B$14,-2*'Setup'!$B$11,IF(AND(MAX(AB471,AD471,AF471,AH471,AJ471)&gt;=P471,AK471&gt;=Q471+1),'Setup'!$B$10,IF(OR(MAX(AB471,AD471,AF471,AH471,AJ471)&lt;O471,AK471&lt;Q471-1),-'Setup'!$B$11,0))))</x:f>
        <x:v>0</x:v>
      </x:c>
      <x:c r="AU471" s="333" t="n">
        <x:f>IF(Z471=0,0,IF(AN471&lt;&gt;"Yes",Z471,IF(COUNT(AA471,AC471,AE471,AG471,AI471)=0,Z471,ROUND((MAX(AA471,AC471,AE471,AG471,AI471)*(1+AT471))/'Setup'!$B$9,0)*'Setup'!$B$9)))</x:f>
        <x:v>0</x:v>
      </x:c>
      <x:c r="AV471" s="336"/>
    </x:row>
    <x:row r="472">
      <x:c r="A472" s="310" t="n">
        <x:f>'Setup'!$B$3+(C472-1)*7+(D472-1)</x:f>
        <x:v>46302</x:v>
      </x:c>
      <x:c r="B472" s="311" t="str">
        <x:v>9|3|8</x:v>
      </x:c>
      <x:c r="C472" s="311" t="n">
        <x:v>9</x:v>
      </x:c>
      <x:c r="D472" s="311" t="n">
        <x:v>3</x:v>
      </x:c>
      <x:c r="E472" s="311" t="str">
        <x:v>Realization</x:v>
      </x:c>
      <x:c r="F472" s="311" t="str">
        <x:v>Upper Power + Bench</x:v>
      </x:c>
      <x:c r="G472" s="311" t="str">
        <x:v>Bench strength and upper-body power</x:v>
      </x:c>
      <x:c r="H472" s="311" t="n">
        <x:v>8</x:v>
      </x:c>
      <x:c r="I472" s="311" t="str">
        <x:v>Kettlebell Bottom-Up Carry</x:v>
      </x:c>
      <x:c r="J472" s="311" t="str">
        <x:v>Athletic</x:v>
      </x:c>
      <x:c r="K472" s="311" t="str">
        <x:v>Shoulders</x:v>
      </x:c>
      <x:c r="L472" s="311" t="str">
        <x:v>Stable wrist and stacked ribs</x:v>
      </x:c>
      <x:c r="M472" s="311" t="str"/>
      <x:c r="N472" s="311" t="n">
        <x:v>3</x:v>
      </x:c>
      <x:c r="O472" s="311" t="n">
        <x:v>20</x:v>
      </x:c>
      <x:c r="P472" s="311" t="n">
        <x:v>30</x:v>
      </x:c>
      <x:c r="Q472" s="311" t="n">
        <x:v>3</x:v>
      </x:c>
      <x:c r="R472" s="311" t="n">
        <x:v>60</x:v>
      </x:c>
      <x:c r="S472" s="311" t="str">
        <x:v>Controlled</x:v>
      </x:c>
      <x:c r="T472" s="330" t="n">
        <x:v>1.11</x:v>
      </x:c>
      <x:c r="U472" s="330" t="n">
        <x:v>0</x:v>
      </x:c>
      <x:c r="V472" s="331" t="str">
        <x:v>load + meters</x:v>
      </x:c>
      <x:c r="W472" s="332" t="str">
        <x:f>'Readiness'!K57</x:f>
      </x:c>
      <x:c r="X472" s="314" t="n">
        <x:f>'Readiness'!L57</x:f>
        <x:v>1</x:v>
      </x:c>
      <x:c r="Y472" s="315" t="n">
        <x:f>IF(J472="Mobility",N472,MAX(1,ROUND(N472*X472,0)))</x:f>
        <x:v>3</x:v>
      </x:c>
      <x:c r="Z472" s="333" t="n">
        <x:f>0</x:f>
        <x:v>0</x:v>
      </x:c>
      <x:c r="AA472" s="334"/>
      <x:c r="AB472" s="334"/>
      <x:c r="AC472" s="334"/>
      <x:c r="AD472" s="334"/>
      <x:c r="AE472" s="334"/>
      <x:c r="AF472" s="334"/>
      <x:c r="AG472" s="334"/>
      <x:c r="AH472" s="334"/>
      <x:c r="AI472" s="334"/>
      <x:c r="AJ472" s="312"/>
      <x:c r="AK472" s="312"/>
      <x:c r="AL472" s="312"/>
      <x:c r="AM472" s="312"/>
      <x:c r="AN472" s="312"/>
      <x:c r="AO472" s="315" t="n">
        <x:f>COUNT(AB472,AD472,AF472,AH472,AJ472)</x:f>
        <x:v>0</x:v>
      </x:c>
      <x:c r="AP472" s="315" t="n">
        <x:f>SUM(AB472,AD472,AF472,AH472,AJ472)</x:f>
        <x:v>0</x:v>
      </x:c>
      <x:c r="AQ472" s="333" t="n">
        <x:f>AA472*AB472+AC472*AD472+AE472*AF472+AG472*AH472+AI472*AJ472</x:f>
        <x:v>0</x:v>
      </x:c>
      <x:c r="AR472" s="333" t="n">
        <x:f>IF(OR(J472="Strength",J472="Hypertrophy"),MAX(IF(AB472&gt;0,AA472*(1+AB472/30),0),IF(AD472&gt;0,AC472*(1+AD472/30),0),IF(AF472&gt;0,AE472*(1+AF472/30),0),IF(AH472&gt;0,AG472*(1+AH472/30),0),IF(AJ472&gt;0,AI472*(1+AJ472/30),0)),0)</x:f>
        <x:v>0</x:v>
      </x:c>
      <x:c r="AS472" s="315" t="str">
        <x:f>IF(AN472&lt;&gt;"Yes","Not logged",IF(AL472&gt;='Setup'!$B$14,"STOP / MODIFY",IF(Z472=0,"Complete",IF(OR(AO472=0,AK472=""),"Add set data + RIR",IF(AND(MAX(AB472,AD472,AF472,AH472,AJ472)&gt;=P472,AK472&gt;=Q472+1),"Progress",IF(OR(MAX(AB472,AD472,AF472,AH472,AJ472)&lt;O472,AK472&lt;Q472-1),"Regress","Hold"))))))</x:f>
        <x:v>Not logged</x:v>
      </x:c>
      <x:c r="AT472" s="335" t="n">
        <x:f>IF(OR(Z472=0,AN472&lt;&gt;"Yes",AO472=0,AK472=""),0,IF(AL472&gt;='Setup'!$B$14,-2*'Setup'!$B$11,IF(AND(MAX(AB472,AD472,AF472,AH472,AJ472)&gt;=P472,AK472&gt;=Q472+1),'Setup'!$B$10,IF(OR(MAX(AB472,AD472,AF472,AH472,AJ472)&lt;O472,AK472&lt;Q472-1),-'Setup'!$B$11,0))))</x:f>
        <x:v>0</x:v>
      </x:c>
      <x:c r="AU472" s="333" t="n">
        <x:f>IF(Z472=0,0,IF(AN472&lt;&gt;"Yes",Z472,IF(COUNT(AA472,AC472,AE472,AG472,AI472)=0,Z472,ROUND((MAX(AA472,AC472,AE472,AG472,AI472)*(1+AT472))/'Setup'!$B$9,0)*'Setup'!$B$9)))</x:f>
        <x:v>0</x:v>
      </x:c>
      <x:c r="AV472" s="336"/>
    </x:row>
    <x:row r="473">
      <x:c r="A473" s="310" t="n">
        <x:f>'Setup'!$B$3+(C473-1)*7+(D473-1)</x:f>
        <x:v>46302</x:v>
      </x:c>
      <x:c r="B473" s="311" t="str">
        <x:v>9|3|9</x:v>
      </x:c>
      <x:c r="C473" s="311" t="n">
        <x:v>9</x:v>
      </x:c>
      <x:c r="D473" s="311" t="n">
        <x:v>3</x:v>
      </x:c>
      <x:c r="E473" s="311" t="str">
        <x:v>Realization</x:v>
      </x:c>
      <x:c r="F473" s="311" t="str">
        <x:v>Upper Power + Bench</x:v>
      </x:c>
      <x:c r="G473" s="311" t="str">
        <x:v>Bench strength and upper-body power</x:v>
      </x:c>
      <x:c r="H473" s="311" t="n">
        <x:v>9</x:v>
      </x:c>
      <x:c r="I473" s="311" t="str">
        <x:v>Shoulder CARs</x:v>
      </x:c>
      <x:c r="J473" s="311" t="str">
        <x:v>Mobility</x:v>
      </x:c>
      <x:c r="K473" s="311" t="str">
        <x:v>Shoulders</x:v>
      </x:c>
      <x:c r="L473" s="311" t="str">
        <x:v>Controlled articular rotation</x:v>
      </x:c>
      <x:c r="M473" s="311" t="str"/>
      <x:c r="N473" s="311" t="n">
        <x:v>2</x:v>
      </x:c>
      <x:c r="O473" s="311" t="n">
        <x:v>3</x:v>
      </x:c>
      <x:c r="P473" s="311" t="n">
        <x:v>5</x:v>
      </x:c>
      <x:c r="Q473" s="311" t="str"/>
      <x:c r="R473" s="311" t="n">
        <x:v>20</x:v>
      </x:c>
      <x:c r="S473" s="311" t="str">
        <x:v>Slow</x:v>
      </x:c>
      <x:c r="T473" s="330" t="n">
        <x:v>1.11</x:v>
      </x:c>
      <x:c r="U473" s="330" t="n">
        <x:v>0</x:v>
      </x:c>
      <x:c r="V473" s="331" t="str">
        <x:v>reps</x:v>
      </x:c>
      <x:c r="W473" s="332" t="str">
        <x:f>'Readiness'!K57</x:f>
      </x:c>
      <x:c r="X473" s="314" t="n">
        <x:f>'Readiness'!L57</x:f>
        <x:v>1</x:v>
      </x:c>
      <x:c r="Y473" s="315" t="n">
        <x:f>IF(J473="Mobility",N473,MAX(1,ROUND(N473*X473,0)))</x:f>
        <x:v>2</x:v>
      </x:c>
      <x:c r="Z473" s="333" t="n">
        <x:f>0</x:f>
        <x:v>0</x:v>
      </x:c>
      <x:c r="AA473" s="334"/>
      <x:c r="AB473" s="334"/>
      <x:c r="AC473" s="334"/>
      <x:c r="AD473" s="334"/>
      <x:c r="AE473" s="334"/>
      <x:c r="AF473" s="334"/>
      <x:c r="AG473" s="334"/>
      <x:c r="AH473" s="334"/>
      <x:c r="AI473" s="334"/>
      <x:c r="AJ473" s="312"/>
      <x:c r="AK473" s="312"/>
      <x:c r="AL473" s="312"/>
      <x:c r="AM473" s="312"/>
      <x:c r="AN473" s="312"/>
      <x:c r="AO473" s="315" t="n">
        <x:f>COUNT(AB473,AD473,AF473,AH473,AJ473)</x:f>
        <x:v>0</x:v>
      </x:c>
      <x:c r="AP473" s="315" t="n">
        <x:f>SUM(AB473,AD473,AF473,AH473,AJ473)</x:f>
        <x:v>0</x:v>
      </x:c>
      <x:c r="AQ473" s="333" t="n">
        <x:f>AA473*AB473+AC473*AD473+AE473*AF473+AG473*AH473+AI473*AJ473</x:f>
        <x:v>0</x:v>
      </x:c>
      <x:c r="AR473" s="333" t="n">
        <x:f>IF(OR(J473="Strength",J473="Hypertrophy"),MAX(IF(AB473&gt;0,AA473*(1+AB473/30),0),IF(AD473&gt;0,AC473*(1+AD473/30),0),IF(AF473&gt;0,AE473*(1+AF473/30),0),IF(AH473&gt;0,AG473*(1+AH473/30),0),IF(AJ473&gt;0,AI473*(1+AJ473/30),0)),0)</x:f>
        <x:v>0</x:v>
      </x:c>
      <x:c r="AS473" s="315" t="str">
        <x:f>IF(AN473&lt;&gt;"Yes","Not logged",IF(AL473&gt;='Setup'!$B$14,"STOP / MODIFY",IF(Z473=0,"Complete",IF(OR(AO473=0,AK473=""),"Add set data + RIR",IF(AND(MAX(AB473,AD473,AF473,AH473,AJ473)&gt;=P473,AK473&gt;=Q473+1),"Progress",IF(OR(MAX(AB473,AD473,AF473,AH473,AJ473)&lt;O473,AK473&lt;Q473-1),"Regress","Hold"))))))</x:f>
        <x:v>Not logged</x:v>
      </x:c>
      <x:c r="AT473" s="335" t="n">
        <x:f>IF(OR(Z473=0,AN473&lt;&gt;"Yes",AO473=0,AK473=""),0,IF(AL473&gt;='Setup'!$B$14,-2*'Setup'!$B$11,IF(AND(MAX(AB473,AD473,AF473,AH473,AJ473)&gt;=P473,AK473&gt;=Q473+1),'Setup'!$B$10,IF(OR(MAX(AB473,AD473,AF473,AH473,AJ473)&lt;O473,AK473&lt;Q473-1),-'Setup'!$B$11,0))))</x:f>
        <x:v>0</x:v>
      </x:c>
      <x:c r="AU473" s="333" t="n">
        <x:f>IF(Z473=0,0,IF(AN473&lt;&gt;"Yes",Z473,IF(COUNT(AA473,AC473,AE473,AG473,AI473)=0,Z473,ROUND((MAX(AA473,AC473,AE473,AG473,AI473)*(1+AT473))/'Setup'!$B$9,0)*'Setup'!$B$9)))</x:f>
        <x:v>0</x:v>
      </x:c>
      <x:c r="AV473" s="336"/>
    </x:row>
    <x:row r="474">
      <x:c r="A474" s="310" t="n">
        <x:f>'Setup'!$B$3+(C474-1)*7+(D474-1)</x:f>
        <x:v>46303</x:v>
      </x:c>
      <x:c r="B474" s="311" t="str">
        <x:v>9|4|1</x:v>
      </x:c>
      <x:c r="C474" s="311" t="n">
        <x:v>9</x:v>
      </x:c>
      <x:c r="D474" s="311" t="n">
        <x:v>4</x:v>
      </x:c>
      <x:c r="E474" s="311" t="str">
        <x:v>Realization</x:v>
      </x:c>
      <x:c r="F474" s="311" t="str">
        <x:v>Posterior Strength</x:v>
      </x:c>
      <x:c r="G474" s="311" t="str">
        <x:v>Deadlift strength + posterior chain</x:v>
      </x:c>
      <x:c r="H474" s="311" t="n">
        <x:v>1</x:v>
      </x:c>
      <x:c r="I474" s="311" t="str">
        <x:v>Broad Jump</x:v>
      </x:c>
      <x:c r="J474" s="311" t="str">
        <x:v>Power</x:v>
      </x:c>
      <x:c r="K474" s="311" t="str">
        <x:v>Quads</x:v>
      </x:c>
      <x:c r="L474" s="311" t="str">
        <x:v>Full reset, stick landing</x:v>
      </x:c>
      <x:c r="M474" s="311" t="str"/>
      <x:c r="N474" s="311" t="n">
        <x:v>4</x:v>
      </x:c>
      <x:c r="O474" s="311" t="n">
        <x:v>3</x:v>
      </x:c>
      <x:c r="P474" s="311" t="n">
        <x:v>3</x:v>
      </x:c>
      <x:c r="Q474" s="311" t="n">
        <x:v>3</x:v>
      </x:c>
      <x:c r="R474" s="311" t="n">
        <x:v>75</x:v>
      </x:c>
      <x:c r="S474" s="311" t="str">
        <x:v>Explosive</x:v>
      </x:c>
      <x:c r="T474" s="330" t="n">
        <x:v>1.11</x:v>
      </x:c>
      <x:c r="U474" s="330" t="n">
        <x:v>0</x:v>
      </x:c>
      <x:c r="V474" s="331" t="str">
        <x:v>distance</x:v>
      </x:c>
      <x:c r="W474" s="332" t="str">
        <x:f>'Readiness'!K58</x:f>
      </x:c>
      <x:c r="X474" s="314" t="n">
        <x:f>'Readiness'!L58</x:f>
        <x:v>1</x:v>
      </x:c>
      <x:c r="Y474" s="315" t="n">
        <x:f>IF(J474="Mobility",N474,MAX(1,ROUND(N474*X474,0)))</x:f>
        <x:v>4</x:v>
      </x:c>
      <x:c r="Z474" s="333" t="n">
        <x:f>0</x:f>
        <x:v>0</x:v>
      </x:c>
      <x:c r="AA474" s="334"/>
      <x:c r="AB474" s="334"/>
      <x:c r="AC474" s="334"/>
      <x:c r="AD474" s="334"/>
      <x:c r="AE474" s="334"/>
      <x:c r="AF474" s="334"/>
      <x:c r="AG474" s="334"/>
      <x:c r="AH474" s="334"/>
      <x:c r="AI474" s="334"/>
      <x:c r="AJ474" s="312"/>
      <x:c r="AK474" s="312"/>
      <x:c r="AL474" s="312"/>
      <x:c r="AM474" s="312"/>
      <x:c r="AN474" s="312"/>
      <x:c r="AO474" s="315" t="n">
        <x:f>COUNT(AB474,AD474,AF474,AH474,AJ474)</x:f>
        <x:v>0</x:v>
      </x:c>
      <x:c r="AP474" s="315" t="n">
        <x:f>SUM(AB474,AD474,AF474,AH474,AJ474)</x:f>
        <x:v>0</x:v>
      </x:c>
      <x:c r="AQ474" s="333" t="n">
        <x:f>AA474*AB474+AC474*AD474+AE474*AF474+AG474*AH474+AI474*AJ474</x:f>
        <x:v>0</x:v>
      </x:c>
      <x:c r="AR474" s="333" t="n">
        <x:f>IF(OR(J474="Strength",J474="Hypertrophy"),MAX(IF(AB474&gt;0,AA474*(1+AB474/30),0),IF(AD474&gt;0,AC474*(1+AD474/30),0),IF(AF474&gt;0,AE474*(1+AF474/30),0),IF(AH474&gt;0,AG474*(1+AH474/30),0),IF(AJ474&gt;0,AI474*(1+AJ474/30),0)),0)</x:f>
        <x:v>0</x:v>
      </x:c>
      <x:c r="AS474" s="315" t="str">
        <x:f>IF(AN474&lt;&gt;"Yes","Not logged",IF(AL474&gt;='Setup'!$B$14,"STOP / MODIFY",IF(Z474=0,"Complete",IF(OR(AO474=0,AK474=""),"Add set data + RIR",IF(AND(MAX(AB474,AD474,AF474,AH474,AJ474)&gt;=P474,AK474&gt;=Q474+1),"Progress",IF(OR(MAX(AB474,AD474,AF474,AH474,AJ474)&lt;O474,AK474&lt;Q474-1),"Regress","Hold"))))))</x:f>
        <x:v>Not logged</x:v>
      </x:c>
      <x:c r="AT474" s="335" t="n">
        <x:f>IF(OR(Z474=0,AN474&lt;&gt;"Yes",AO474=0,AK474=""),0,IF(AL474&gt;='Setup'!$B$14,-2*'Setup'!$B$11,IF(AND(MAX(AB474,AD474,AF474,AH474,AJ474)&gt;=P474,AK474&gt;=Q474+1),'Setup'!$B$10,IF(OR(MAX(AB474,AD474,AF474,AH474,AJ474)&lt;O474,AK474&lt;Q474-1),-'Setup'!$B$11,0))))</x:f>
        <x:v>0</x:v>
      </x:c>
      <x:c r="AU474" s="333" t="n">
        <x:f>IF(Z474=0,0,IF(AN474&lt;&gt;"Yes",Z474,IF(COUNT(AA474,AC474,AE474,AG474,AI474)=0,Z474,ROUND((MAX(AA474,AC474,AE474,AG474,AI474)*(1+AT474))/'Setup'!$B$9,0)*'Setup'!$B$9)))</x:f>
        <x:v>0</x:v>
      </x:c>
      <x:c r="AV474" s="336"/>
    </x:row>
    <x:row r="475">
      <x:c r="A475" s="310" t="n">
        <x:f>'Setup'!$B$3+(C475-1)*7+(D475-1)</x:f>
        <x:v>46303</x:v>
      </x:c>
      <x:c r="B475" s="311" t="str">
        <x:v>9|4|2</x:v>
      </x:c>
      <x:c r="C475" s="311" t="n">
        <x:v>9</x:v>
      </x:c>
      <x:c r="D475" s="311" t="n">
        <x:v>4</x:v>
      </x:c>
      <x:c r="E475" s="311" t="str">
        <x:v>Realization</x:v>
      </x:c>
      <x:c r="F475" s="311" t="str">
        <x:v>Posterior Strength</x:v>
      </x:c>
      <x:c r="G475" s="311" t="str">
        <x:v>Deadlift strength + posterior chain</x:v>
      </x:c>
      <x:c r="H475" s="311" t="n">
        <x:v>2</x:v>
      </x:c>
      <x:c r="I475" s="311" t="str">
        <x:v>Conventional Deadlift</x:v>
      </x:c>
      <x:c r="J475" s="311" t="str">
        <x:v>Strength</x:v>
      </x:c>
      <x:c r="K475" s="311" t="str">
        <x:v>Hamstrings</x:v>
      </x:c>
      <x:c r="L475" s="311" t="str">
        <x:v>Top set + back-offs</x:v>
      </x:c>
      <x:c r="M475" s="311" t="str"/>
      <x:c r="N475" s="311" t="n">
        <x:v>4</x:v>
      </x:c>
      <x:c r="O475" s="311" t="n">
        <x:v>3</x:v>
      </x:c>
      <x:c r="P475" s="311" t="n">
        <x:v>5</x:v>
      </x:c>
      <x:c r="Q475" s="311" t="n">
        <x:v>3</x:v>
      </x:c>
      <x:c r="R475" s="311" t="n">
        <x:v>210</x:v>
      </x:c>
      <x:c r="S475" s="311" t="str">
        <x:v>2-1-X</x:v>
      </x:c>
      <x:c r="T475" s="330" t="n">
        <x:v>1.11</x:v>
      </x:c>
      <x:c r="U475" s="330" t="n">
        <x:v>0.82</x:v>
      </x:c>
      <x:c r="V475" s="331" t="str">
        <x:v>load × reps</x:v>
      </x:c>
      <x:c r="W475" s="332" t="str">
        <x:f>'Readiness'!K58</x:f>
      </x:c>
      <x:c r="X475" s="314" t="n">
        <x:f>'Readiness'!L58</x:f>
        <x:v>1</x:v>
      </x:c>
      <x:c r="Y475" s="315" t="n">
        <x:f>IF(J475="Mobility",N475,MAX(1,ROUND(N475*X475,0)))</x:f>
        <x:v>4</x:v>
      </x:c>
      <x:c r="Z475" s="333" t="n">
        <x:f>ROUND((IF(AU395&gt;0,AU395,IF(Z395&gt;0,Z395,'Setup'!$D$35))*T475)/'Setup'!$B$9,0)*'Setup'!$B$9</x:f>
        <x:v>0</x:v>
      </x:c>
      <x:c r="AA475" s="334"/>
      <x:c r="AB475" s="334"/>
      <x:c r="AC475" s="334"/>
      <x:c r="AD475" s="334"/>
      <x:c r="AE475" s="334"/>
      <x:c r="AF475" s="334"/>
      <x:c r="AG475" s="334"/>
      <x:c r="AH475" s="334"/>
      <x:c r="AI475" s="334"/>
      <x:c r="AJ475" s="312"/>
      <x:c r="AK475" s="312"/>
      <x:c r="AL475" s="312"/>
      <x:c r="AM475" s="312"/>
      <x:c r="AN475" s="312"/>
      <x:c r="AO475" s="315" t="n">
        <x:f>COUNT(AB475,AD475,AF475,AH475,AJ475)</x:f>
        <x:v>0</x:v>
      </x:c>
      <x:c r="AP475" s="315" t="n">
        <x:f>SUM(AB475,AD475,AF475,AH475,AJ475)</x:f>
        <x:v>0</x:v>
      </x:c>
      <x:c r="AQ475" s="333" t="n">
        <x:f>AA475*AB475+AC475*AD475+AE475*AF475+AG475*AH475+AI475*AJ475</x:f>
        <x:v>0</x:v>
      </x:c>
      <x:c r="AR475" s="333" t="n">
        <x:f>IF(OR(J475="Strength",J475="Hypertrophy"),MAX(IF(AB475&gt;0,AA475*(1+AB475/30),0),IF(AD475&gt;0,AC475*(1+AD475/30),0),IF(AF475&gt;0,AE475*(1+AF475/30),0),IF(AH475&gt;0,AG475*(1+AH475/30),0),IF(AJ475&gt;0,AI475*(1+AJ475/30),0)),0)</x:f>
        <x:v>0</x:v>
      </x:c>
      <x:c r="AS475" s="315" t="str">
        <x:f>IF(AN475&lt;&gt;"Yes","Not logged",IF(AL475&gt;='Setup'!$B$14,"STOP / MODIFY",IF(Z475=0,"Complete",IF(OR(AO475=0,AK475=""),"Add set data + RIR",IF(AND(MAX(AB475,AD475,AF475,AH475,AJ475)&gt;=P475,AK475&gt;=Q475+1),"Progress",IF(OR(MAX(AB475,AD475,AF475,AH475,AJ475)&lt;O475,AK475&lt;Q475-1),"Regress","Hold"))))))</x:f>
        <x:v>Not logged</x:v>
      </x:c>
      <x:c r="AT475" s="335" t="n">
        <x:f>IF(OR(Z475=0,AN475&lt;&gt;"Yes",AO475=0,AK475=""),0,IF(AL475&gt;='Setup'!$B$14,-2*'Setup'!$B$11,IF(AND(MAX(AB475,AD475,AF475,AH475,AJ475)&gt;=P475,AK475&gt;=Q475+1),'Setup'!$B$10,IF(OR(MAX(AB475,AD475,AF475,AH475,AJ475)&lt;O475,AK475&lt;Q475-1),-'Setup'!$B$11,0))))</x:f>
        <x:v>0</x:v>
      </x:c>
      <x:c r="AU475" s="333" t="n">
        <x:f>IF(Z475=0,0,IF(AN475&lt;&gt;"Yes",Z475,IF(COUNT(AA475,AC475,AE475,AG475,AI475)=0,Z475,ROUND((MAX(AA475,AC475,AE475,AG475,AI475)*(1+AT475))/'Setup'!$B$9,0)*'Setup'!$B$9)))</x:f>
        <x:v>0</x:v>
      </x:c>
      <x:c r="AV475" s="336"/>
    </x:row>
    <x:row r="476">
      <x:c r="A476" s="310" t="n">
        <x:f>'Setup'!$B$3+(C476-1)*7+(D476-1)</x:f>
        <x:v>46303</x:v>
      </x:c>
      <x:c r="B476" s="311" t="str">
        <x:v>9|4|3</x:v>
      </x:c>
      <x:c r="C476" s="311" t="n">
        <x:v>9</x:v>
      </x:c>
      <x:c r="D476" s="311" t="n">
        <x:v>4</x:v>
      </x:c>
      <x:c r="E476" s="311" t="str">
        <x:v>Realization</x:v>
      </x:c>
      <x:c r="F476" s="311" t="str">
        <x:v>Posterior Strength</x:v>
      </x:c>
      <x:c r="G476" s="311" t="str">
        <x:v>Deadlift strength + posterior chain</x:v>
      </x:c>
      <x:c r="H476" s="311" t="n">
        <x:v>3</x:v>
      </x:c>
      <x:c r="I476" s="311" t="str">
        <x:v>Front Squat</x:v>
      </x:c>
      <x:c r="J476" s="311" t="str">
        <x:v>Strength</x:v>
      </x:c>
      <x:c r="K476" s="311" t="str">
        <x:v>Quads</x:v>
      </x:c>
      <x:c r="L476" s="311" t="str">
        <x:v>Straight sets</x:v>
      </x:c>
      <x:c r="M476" s="311" t="str"/>
      <x:c r="N476" s="311" t="n">
        <x:v>3</x:v>
      </x:c>
      <x:c r="O476" s="311" t="n">
        <x:v>5</x:v>
      </x:c>
      <x:c r="P476" s="311" t="n">
        <x:v>7</x:v>
      </x:c>
      <x:c r="Q476" s="311" t="n">
        <x:v>3</x:v>
      </x:c>
      <x:c r="R476" s="311" t="n">
        <x:v>150</x:v>
      </x:c>
      <x:c r="S476" s="311" t="str">
        <x:v>3-1-X</x:v>
      </x:c>
      <x:c r="T476" s="330" t="n">
        <x:v>1.11</x:v>
      </x:c>
      <x:c r="U476" s="330" t="n">
        <x:v>0.7</x:v>
      </x:c>
      <x:c r="V476" s="331" t="str">
        <x:v>load × reps</x:v>
      </x:c>
      <x:c r="W476" s="332" t="str">
        <x:f>'Readiness'!K58</x:f>
      </x:c>
      <x:c r="X476" s="314" t="n">
        <x:f>'Readiness'!L58</x:f>
        <x:v>1</x:v>
      </x:c>
      <x:c r="Y476" s="315" t="n">
        <x:f>IF(J476="Mobility",N476,MAX(1,ROUND(N476*X476,0)))</x:f>
        <x:v>3</x:v>
      </x:c>
      <x:c r="Z476" s="333" t="n">
        <x:f>ROUND((IF(AU208&gt;0,AU208,IF(Z208&gt;0,Z208,'Setup'!$D$43))*T476)/'Setup'!$B$9,0)*'Setup'!$B$9</x:f>
        <x:v>0</x:v>
      </x:c>
      <x:c r="AA476" s="334"/>
      <x:c r="AB476" s="334"/>
      <x:c r="AC476" s="334"/>
      <x:c r="AD476" s="334"/>
      <x:c r="AE476" s="334"/>
      <x:c r="AF476" s="334"/>
      <x:c r="AG476" s="334"/>
      <x:c r="AH476" s="334"/>
      <x:c r="AI476" s="334"/>
      <x:c r="AJ476" s="312"/>
      <x:c r="AK476" s="312"/>
      <x:c r="AL476" s="312"/>
      <x:c r="AM476" s="312"/>
      <x:c r="AN476" s="312"/>
      <x:c r="AO476" s="315" t="n">
        <x:f>COUNT(AB476,AD476,AF476,AH476,AJ476)</x:f>
        <x:v>0</x:v>
      </x:c>
      <x:c r="AP476" s="315" t="n">
        <x:f>SUM(AB476,AD476,AF476,AH476,AJ476)</x:f>
        <x:v>0</x:v>
      </x:c>
      <x:c r="AQ476" s="333" t="n">
        <x:f>AA476*AB476+AC476*AD476+AE476*AF476+AG476*AH476+AI476*AJ476</x:f>
        <x:v>0</x:v>
      </x:c>
      <x:c r="AR476" s="333" t="n">
        <x:f>IF(OR(J476="Strength",J476="Hypertrophy"),MAX(IF(AB476&gt;0,AA476*(1+AB476/30),0),IF(AD476&gt;0,AC476*(1+AD476/30),0),IF(AF476&gt;0,AE476*(1+AF476/30),0),IF(AH476&gt;0,AG476*(1+AH476/30),0),IF(AJ476&gt;0,AI476*(1+AJ476/30),0)),0)</x:f>
        <x:v>0</x:v>
      </x:c>
      <x:c r="AS476" s="315" t="str">
        <x:f>IF(AN476&lt;&gt;"Yes","Not logged",IF(AL476&gt;='Setup'!$B$14,"STOP / MODIFY",IF(Z476=0,"Complete",IF(OR(AO476=0,AK476=""),"Add set data + RIR",IF(AND(MAX(AB476,AD476,AF476,AH476,AJ476)&gt;=P476,AK476&gt;=Q476+1),"Progress",IF(OR(MAX(AB476,AD476,AF476,AH476,AJ476)&lt;O476,AK476&lt;Q476-1),"Regress","Hold"))))))</x:f>
        <x:v>Not logged</x:v>
      </x:c>
      <x:c r="AT476" s="335" t="n">
        <x:f>IF(OR(Z476=0,AN476&lt;&gt;"Yes",AO476=0,AK476=""),0,IF(AL476&gt;='Setup'!$B$14,-2*'Setup'!$B$11,IF(AND(MAX(AB476,AD476,AF476,AH476,AJ476)&gt;=P476,AK476&gt;=Q476+1),'Setup'!$B$10,IF(OR(MAX(AB476,AD476,AF476,AH476,AJ476)&lt;O476,AK476&lt;Q476-1),-'Setup'!$B$11,0))))</x:f>
        <x:v>0</x:v>
      </x:c>
      <x:c r="AU476" s="333" t="n">
        <x:f>IF(Z476=0,0,IF(AN476&lt;&gt;"Yes",Z476,IF(COUNT(AA476,AC476,AE476,AG476,AI476)=0,Z476,ROUND((MAX(AA476,AC476,AE476,AG476,AI476)*(1+AT476))/'Setup'!$B$9,0)*'Setup'!$B$9)))</x:f>
        <x:v>0</x:v>
      </x:c>
      <x:c r="AV476" s="336"/>
    </x:row>
    <x:row r="477">
      <x:c r="A477" s="310" t="n">
        <x:f>'Setup'!$B$3+(C477-1)*7+(D477-1)</x:f>
        <x:v>46303</x:v>
      </x:c>
      <x:c r="B477" s="311" t="str">
        <x:v>9|4|4</x:v>
      </x:c>
      <x:c r="C477" s="311" t="n">
        <x:v>9</x:v>
      </x:c>
      <x:c r="D477" s="311" t="n">
        <x:v>4</x:v>
      </x:c>
      <x:c r="E477" s="311" t="str">
        <x:v>Realization</x:v>
      </x:c>
      <x:c r="F477" s="311" t="str">
        <x:v>Posterior Strength</x:v>
      </x:c>
      <x:c r="G477" s="311" t="str">
        <x:v>Deadlift strength + posterior chain</x:v>
      </x:c>
      <x:c r="H477" s="311" t="n">
        <x:v>4</x:v>
      </x:c>
      <x:c r="I477" s="311" t="str">
        <x:v>Barbell Hip Thrust</x:v>
      </x:c>
      <x:c r="J477" s="311" t="str">
        <x:v>Strength</x:v>
      </x:c>
      <x:c r="K477" s="311" t="str">
        <x:v>Glutes</x:v>
      </x:c>
      <x:c r="L477" s="311" t="str">
        <x:v>Straight sets</x:v>
      </x:c>
      <x:c r="M477" s="311" t="str"/>
      <x:c r="N477" s="311" t="n">
        <x:v>3</x:v>
      </x:c>
      <x:c r="O477" s="311" t="n">
        <x:v>6</x:v>
      </x:c>
      <x:c r="P477" s="311" t="n">
        <x:v>8</x:v>
      </x:c>
      <x:c r="Q477" s="311" t="n">
        <x:v>3</x:v>
      </x:c>
      <x:c r="R477" s="311" t="n">
        <x:v>120</x:v>
      </x:c>
      <x:c r="S477" s="311" t="str">
        <x:v>2-1-1</x:v>
      </x:c>
      <x:c r="T477" s="330" t="n">
        <x:v>1.11</x:v>
      </x:c>
      <x:c r="U477" s="330" t="n">
        <x:v>0</x:v>
      </x:c>
      <x:c r="V477" s="331" t="str">
        <x:v>load × reps</x:v>
      </x:c>
      <x:c r="W477" s="332" t="str">
        <x:f>'Readiness'!K58</x:f>
      </x:c>
      <x:c r="X477" s="314" t="n">
        <x:f>'Readiness'!L58</x:f>
        <x:v>1</x:v>
      </x:c>
      <x:c r="Y477" s="315" t="n">
        <x:f>IF(J477="Mobility",N477,MAX(1,ROUND(N477*X477,0)))</x:f>
        <x:v>3</x:v>
      </x:c>
      <x:c r="Z477" s="333" t="n">
        <x:f>ROUND((IF(AU209&gt;0,AU209,IF(Z209&gt;0,Z209,'Setup'!$D$25))*T477)/'Setup'!$B$9,0)*'Setup'!$B$9</x:f>
        <x:v>0</x:v>
      </x:c>
      <x:c r="AA477" s="334"/>
      <x:c r="AB477" s="334"/>
      <x:c r="AC477" s="334"/>
      <x:c r="AD477" s="334"/>
      <x:c r="AE477" s="334"/>
      <x:c r="AF477" s="334"/>
      <x:c r="AG477" s="334"/>
      <x:c r="AH477" s="334"/>
      <x:c r="AI477" s="334"/>
      <x:c r="AJ477" s="312"/>
      <x:c r="AK477" s="312"/>
      <x:c r="AL477" s="312"/>
      <x:c r="AM477" s="312"/>
      <x:c r="AN477" s="312"/>
      <x:c r="AO477" s="315" t="n">
        <x:f>COUNT(AB477,AD477,AF477,AH477,AJ477)</x:f>
        <x:v>0</x:v>
      </x:c>
      <x:c r="AP477" s="315" t="n">
        <x:f>SUM(AB477,AD477,AF477,AH477,AJ477)</x:f>
        <x:v>0</x:v>
      </x:c>
      <x:c r="AQ477" s="333" t="n">
        <x:f>AA477*AB477+AC477*AD477+AE477*AF477+AG477*AH477+AI477*AJ477</x:f>
        <x:v>0</x:v>
      </x:c>
      <x:c r="AR477" s="333" t="n">
        <x:f>IF(OR(J477="Strength",J477="Hypertrophy"),MAX(IF(AB477&gt;0,AA477*(1+AB477/30),0),IF(AD477&gt;0,AC477*(1+AD477/30),0),IF(AF477&gt;0,AE477*(1+AF477/30),0),IF(AH477&gt;0,AG477*(1+AH477/30),0),IF(AJ477&gt;0,AI477*(1+AJ477/30),0)),0)</x:f>
        <x:v>0</x:v>
      </x:c>
      <x:c r="AS477" s="315" t="str">
        <x:f>IF(AN477&lt;&gt;"Yes","Not logged",IF(AL477&gt;='Setup'!$B$14,"STOP / MODIFY",IF(Z477=0,"Complete",IF(OR(AO477=0,AK477=""),"Add set data + RIR",IF(AND(MAX(AB477,AD477,AF477,AH477,AJ477)&gt;=P477,AK477&gt;=Q477+1),"Progress",IF(OR(MAX(AB477,AD477,AF477,AH477,AJ477)&lt;O477,AK477&lt;Q477-1),"Regress","Hold"))))))</x:f>
        <x:v>Not logged</x:v>
      </x:c>
      <x:c r="AT477" s="335" t="n">
        <x:f>IF(OR(Z477=0,AN477&lt;&gt;"Yes",AO477=0,AK477=""),0,IF(AL477&gt;='Setup'!$B$14,-2*'Setup'!$B$11,IF(AND(MAX(AB477,AD477,AF477,AH477,AJ477)&gt;=P477,AK477&gt;=Q477+1),'Setup'!$B$10,IF(OR(MAX(AB477,AD477,AF477,AH477,AJ477)&lt;O477,AK477&lt;Q477-1),-'Setup'!$B$11,0))))</x:f>
        <x:v>0</x:v>
      </x:c>
      <x:c r="AU477" s="333" t="n">
        <x:f>IF(Z477=0,0,IF(AN477&lt;&gt;"Yes",Z477,IF(COUNT(AA477,AC477,AE477,AG477,AI477)=0,Z477,ROUND((MAX(AA477,AC477,AE477,AG477,AI477)*(1+AT477))/'Setup'!$B$9,0)*'Setup'!$B$9)))</x:f>
        <x:v>0</x:v>
      </x:c>
      <x:c r="AV477" s="336"/>
    </x:row>
    <x:row r="478">
      <x:c r="A478" s="310" t="n">
        <x:f>'Setup'!$B$3+(C478-1)*7+(D478-1)</x:f>
        <x:v>46303</x:v>
      </x:c>
      <x:c r="B478" s="311" t="str">
        <x:v>9|4|5</x:v>
      </x:c>
      <x:c r="C478" s="311" t="n">
        <x:v>9</x:v>
      </x:c>
      <x:c r="D478" s="311" t="n">
        <x:v>4</x:v>
      </x:c>
      <x:c r="E478" s="311" t="str">
        <x:v>Realization</x:v>
      </x:c>
      <x:c r="F478" s="311" t="str">
        <x:v>Posterior Strength</x:v>
      </x:c>
      <x:c r="G478" s="311" t="str">
        <x:v>Deadlift strength + posterior chain</x:v>
      </x:c>
      <x:c r="H478" s="311" t="n">
        <x:v>5</x:v>
      </x:c>
      <x:c r="I478" s="311" t="str">
        <x:v>Nordic Hamstring Curl</x:v>
      </x:c>
      <x:c r="J478" s="311" t="str">
        <x:v>Strength</x:v>
      </x:c>
      <x:c r="K478" s="311" t="str">
        <x:v>Hamstrings</x:v>
      </x:c>
      <x:c r="L478" s="311" t="str">
        <x:v>Controlled eccentric</x:v>
      </x:c>
      <x:c r="M478" s="311" t="str"/>
      <x:c r="N478" s="311" t="n">
        <x:v>3</x:v>
      </x:c>
      <x:c r="O478" s="311" t="n">
        <x:v>5</x:v>
      </x:c>
      <x:c r="P478" s="311" t="n">
        <x:v>8</x:v>
      </x:c>
      <x:c r="Q478" s="311" t="n">
        <x:v>3</x:v>
      </x:c>
      <x:c r="R478" s="311" t="n">
        <x:v>90</x:v>
      </x:c>
      <x:c r="S478" s="311" t="str">
        <x:v>5-0-X</x:v>
      </x:c>
      <x:c r="T478" s="330" t="n">
        <x:v>1.11</x:v>
      </x:c>
      <x:c r="U478" s="330" t="n">
        <x:v>0</x:v>
      </x:c>
      <x:c r="V478" s="331" t="str">
        <x:v>reps</x:v>
      </x:c>
      <x:c r="W478" s="332" t="str">
        <x:f>'Readiness'!K58</x:f>
      </x:c>
      <x:c r="X478" s="314" t="n">
        <x:f>'Readiness'!L58</x:f>
        <x:v>1</x:v>
      </x:c>
      <x:c r="Y478" s="315" t="n">
        <x:f>IF(J478="Mobility",N478,MAX(1,ROUND(N478*X478,0)))</x:f>
        <x:v>3</x:v>
      </x:c>
      <x:c r="Z478" s="333" t="n">
        <x:f>0</x:f>
        <x:v>0</x:v>
      </x:c>
      <x:c r="AA478" s="334"/>
      <x:c r="AB478" s="334"/>
      <x:c r="AC478" s="334"/>
      <x:c r="AD478" s="334"/>
      <x:c r="AE478" s="334"/>
      <x:c r="AF478" s="334"/>
      <x:c r="AG478" s="334"/>
      <x:c r="AH478" s="334"/>
      <x:c r="AI478" s="334"/>
      <x:c r="AJ478" s="312"/>
      <x:c r="AK478" s="312"/>
      <x:c r="AL478" s="312"/>
      <x:c r="AM478" s="312"/>
      <x:c r="AN478" s="312"/>
      <x:c r="AO478" s="315" t="n">
        <x:f>COUNT(AB478,AD478,AF478,AH478,AJ478)</x:f>
        <x:v>0</x:v>
      </x:c>
      <x:c r="AP478" s="315" t="n">
        <x:f>SUM(AB478,AD478,AF478,AH478,AJ478)</x:f>
        <x:v>0</x:v>
      </x:c>
      <x:c r="AQ478" s="333" t="n">
        <x:f>AA478*AB478+AC478*AD478+AE478*AF478+AG478*AH478+AI478*AJ478</x:f>
        <x:v>0</x:v>
      </x:c>
      <x:c r="AR478" s="333" t="n">
        <x:f>IF(OR(J478="Strength",J478="Hypertrophy"),MAX(IF(AB478&gt;0,AA478*(1+AB478/30),0),IF(AD478&gt;0,AC478*(1+AD478/30),0),IF(AF478&gt;0,AE478*(1+AF478/30),0),IF(AH478&gt;0,AG478*(1+AH478/30),0),IF(AJ478&gt;0,AI478*(1+AJ478/30),0)),0)</x:f>
        <x:v>0</x:v>
      </x:c>
      <x:c r="AS478" s="315" t="str">
        <x:f>IF(AN478&lt;&gt;"Yes","Not logged",IF(AL478&gt;='Setup'!$B$14,"STOP / MODIFY",IF(Z478=0,"Complete",IF(OR(AO478=0,AK478=""),"Add set data + RIR",IF(AND(MAX(AB478,AD478,AF478,AH478,AJ478)&gt;=P478,AK478&gt;=Q478+1),"Progress",IF(OR(MAX(AB478,AD478,AF478,AH478,AJ478)&lt;O478,AK478&lt;Q478-1),"Regress","Hold"))))))</x:f>
        <x:v>Not logged</x:v>
      </x:c>
      <x:c r="AT478" s="335" t="n">
        <x:f>IF(OR(Z478=0,AN478&lt;&gt;"Yes",AO478=0,AK478=""),0,IF(AL478&gt;='Setup'!$B$14,-2*'Setup'!$B$11,IF(AND(MAX(AB478,AD478,AF478,AH478,AJ478)&gt;=P478,AK478&gt;=Q478+1),'Setup'!$B$10,IF(OR(MAX(AB478,AD478,AF478,AH478,AJ478)&lt;O478,AK478&lt;Q478-1),-'Setup'!$B$11,0))))</x:f>
        <x:v>0</x:v>
      </x:c>
      <x:c r="AU478" s="333" t="n">
        <x:f>IF(Z478=0,0,IF(AN478&lt;&gt;"Yes",Z478,IF(COUNT(AA478,AC478,AE478,AG478,AI478)=0,Z478,ROUND((MAX(AA478,AC478,AE478,AG478,AI478)*(1+AT478))/'Setup'!$B$9,0)*'Setup'!$B$9)))</x:f>
        <x:v>0</x:v>
      </x:c>
      <x:c r="AV478" s="336"/>
    </x:row>
    <x:row r="479">
      <x:c r="A479" s="310" t="n">
        <x:f>'Setup'!$B$3+(C479-1)*7+(D479-1)</x:f>
        <x:v>46303</x:v>
      </x:c>
      <x:c r="B479" s="311" t="str">
        <x:v>9|4|6</x:v>
      </x:c>
      <x:c r="C479" s="311" t="n">
        <x:v>9</x:v>
      </x:c>
      <x:c r="D479" s="311" t="n">
        <x:v>4</x:v>
      </x:c>
      <x:c r="E479" s="311" t="str">
        <x:v>Realization</x:v>
      </x:c>
      <x:c r="F479" s="311" t="str">
        <x:v>Posterior Strength</x:v>
      </x:c>
      <x:c r="G479" s="311" t="str">
        <x:v>Deadlift strength + posterior chain</x:v>
      </x:c>
      <x:c r="H479" s="311" t="n">
        <x:v>6</x:v>
      </x:c>
      <x:c r="I479" s="311" t="str">
        <x:v>45-Degree Back Extension</x:v>
      </x:c>
      <x:c r="J479" s="311" t="str">
        <x:v>Hypertrophy</x:v>
      </x:c>
      <x:c r="K479" s="311" t="str">
        <x:v>Hamstrings</x:v>
      </x:c>
      <x:c r="L479" s="311" t="str">
        <x:v>Straight sets</x:v>
      </x:c>
      <x:c r="M479" s="311" t="str"/>
      <x:c r="N479" s="311" t="n">
        <x:v>3</x:v>
      </x:c>
      <x:c r="O479" s="311" t="n">
        <x:v>10</x:v>
      </x:c>
      <x:c r="P479" s="311" t="n">
        <x:v>15</x:v>
      </x:c>
      <x:c r="Q479" s="311" t="n">
        <x:v>3</x:v>
      </x:c>
      <x:c r="R479" s="311" t="n">
        <x:v>60</x:v>
      </x:c>
      <x:c r="S479" s="311" t="str">
        <x:v>3-1-1</x:v>
      </x:c>
      <x:c r="T479" s="330" t="n">
        <x:v>1.11</x:v>
      </x:c>
      <x:c r="U479" s="330" t="n">
        <x:v>0</x:v>
      </x:c>
      <x:c r="V479" s="331" t="str">
        <x:v>load × reps</x:v>
      </x:c>
      <x:c r="W479" s="332" t="str">
        <x:f>'Readiness'!K58</x:f>
      </x:c>
      <x:c r="X479" s="314" t="n">
        <x:f>'Readiness'!L58</x:f>
        <x:v>1</x:v>
      </x:c>
      <x:c r="Y479" s="315" t="n">
        <x:f>IF(J479="Mobility",N479,MAX(1,ROUND(N479*X479,0)))</x:f>
        <x:v>3</x:v>
      </x:c>
      <x:c r="Z479" s="333" t="n">
        <x:f>IF('Setup'!$D$18&gt;0,'Setup'!$D$18,0)</x:f>
        <x:v>0</x:v>
      </x:c>
      <x:c r="AA479" s="334"/>
      <x:c r="AB479" s="334"/>
      <x:c r="AC479" s="334"/>
      <x:c r="AD479" s="334"/>
      <x:c r="AE479" s="334"/>
      <x:c r="AF479" s="334"/>
      <x:c r="AG479" s="334"/>
      <x:c r="AH479" s="334"/>
      <x:c r="AI479" s="334"/>
      <x:c r="AJ479" s="312"/>
      <x:c r="AK479" s="312"/>
      <x:c r="AL479" s="312"/>
      <x:c r="AM479" s="312"/>
      <x:c r="AN479" s="312"/>
      <x:c r="AO479" s="315" t="n">
        <x:f>COUNT(AB479,AD479,AF479,AH479,AJ479)</x:f>
        <x:v>0</x:v>
      </x:c>
      <x:c r="AP479" s="315" t="n">
        <x:f>SUM(AB479,AD479,AF479,AH479,AJ479)</x:f>
        <x:v>0</x:v>
      </x:c>
      <x:c r="AQ479" s="333" t="n">
        <x:f>AA479*AB479+AC479*AD479+AE479*AF479+AG479*AH479+AI479*AJ479</x:f>
        <x:v>0</x:v>
      </x:c>
      <x:c r="AR479" s="333" t="n">
        <x:f>IF(OR(J479="Strength",J479="Hypertrophy"),MAX(IF(AB479&gt;0,AA479*(1+AB479/30),0),IF(AD479&gt;0,AC479*(1+AD479/30),0),IF(AF479&gt;0,AE479*(1+AF479/30),0),IF(AH479&gt;0,AG479*(1+AH479/30),0),IF(AJ479&gt;0,AI479*(1+AJ479/30),0)),0)</x:f>
        <x:v>0</x:v>
      </x:c>
      <x:c r="AS479" s="315" t="str">
        <x:f>IF(AN479&lt;&gt;"Yes","Not logged",IF(AL479&gt;='Setup'!$B$14,"STOP / MODIFY",IF(Z479=0,"Complete",IF(OR(AO479=0,AK479=""),"Add set data + RIR",IF(AND(MAX(AB479,AD479,AF479,AH479,AJ479)&gt;=P479,AK479&gt;=Q479+1),"Progress",IF(OR(MAX(AB479,AD479,AF479,AH479,AJ479)&lt;O479,AK479&lt;Q479-1),"Regress","Hold"))))))</x:f>
        <x:v>Not logged</x:v>
      </x:c>
      <x:c r="AT479" s="335" t="n">
        <x:f>IF(OR(Z479=0,AN479&lt;&gt;"Yes",AO479=0,AK479=""),0,IF(AL479&gt;='Setup'!$B$14,-2*'Setup'!$B$11,IF(AND(MAX(AB479,AD479,AF479,AH479,AJ479)&gt;=P479,AK479&gt;=Q479+1),'Setup'!$B$10,IF(OR(MAX(AB479,AD479,AF479,AH479,AJ479)&lt;O479,AK479&lt;Q479-1),-'Setup'!$B$11,0))))</x:f>
        <x:v>0</x:v>
      </x:c>
      <x:c r="AU479" s="333" t="n">
        <x:f>IF(Z479=0,0,IF(AN479&lt;&gt;"Yes",Z479,IF(COUNT(AA479,AC479,AE479,AG479,AI479)=0,Z479,ROUND((MAX(AA479,AC479,AE479,AG479,AI479)*(1+AT479))/'Setup'!$B$9,0)*'Setup'!$B$9)))</x:f>
        <x:v>0</x:v>
      </x:c>
      <x:c r="AV479" s="336"/>
    </x:row>
    <x:row r="480">
      <x:c r="A480" s="310" t="n">
        <x:f>'Setup'!$B$3+(C480-1)*7+(D480-1)</x:f>
        <x:v>46303</x:v>
      </x:c>
      <x:c r="B480" s="311" t="str">
        <x:v>9|4|7</x:v>
      </x:c>
      <x:c r="C480" s="311" t="n">
        <x:v>9</x:v>
      </x:c>
      <x:c r="D480" s="311" t="n">
        <x:v>4</x:v>
      </x:c>
      <x:c r="E480" s="311" t="str">
        <x:v>Realization</x:v>
      </x:c>
      <x:c r="F480" s="311" t="str">
        <x:v>Posterior Strength</x:v>
      </x:c>
      <x:c r="G480" s="311" t="str">
        <x:v>Deadlift strength + posterior chain</x:v>
      </x:c>
      <x:c r="H480" s="311" t="n">
        <x:v>7</x:v>
      </x:c>
      <x:c r="I480" s="311" t="str">
        <x:v>Farmer Carry</x:v>
      </x:c>
      <x:c r="J480" s="311" t="str">
        <x:v>Athletic</x:v>
      </x:c>
      <x:c r="K480" s="311" t="str">
        <x:v>Full Body</x:v>
      </x:c>
      <x:c r="L480" s="311" t="str">
        <x:v>Tall posture, fast feet</x:v>
      </x:c>
      <x:c r="M480" s="311" t="str"/>
      <x:c r="N480" s="311" t="n">
        <x:v>4</x:v>
      </x:c>
      <x:c r="O480" s="311" t="n">
        <x:v>30</x:v>
      </x:c>
      <x:c r="P480" s="311" t="n">
        <x:v>40</x:v>
      </x:c>
      <x:c r="Q480" s="311" t="n">
        <x:v>3</x:v>
      </x:c>
      <x:c r="R480" s="311" t="n">
        <x:v>75</x:v>
      </x:c>
      <x:c r="S480" s="311" t="str">
        <x:v>Controlled</x:v>
      </x:c>
      <x:c r="T480" s="330" t="n">
        <x:v>1.11</x:v>
      </x:c>
      <x:c r="U480" s="330" t="n">
        <x:v>0</x:v>
      </x:c>
      <x:c r="V480" s="331" t="str">
        <x:v>load + meters</x:v>
      </x:c>
      <x:c r="W480" s="332" t="str">
        <x:f>'Readiness'!K58</x:f>
      </x:c>
      <x:c r="X480" s="314" t="n">
        <x:f>'Readiness'!L58</x:f>
        <x:v>1</x:v>
      </x:c>
      <x:c r="Y480" s="315" t="n">
        <x:f>IF(J480="Mobility",N480,MAX(1,ROUND(N480*X480,0)))</x:f>
        <x:v>4</x:v>
      </x:c>
      <x:c r="Z480" s="333" t="n">
        <x:f>0</x:f>
        <x:v>0</x:v>
      </x:c>
      <x:c r="AA480" s="334"/>
      <x:c r="AB480" s="334"/>
      <x:c r="AC480" s="334"/>
      <x:c r="AD480" s="334"/>
      <x:c r="AE480" s="334"/>
      <x:c r="AF480" s="334"/>
      <x:c r="AG480" s="334"/>
      <x:c r="AH480" s="334"/>
      <x:c r="AI480" s="334"/>
      <x:c r="AJ480" s="312"/>
      <x:c r="AK480" s="312"/>
      <x:c r="AL480" s="312"/>
      <x:c r="AM480" s="312"/>
      <x:c r="AN480" s="312"/>
      <x:c r="AO480" s="315" t="n">
        <x:f>COUNT(AB480,AD480,AF480,AH480,AJ480)</x:f>
        <x:v>0</x:v>
      </x:c>
      <x:c r="AP480" s="315" t="n">
        <x:f>SUM(AB480,AD480,AF480,AH480,AJ480)</x:f>
        <x:v>0</x:v>
      </x:c>
      <x:c r="AQ480" s="333" t="n">
        <x:f>AA480*AB480+AC480*AD480+AE480*AF480+AG480*AH480+AI480*AJ480</x:f>
        <x:v>0</x:v>
      </x:c>
      <x:c r="AR480" s="333" t="n">
        <x:f>IF(OR(J480="Strength",J480="Hypertrophy"),MAX(IF(AB480&gt;0,AA480*(1+AB480/30),0),IF(AD480&gt;0,AC480*(1+AD480/30),0),IF(AF480&gt;0,AE480*(1+AF480/30),0),IF(AH480&gt;0,AG480*(1+AH480/30),0),IF(AJ480&gt;0,AI480*(1+AJ480/30),0)),0)</x:f>
        <x:v>0</x:v>
      </x:c>
      <x:c r="AS480" s="315" t="str">
        <x:f>IF(AN480&lt;&gt;"Yes","Not logged",IF(AL480&gt;='Setup'!$B$14,"STOP / MODIFY",IF(Z480=0,"Complete",IF(OR(AO480=0,AK480=""),"Add set data + RIR",IF(AND(MAX(AB480,AD480,AF480,AH480,AJ480)&gt;=P480,AK480&gt;=Q480+1),"Progress",IF(OR(MAX(AB480,AD480,AF480,AH480,AJ480)&lt;O480,AK480&lt;Q480-1),"Regress","Hold"))))))</x:f>
        <x:v>Not logged</x:v>
      </x:c>
      <x:c r="AT480" s="335" t="n">
        <x:f>IF(OR(Z480=0,AN480&lt;&gt;"Yes",AO480=0,AK480=""),0,IF(AL480&gt;='Setup'!$B$14,-2*'Setup'!$B$11,IF(AND(MAX(AB480,AD480,AF480,AH480,AJ480)&gt;=P480,AK480&gt;=Q480+1),'Setup'!$B$10,IF(OR(MAX(AB480,AD480,AF480,AH480,AJ480)&lt;O480,AK480&lt;Q480-1),-'Setup'!$B$11,0))))</x:f>
        <x:v>0</x:v>
      </x:c>
      <x:c r="AU480" s="333" t="n">
        <x:f>IF(Z480=0,0,IF(AN480&lt;&gt;"Yes",Z480,IF(COUNT(AA480,AC480,AE480,AG480,AI480)=0,Z480,ROUND((MAX(AA480,AC480,AE480,AG480,AI480)*(1+AT480))/'Setup'!$B$9,0)*'Setup'!$B$9)))</x:f>
        <x:v>0</x:v>
      </x:c>
      <x:c r="AV480" s="336"/>
    </x:row>
    <x:row r="481">
      <x:c r="A481" s="310" t="n">
        <x:f>'Setup'!$B$3+(C481-1)*7+(D481-1)</x:f>
        <x:v>46303</x:v>
      </x:c>
      <x:c r="B481" s="311" t="str">
        <x:v>9|4|8</x:v>
      </x:c>
      <x:c r="C481" s="311" t="n">
        <x:v>9</x:v>
      </x:c>
      <x:c r="D481" s="311" t="n">
        <x:v>4</x:v>
      </x:c>
      <x:c r="E481" s="311" t="str">
        <x:v>Realization</x:v>
      </x:c>
      <x:c r="F481" s="311" t="str">
        <x:v>Posterior Strength</x:v>
      </x:c>
      <x:c r="G481" s="311" t="str">
        <x:v>Deadlift strength + posterior chain</x:v>
      </x:c>
      <x:c r="H481" s="311" t="n">
        <x:v>8</x:v>
      </x:c>
      <x:c r="I481" s="311" t="str">
        <x:v>Copenhagen Plank</x:v>
      </x:c>
      <x:c r="J481" s="311" t="str">
        <x:v>Mobility</x:v>
      </x:c>
      <x:c r="K481" s="311" t="str">
        <x:v>Core</x:v>
      </x:c>
      <x:c r="L481" s="311" t="str">
        <x:v>Isometric control</x:v>
      </x:c>
      <x:c r="M481" s="311" t="str"/>
      <x:c r="N481" s="311" t="n">
        <x:v>2</x:v>
      </x:c>
      <x:c r="O481" s="311" t="n">
        <x:v>20</x:v>
      </x:c>
      <x:c r="P481" s="311" t="n">
        <x:v>30</x:v>
      </x:c>
      <x:c r="Q481" s="311" t="str"/>
      <x:c r="R481" s="311" t="n">
        <x:v>30</x:v>
      </x:c>
      <x:c r="S481" s="311" t="str">
        <x:v>Hold</x:v>
      </x:c>
      <x:c r="T481" s="330" t="n">
        <x:v>1.11</x:v>
      </x:c>
      <x:c r="U481" s="330" t="n">
        <x:v>0</x:v>
      </x:c>
      <x:c r="V481" s="331" t="str">
        <x:v>seconds</x:v>
      </x:c>
      <x:c r="W481" s="332" t="str">
        <x:f>'Readiness'!K58</x:f>
      </x:c>
      <x:c r="X481" s="314" t="n">
        <x:f>'Readiness'!L58</x:f>
        <x:v>1</x:v>
      </x:c>
      <x:c r="Y481" s="315" t="n">
        <x:f>IF(J481="Mobility",N481,MAX(1,ROUND(N481*X481,0)))</x:f>
        <x:v>2</x:v>
      </x:c>
      <x:c r="Z481" s="333" t="n">
        <x:f>0</x:f>
        <x:v>0</x:v>
      </x:c>
      <x:c r="AA481" s="334"/>
      <x:c r="AB481" s="334"/>
      <x:c r="AC481" s="334"/>
      <x:c r="AD481" s="334"/>
      <x:c r="AE481" s="334"/>
      <x:c r="AF481" s="334"/>
      <x:c r="AG481" s="334"/>
      <x:c r="AH481" s="334"/>
      <x:c r="AI481" s="334"/>
      <x:c r="AJ481" s="312"/>
      <x:c r="AK481" s="312"/>
      <x:c r="AL481" s="312"/>
      <x:c r="AM481" s="312"/>
      <x:c r="AN481" s="312"/>
      <x:c r="AO481" s="315" t="n">
        <x:f>COUNT(AB481,AD481,AF481,AH481,AJ481)</x:f>
        <x:v>0</x:v>
      </x:c>
      <x:c r="AP481" s="315" t="n">
        <x:f>SUM(AB481,AD481,AF481,AH481,AJ481)</x:f>
        <x:v>0</x:v>
      </x:c>
      <x:c r="AQ481" s="333" t="n">
        <x:f>AA481*AB481+AC481*AD481+AE481*AF481+AG481*AH481+AI481*AJ481</x:f>
        <x:v>0</x:v>
      </x:c>
      <x:c r="AR481" s="333" t="n">
        <x:f>IF(OR(J481="Strength",J481="Hypertrophy"),MAX(IF(AB481&gt;0,AA481*(1+AB481/30),0),IF(AD481&gt;0,AC481*(1+AD481/30),0),IF(AF481&gt;0,AE481*(1+AF481/30),0),IF(AH481&gt;0,AG481*(1+AH481/30),0),IF(AJ481&gt;0,AI481*(1+AJ481/30),0)),0)</x:f>
        <x:v>0</x:v>
      </x:c>
      <x:c r="AS481" s="315" t="str">
        <x:f>IF(AN481&lt;&gt;"Yes","Not logged",IF(AL481&gt;='Setup'!$B$14,"STOP / MODIFY",IF(Z481=0,"Complete",IF(OR(AO481=0,AK481=""),"Add set data + RIR",IF(AND(MAX(AB481,AD481,AF481,AH481,AJ481)&gt;=P481,AK481&gt;=Q481+1),"Progress",IF(OR(MAX(AB481,AD481,AF481,AH481,AJ481)&lt;O481,AK481&lt;Q481-1),"Regress","Hold"))))))</x:f>
        <x:v>Not logged</x:v>
      </x:c>
      <x:c r="AT481" s="335" t="n">
        <x:f>IF(OR(Z481=0,AN481&lt;&gt;"Yes",AO481=0,AK481=""),0,IF(AL481&gt;='Setup'!$B$14,-2*'Setup'!$B$11,IF(AND(MAX(AB481,AD481,AF481,AH481,AJ481)&gt;=P481,AK481&gt;=Q481+1),'Setup'!$B$10,IF(OR(MAX(AB481,AD481,AF481,AH481,AJ481)&lt;O481,AK481&lt;Q481-1),-'Setup'!$B$11,0))))</x:f>
        <x:v>0</x:v>
      </x:c>
      <x:c r="AU481" s="333" t="n">
        <x:f>IF(Z481=0,0,IF(AN481&lt;&gt;"Yes",Z481,IF(COUNT(AA481,AC481,AE481,AG481,AI481)=0,Z481,ROUND((MAX(AA481,AC481,AE481,AG481,AI481)*(1+AT481))/'Setup'!$B$9,0)*'Setup'!$B$9)))</x:f>
        <x:v>0</x:v>
      </x:c>
      <x:c r="AV481" s="336"/>
    </x:row>
    <x:row r="482">
      <x:c r="A482" s="310" t="n">
        <x:f>'Setup'!$B$3+(C482-1)*7+(D482-1)</x:f>
        <x:v>46303</x:v>
      </x:c>
      <x:c r="B482" s="311" t="str">
        <x:v>9|4|9</x:v>
      </x:c>
      <x:c r="C482" s="311" t="n">
        <x:v>9</x:v>
      </x:c>
      <x:c r="D482" s="311" t="n">
        <x:v>4</x:v>
      </x:c>
      <x:c r="E482" s="311" t="str">
        <x:v>Realization</x:v>
      </x:c>
      <x:c r="F482" s="311" t="str">
        <x:v>Posterior Strength</x:v>
      </x:c>
      <x:c r="G482" s="311" t="str">
        <x:v>Deadlift strength + posterior chain</x:v>
      </x:c>
      <x:c r="H482" s="311" t="n">
        <x:v>9</x:v>
      </x:c>
      <x:c r="I482" s="311" t="str">
        <x:v>Couch Stretch</x:v>
      </x:c>
      <x:c r="J482" s="311" t="str">
        <x:v>Mobility</x:v>
      </x:c>
      <x:c r="K482" s="311" t="str">
        <x:v>Hips</x:v>
      </x:c>
      <x:c r="L482" s="311" t="str">
        <x:v>Relaxed breathing</x:v>
      </x:c>
      <x:c r="M482" s="311" t="str"/>
      <x:c r="N482" s="311" t="n">
        <x:v>2</x:v>
      </x:c>
      <x:c r="O482" s="311" t="n">
        <x:v>30</x:v>
      </x:c>
      <x:c r="P482" s="311" t="n">
        <x:v>45</x:v>
      </x:c>
      <x:c r="Q482" s="311" t="str"/>
      <x:c r="R482" s="311" t="n">
        <x:v>20</x:v>
      </x:c>
      <x:c r="S482" s="311" t="str">
        <x:v>Hold</x:v>
      </x:c>
      <x:c r="T482" s="330" t="n">
        <x:v>1.11</x:v>
      </x:c>
      <x:c r="U482" s="330" t="n">
        <x:v>0</x:v>
      </x:c>
      <x:c r="V482" s="331" t="str">
        <x:v>seconds</x:v>
      </x:c>
      <x:c r="W482" s="332" t="str">
        <x:f>'Readiness'!K58</x:f>
      </x:c>
      <x:c r="X482" s="314" t="n">
        <x:f>'Readiness'!L58</x:f>
        <x:v>1</x:v>
      </x:c>
      <x:c r="Y482" s="315" t="n">
        <x:f>IF(J482="Mobility",N482,MAX(1,ROUND(N482*X482,0)))</x:f>
        <x:v>2</x:v>
      </x:c>
      <x:c r="Z482" s="333" t="n">
        <x:f>0</x:f>
        <x:v>0</x:v>
      </x:c>
      <x:c r="AA482" s="334"/>
      <x:c r="AB482" s="334"/>
      <x:c r="AC482" s="334"/>
      <x:c r="AD482" s="334"/>
      <x:c r="AE482" s="334"/>
      <x:c r="AF482" s="334"/>
      <x:c r="AG482" s="334"/>
      <x:c r="AH482" s="334"/>
      <x:c r="AI482" s="334"/>
      <x:c r="AJ482" s="312"/>
      <x:c r="AK482" s="312"/>
      <x:c r="AL482" s="312"/>
      <x:c r="AM482" s="312"/>
      <x:c r="AN482" s="312"/>
      <x:c r="AO482" s="315" t="n">
        <x:f>COUNT(AB482,AD482,AF482,AH482,AJ482)</x:f>
        <x:v>0</x:v>
      </x:c>
      <x:c r="AP482" s="315" t="n">
        <x:f>SUM(AB482,AD482,AF482,AH482,AJ482)</x:f>
        <x:v>0</x:v>
      </x:c>
      <x:c r="AQ482" s="333" t="n">
        <x:f>AA482*AB482+AC482*AD482+AE482*AF482+AG482*AH482+AI482*AJ482</x:f>
        <x:v>0</x:v>
      </x:c>
      <x:c r="AR482" s="333" t="n">
        <x:f>IF(OR(J482="Strength",J482="Hypertrophy"),MAX(IF(AB482&gt;0,AA482*(1+AB482/30),0),IF(AD482&gt;0,AC482*(1+AD482/30),0),IF(AF482&gt;0,AE482*(1+AF482/30),0),IF(AH482&gt;0,AG482*(1+AH482/30),0),IF(AJ482&gt;0,AI482*(1+AJ482/30),0)),0)</x:f>
        <x:v>0</x:v>
      </x:c>
      <x:c r="AS482" s="315" t="str">
        <x:f>IF(AN482&lt;&gt;"Yes","Not logged",IF(AL482&gt;='Setup'!$B$14,"STOP / MODIFY",IF(Z482=0,"Complete",IF(OR(AO482=0,AK482=""),"Add set data + RIR",IF(AND(MAX(AB482,AD482,AF482,AH482,AJ482)&gt;=P482,AK482&gt;=Q482+1),"Progress",IF(OR(MAX(AB482,AD482,AF482,AH482,AJ482)&lt;O482,AK482&lt;Q482-1),"Regress","Hold"))))))</x:f>
        <x:v>Not logged</x:v>
      </x:c>
      <x:c r="AT482" s="335" t="n">
        <x:f>IF(OR(Z482=0,AN482&lt;&gt;"Yes",AO482=0,AK482=""),0,IF(AL482&gt;='Setup'!$B$14,-2*'Setup'!$B$11,IF(AND(MAX(AB482,AD482,AF482,AH482,AJ482)&gt;=P482,AK482&gt;=Q482+1),'Setup'!$B$10,IF(OR(MAX(AB482,AD482,AF482,AH482,AJ482)&lt;O482,AK482&lt;Q482-1),-'Setup'!$B$11,0))))</x:f>
        <x:v>0</x:v>
      </x:c>
      <x:c r="AU482" s="333" t="n">
        <x:f>IF(Z482=0,0,IF(AN482&lt;&gt;"Yes",Z482,IF(COUNT(AA482,AC482,AE482,AG482,AI482)=0,Z482,ROUND((MAX(AA482,AC482,AE482,AG482,AI482)*(1+AT482))/'Setup'!$B$9,0)*'Setup'!$B$9)))</x:f>
        <x:v>0</x:v>
      </x:c>
      <x:c r="AV482" s="336"/>
    </x:row>
    <x:row r="483">
      <x:c r="A483" s="310" t="n">
        <x:f>'Setup'!$B$3+(C483-1)*7+(D483-1)</x:f>
        <x:v>46304</x:v>
      </x:c>
      <x:c r="B483" s="311" t="str">
        <x:v>9|5|1</x:v>
      </x:c>
      <x:c r="C483" s="311" t="n">
        <x:v>9</x:v>
      </x:c>
      <x:c r="D483" s="311" t="n">
        <x:v>5</x:v>
      </x:c>
      <x:c r="E483" s="311" t="str">
        <x:v>Realization</x:v>
      </x:c>
      <x:c r="F483" s="311" t="str">
        <x:v>Chest + Biceps</x:v>
      </x:c>
      <x:c r="G483" s="311" t="str">
        <x:v>Chest and biceps hypertrophy specialization</x:v>
      </x:c>
      <x:c r="H483" s="311" t="n">
        <x:v>1</x:v>
      </x:c>
      <x:c r="I483" s="311" t="str">
        <x:v>Incline Barbell Bench Press</x:v>
      </x:c>
      <x:c r="J483" s="311" t="str">
        <x:v>Hypertrophy</x:v>
      </x:c>
      <x:c r="K483" s="311" t="str">
        <x:v>Chest</x:v>
      </x:c>
      <x:c r="L483" s="311" t="str">
        <x:v>Straight sets</x:v>
      </x:c>
      <x:c r="M483" s="311" t="str"/>
      <x:c r="N483" s="311" t="n">
        <x:v>4</x:v>
      </x:c>
      <x:c r="O483" s="311" t="n">
        <x:v>6</x:v>
      </x:c>
      <x:c r="P483" s="311" t="n">
        <x:v>10</x:v>
      </x:c>
      <x:c r="Q483" s="311" t="n">
        <x:v>3</x:v>
      </x:c>
      <x:c r="R483" s="311" t="n">
        <x:v>120</x:v>
      </x:c>
      <x:c r="S483" s="311" t="str">
        <x:v>3-0-1</x:v>
      </x:c>
      <x:c r="T483" s="330" t="n">
        <x:v>1.11</x:v>
      </x:c>
      <x:c r="U483" s="330" t="n">
        <x:v>0.64</x:v>
      </x:c>
      <x:c r="V483" s="331" t="str">
        <x:v>load × reps</x:v>
      </x:c>
      <x:c r="W483" s="332" t="str">
        <x:f>'Readiness'!K59</x:f>
      </x:c>
      <x:c r="X483" s="314" t="n">
        <x:f>'Readiness'!L59</x:f>
        <x:v>1</x:v>
      </x:c>
      <x:c r="Y483" s="315" t="n">
        <x:f>IF(J483="Mobility",N483,MAX(1,ROUND(N483*X483,0)))</x:f>
        <x:v>4</x:v>
      </x:c>
      <x:c r="Z483" s="333" t="n">
        <x:f>ROUND((IF(AU227&gt;0,AU227,IF(Z227&gt;0,Z227,'Setup'!$D$49))*T483)/'Setup'!$B$9,0)*'Setup'!$B$9</x:f>
        <x:v>0</x:v>
      </x:c>
      <x:c r="AA483" s="334"/>
      <x:c r="AB483" s="334"/>
      <x:c r="AC483" s="334"/>
      <x:c r="AD483" s="334"/>
      <x:c r="AE483" s="334"/>
      <x:c r="AF483" s="334"/>
      <x:c r="AG483" s="334"/>
      <x:c r="AH483" s="334"/>
      <x:c r="AI483" s="334"/>
      <x:c r="AJ483" s="312"/>
      <x:c r="AK483" s="312"/>
      <x:c r="AL483" s="312"/>
      <x:c r="AM483" s="312"/>
      <x:c r="AN483" s="312"/>
      <x:c r="AO483" s="315" t="n">
        <x:f>COUNT(AB483,AD483,AF483,AH483,AJ483)</x:f>
        <x:v>0</x:v>
      </x:c>
      <x:c r="AP483" s="315" t="n">
        <x:f>SUM(AB483,AD483,AF483,AH483,AJ483)</x:f>
        <x:v>0</x:v>
      </x:c>
      <x:c r="AQ483" s="333" t="n">
        <x:f>AA483*AB483+AC483*AD483+AE483*AF483+AG483*AH483+AI483*AJ483</x:f>
        <x:v>0</x:v>
      </x:c>
      <x:c r="AR483" s="333" t="n">
        <x:f>IF(OR(J483="Strength",J483="Hypertrophy"),MAX(IF(AB483&gt;0,AA483*(1+AB483/30),0),IF(AD483&gt;0,AC483*(1+AD483/30),0),IF(AF483&gt;0,AE483*(1+AF483/30),0),IF(AH483&gt;0,AG483*(1+AH483/30),0),IF(AJ483&gt;0,AI483*(1+AJ483/30),0)),0)</x:f>
        <x:v>0</x:v>
      </x:c>
      <x:c r="AS483" s="315" t="str">
        <x:f>IF(AN483&lt;&gt;"Yes","Not logged",IF(AL483&gt;='Setup'!$B$14,"STOP / MODIFY",IF(Z483=0,"Complete",IF(OR(AO483=0,AK483=""),"Add set data + RIR",IF(AND(MAX(AB483,AD483,AF483,AH483,AJ483)&gt;=P483,AK483&gt;=Q483+1),"Progress",IF(OR(MAX(AB483,AD483,AF483,AH483,AJ483)&lt;O483,AK483&lt;Q483-1),"Regress","Hold"))))))</x:f>
        <x:v>Not logged</x:v>
      </x:c>
      <x:c r="AT483" s="335" t="n">
        <x:f>IF(OR(Z483=0,AN483&lt;&gt;"Yes",AO483=0,AK483=""),0,IF(AL483&gt;='Setup'!$B$14,-2*'Setup'!$B$11,IF(AND(MAX(AB483,AD483,AF483,AH483,AJ483)&gt;=P483,AK483&gt;=Q483+1),'Setup'!$B$10,IF(OR(MAX(AB483,AD483,AF483,AH483,AJ483)&lt;O483,AK483&lt;Q483-1),-'Setup'!$B$11,0))))</x:f>
        <x:v>0</x:v>
      </x:c>
      <x:c r="AU483" s="333" t="n">
        <x:f>IF(Z483=0,0,IF(AN483&lt;&gt;"Yes",Z483,IF(COUNT(AA483,AC483,AE483,AG483,AI483)=0,Z483,ROUND((MAX(AA483,AC483,AE483,AG483,AI483)*(1+AT483))/'Setup'!$B$9,0)*'Setup'!$B$9)))</x:f>
        <x:v>0</x:v>
      </x:c>
      <x:c r="AV483" s="336"/>
    </x:row>
    <x:row r="484">
      <x:c r="A484" s="310" t="n">
        <x:f>'Setup'!$B$3+(C484-1)*7+(D484-1)</x:f>
        <x:v>46304</x:v>
      </x:c>
      <x:c r="B484" s="311" t="str">
        <x:v>9|5|2</x:v>
      </x:c>
      <x:c r="C484" s="311" t="n">
        <x:v>9</x:v>
      </x:c>
      <x:c r="D484" s="311" t="n">
        <x:v>5</x:v>
      </x:c>
      <x:c r="E484" s="311" t="str">
        <x:v>Realization</x:v>
      </x:c>
      <x:c r="F484" s="311" t="str">
        <x:v>Chest + Biceps</x:v>
      </x:c>
      <x:c r="G484" s="311" t="str">
        <x:v>Chest and biceps hypertrophy specialization</x:v>
      </x:c>
      <x:c r="H484" s="311" t="n">
        <x:v>2</x:v>
      </x:c>
      <x:c r="I484" s="311" t="str">
        <x:v>Incline Dumbbell Bench Press</x:v>
      </x:c>
      <x:c r="J484" s="311" t="str">
        <x:v>Hypertrophy</x:v>
      </x:c>
      <x:c r="K484" s="311" t="str">
        <x:v>Chest</x:v>
      </x:c>
      <x:c r="L484" s="311" t="str">
        <x:v>Straight sets</x:v>
      </x:c>
      <x:c r="M484" s="311" t="str"/>
      <x:c r="N484" s="311" t="n">
        <x:v>3</x:v>
      </x:c>
      <x:c r="O484" s="311" t="n">
        <x:v>8</x:v>
      </x:c>
      <x:c r="P484" s="311" t="n">
        <x:v>12</x:v>
      </x:c>
      <x:c r="Q484" s="311" t="n">
        <x:v>3</x:v>
      </x:c>
      <x:c r="R484" s="311" t="n">
        <x:v>90</x:v>
      </x:c>
      <x:c r="S484" s="311" t="str">
        <x:v>3-0-1</x:v>
      </x:c>
      <x:c r="T484" s="330" t="n">
        <x:v>1.11</x:v>
      </x:c>
      <x:c r="U484" s="330" t="n">
        <x:v>0</x:v>
      </x:c>
      <x:c r="V484" s="331" t="str">
        <x:v>load × reps</x:v>
      </x:c>
      <x:c r="W484" s="332" t="str">
        <x:f>'Readiness'!K59</x:f>
      </x:c>
      <x:c r="X484" s="314" t="n">
        <x:f>'Readiness'!L59</x:f>
        <x:v>1</x:v>
      </x:c>
      <x:c r="Y484" s="315" t="n">
        <x:f>IF(J484="Mobility",N484,MAX(1,ROUND(N484*X484,0)))</x:f>
        <x:v>3</x:v>
      </x:c>
      <x:c r="Z484" s="333" t="n">
        <x:f>ROUND((IF(AU419&gt;0,AU419,IF(Z419&gt;0,Z419,'Setup'!$D$50))*T484)/'Setup'!$B$9,0)*'Setup'!$B$9</x:f>
        <x:v>0</x:v>
      </x:c>
      <x:c r="AA484" s="334"/>
      <x:c r="AB484" s="334"/>
      <x:c r="AC484" s="334"/>
      <x:c r="AD484" s="334"/>
      <x:c r="AE484" s="334"/>
      <x:c r="AF484" s="334"/>
      <x:c r="AG484" s="334"/>
      <x:c r="AH484" s="334"/>
      <x:c r="AI484" s="334"/>
      <x:c r="AJ484" s="312"/>
      <x:c r="AK484" s="312"/>
      <x:c r="AL484" s="312"/>
      <x:c r="AM484" s="312"/>
      <x:c r="AN484" s="312"/>
      <x:c r="AO484" s="315" t="n">
        <x:f>COUNT(AB484,AD484,AF484,AH484,AJ484)</x:f>
        <x:v>0</x:v>
      </x:c>
      <x:c r="AP484" s="315" t="n">
        <x:f>SUM(AB484,AD484,AF484,AH484,AJ484)</x:f>
        <x:v>0</x:v>
      </x:c>
      <x:c r="AQ484" s="333" t="n">
        <x:f>AA484*AB484+AC484*AD484+AE484*AF484+AG484*AH484+AI484*AJ484</x:f>
        <x:v>0</x:v>
      </x:c>
      <x:c r="AR484" s="333" t="n">
        <x:f>IF(OR(J484="Strength",J484="Hypertrophy"),MAX(IF(AB484&gt;0,AA484*(1+AB484/30),0),IF(AD484&gt;0,AC484*(1+AD484/30),0),IF(AF484&gt;0,AE484*(1+AF484/30),0),IF(AH484&gt;0,AG484*(1+AH484/30),0),IF(AJ484&gt;0,AI484*(1+AJ484/30),0)),0)</x:f>
        <x:v>0</x:v>
      </x:c>
      <x:c r="AS484" s="315" t="str">
        <x:f>IF(AN484&lt;&gt;"Yes","Not logged",IF(AL484&gt;='Setup'!$B$14,"STOP / MODIFY",IF(Z484=0,"Complete",IF(OR(AO484=0,AK484=""),"Add set data + RIR",IF(AND(MAX(AB484,AD484,AF484,AH484,AJ484)&gt;=P484,AK484&gt;=Q484+1),"Progress",IF(OR(MAX(AB484,AD484,AF484,AH484,AJ484)&lt;O484,AK484&lt;Q484-1),"Regress","Hold"))))))</x:f>
        <x:v>Not logged</x:v>
      </x:c>
      <x:c r="AT484" s="335" t="n">
        <x:f>IF(OR(Z484=0,AN484&lt;&gt;"Yes",AO484=0,AK484=""),0,IF(AL484&gt;='Setup'!$B$14,-2*'Setup'!$B$11,IF(AND(MAX(AB484,AD484,AF484,AH484,AJ484)&gt;=P484,AK484&gt;=Q484+1),'Setup'!$B$10,IF(OR(MAX(AB484,AD484,AF484,AH484,AJ484)&lt;O484,AK484&lt;Q484-1),-'Setup'!$B$11,0))))</x:f>
        <x:v>0</x:v>
      </x:c>
      <x:c r="AU484" s="333" t="n">
        <x:f>IF(Z484=0,0,IF(AN484&lt;&gt;"Yes",Z484,IF(COUNT(AA484,AC484,AE484,AG484,AI484)=0,Z484,ROUND((MAX(AA484,AC484,AE484,AG484,AI484)*(1+AT484))/'Setup'!$B$9,0)*'Setup'!$B$9)))</x:f>
        <x:v>0</x:v>
      </x:c>
      <x:c r="AV484" s="336"/>
    </x:row>
    <x:row r="485">
      <x:c r="A485" s="310" t="n">
        <x:f>'Setup'!$B$3+(C485-1)*7+(D485-1)</x:f>
        <x:v>46304</x:v>
      </x:c>
      <x:c r="B485" s="311" t="str">
        <x:v>9|5|3</x:v>
      </x:c>
      <x:c r="C485" s="311" t="n">
        <x:v>9</x:v>
      </x:c>
      <x:c r="D485" s="311" t="n">
        <x:v>5</x:v>
      </x:c>
      <x:c r="E485" s="311" t="str">
        <x:v>Realization</x:v>
      </x:c>
      <x:c r="F485" s="311" t="str">
        <x:v>Chest + Biceps</x:v>
      </x:c>
      <x:c r="G485" s="311" t="str">
        <x:v>Chest and biceps hypertrophy specialization</x:v>
      </x:c>
      <x:c r="H485" s="311" t="n">
        <x:v>3</x:v>
      </x:c>
      <x:c r="I485" s="311" t="str">
        <x:v>Cable Fly</x:v>
      </x:c>
      <x:c r="J485" s="311" t="str">
        <x:v>Hypertrophy</x:v>
      </x:c>
      <x:c r="K485" s="311" t="str">
        <x:v>Chest</x:v>
      </x:c>
      <x:c r="L485" s="311" t="str">
        <x:v>Straight sets</x:v>
      </x:c>
      <x:c r="M485" s="311" t="str"/>
      <x:c r="N485" s="311" t="n">
        <x:v>3</x:v>
      </x:c>
      <x:c r="O485" s="311" t="n">
        <x:v>12</x:v>
      </x:c>
      <x:c r="P485" s="311" t="n">
        <x:v>15</x:v>
      </x:c>
      <x:c r="Q485" s="311" t="n">
        <x:v>3</x:v>
      </x:c>
      <x:c r="R485" s="311" t="n">
        <x:v>60</x:v>
      </x:c>
      <x:c r="S485" s="311" t="str">
        <x:v>2-1-2</x:v>
      </x:c>
      <x:c r="T485" s="330" t="n">
        <x:v>1.11</x:v>
      </x:c>
      <x:c r="U485" s="330" t="n">
        <x:v>0</x:v>
      </x:c>
      <x:c r="V485" s="331" t="str">
        <x:v>load × reps</x:v>
      </x:c>
      <x:c r="W485" s="332" t="str">
        <x:f>'Readiness'!K59</x:f>
      </x:c>
      <x:c r="X485" s="314" t="n">
        <x:f>'Readiness'!L59</x:f>
        <x:v>1</x:v>
      </x:c>
      <x:c r="Y485" s="315" t="n">
        <x:f>IF(J485="Mobility",N485,MAX(1,ROUND(N485*X485,0)))</x:f>
        <x:v>3</x:v>
      </x:c>
      <x:c r="Z485" s="333" t="n">
        <x:f>ROUND((IF(AU422&gt;0,AU422,IF(Z422&gt;0,Z422,'Setup'!$D$31))*T485)/'Setup'!$B$9,0)*'Setup'!$B$9</x:f>
        <x:v>0</x:v>
      </x:c>
      <x:c r="AA485" s="334"/>
      <x:c r="AB485" s="334"/>
      <x:c r="AC485" s="334"/>
      <x:c r="AD485" s="334"/>
      <x:c r="AE485" s="334"/>
      <x:c r="AF485" s="334"/>
      <x:c r="AG485" s="334"/>
      <x:c r="AH485" s="334"/>
      <x:c r="AI485" s="334"/>
      <x:c r="AJ485" s="312"/>
      <x:c r="AK485" s="312"/>
      <x:c r="AL485" s="312"/>
      <x:c r="AM485" s="312"/>
      <x:c r="AN485" s="312"/>
      <x:c r="AO485" s="315" t="n">
        <x:f>COUNT(AB485,AD485,AF485,AH485,AJ485)</x:f>
        <x:v>0</x:v>
      </x:c>
      <x:c r="AP485" s="315" t="n">
        <x:f>SUM(AB485,AD485,AF485,AH485,AJ485)</x:f>
        <x:v>0</x:v>
      </x:c>
      <x:c r="AQ485" s="333" t="n">
        <x:f>AA485*AB485+AC485*AD485+AE485*AF485+AG485*AH485+AI485*AJ485</x:f>
        <x:v>0</x:v>
      </x:c>
      <x:c r="AR485" s="333" t="n">
        <x:f>IF(OR(J485="Strength",J485="Hypertrophy"),MAX(IF(AB485&gt;0,AA485*(1+AB485/30),0),IF(AD485&gt;0,AC485*(1+AD485/30),0),IF(AF485&gt;0,AE485*(1+AF485/30),0),IF(AH485&gt;0,AG485*(1+AH485/30),0),IF(AJ485&gt;0,AI485*(1+AJ485/30),0)),0)</x:f>
        <x:v>0</x:v>
      </x:c>
      <x:c r="AS485" s="315" t="str">
        <x:f>IF(AN485&lt;&gt;"Yes","Not logged",IF(AL485&gt;='Setup'!$B$14,"STOP / MODIFY",IF(Z485=0,"Complete",IF(OR(AO485=0,AK485=""),"Add set data + RIR",IF(AND(MAX(AB485,AD485,AF485,AH485,AJ485)&gt;=P485,AK485&gt;=Q485+1),"Progress",IF(OR(MAX(AB485,AD485,AF485,AH485,AJ485)&lt;O485,AK485&lt;Q485-1),"Regress","Hold"))))))</x:f>
        <x:v>Not logged</x:v>
      </x:c>
      <x:c r="AT485" s="335" t="n">
        <x:f>IF(OR(Z485=0,AN485&lt;&gt;"Yes",AO485=0,AK485=""),0,IF(AL485&gt;='Setup'!$B$14,-2*'Setup'!$B$11,IF(AND(MAX(AB485,AD485,AF485,AH485,AJ485)&gt;=P485,AK485&gt;=Q485+1),'Setup'!$B$10,IF(OR(MAX(AB485,AD485,AF485,AH485,AJ485)&lt;O485,AK485&lt;Q485-1),-'Setup'!$B$11,0))))</x:f>
        <x:v>0</x:v>
      </x:c>
      <x:c r="AU485" s="333" t="n">
        <x:f>IF(Z485=0,0,IF(AN485&lt;&gt;"Yes",Z485,IF(COUNT(AA485,AC485,AE485,AG485,AI485)=0,Z485,ROUND((MAX(AA485,AC485,AE485,AG485,AI485)*(1+AT485))/'Setup'!$B$9,0)*'Setup'!$B$9)))</x:f>
        <x:v>0</x:v>
      </x:c>
      <x:c r="AV485" s="336"/>
    </x:row>
    <x:row r="486">
      <x:c r="A486" s="310" t="n">
        <x:f>'Setup'!$B$3+(C486-1)*7+(D486-1)</x:f>
        <x:v>46304</x:v>
      </x:c>
      <x:c r="B486" s="311" t="str">
        <x:v>9|5|4</x:v>
      </x:c>
      <x:c r="C486" s="311" t="n">
        <x:v>9</x:v>
      </x:c>
      <x:c r="D486" s="311" t="n">
        <x:v>5</x:v>
      </x:c>
      <x:c r="E486" s="311" t="str">
        <x:v>Realization</x:v>
      </x:c>
      <x:c r="F486" s="311" t="str">
        <x:v>Chest + Biceps</x:v>
      </x:c>
      <x:c r="G486" s="311" t="str">
        <x:v>Chest and biceps hypertrophy specialization</x:v>
      </x:c>
      <x:c r="H486" s="311" t="n">
        <x:v>4</x:v>
      </x:c>
      <x:c r="I486" s="311" t="str">
        <x:v>Half-Kneeling Landmine Press</x:v>
      </x:c>
      <x:c r="J486" s="311" t="str">
        <x:v>Hypertrophy</x:v>
      </x:c>
      <x:c r="K486" s="311" t="str">
        <x:v>Shoulders</x:v>
      </x:c>
      <x:c r="L486" s="311" t="str">
        <x:v>Straight sets</x:v>
      </x:c>
      <x:c r="M486" s="311" t="str"/>
      <x:c r="N486" s="311" t="n">
        <x:v>3</x:v>
      </x:c>
      <x:c r="O486" s="311" t="n">
        <x:v>8</x:v>
      </x:c>
      <x:c r="P486" s="311" t="n">
        <x:v>12</x:v>
      </x:c>
      <x:c r="Q486" s="311" t="n">
        <x:v>3</x:v>
      </x:c>
      <x:c r="R486" s="311" t="n">
        <x:v>75</x:v>
      </x:c>
      <x:c r="S486" s="311" t="str">
        <x:v>2-0-1</x:v>
      </x:c>
      <x:c r="T486" s="330" t="n">
        <x:v>1.11</x:v>
      </x:c>
      <x:c r="U486" s="330" t="n">
        <x:v>0</x:v>
      </x:c>
      <x:c r="V486" s="331" t="str">
        <x:v>load × reps</x:v>
      </x:c>
      <x:c r="W486" s="332" t="str">
        <x:f>'Readiness'!K59</x:f>
      </x:c>
      <x:c r="X486" s="314" t="n">
        <x:f>'Readiness'!L59</x:f>
        <x:v>1</x:v>
      </x:c>
      <x:c r="Y486" s="315" t="n">
        <x:f>IF(J486="Mobility",N486,MAX(1,ROUND(N486*X486,0)))</x:f>
        <x:v>3</x:v>
      </x:c>
      <x:c r="Z486" s="333" t="n">
        <x:f>ROUND((IF(AU229&gt;0,AU229,IF(Z229&gt;0,Z229,'Setup'!$D$47))*T486)/'Setup'!$B$9,0)*'Setup'!$B$9</x:f>
        <x:v>0</x:v>
      </x:c>
      <x:c r="AA486" s="334"/>
      <x:c r="AB486" s="334"/>
      <x:c r="AC486" s="334"/>
      <x:c r="AD486" s="334"/>
      <x:c r="AE486" s="334"/>
      <x:c r="AF486" s="334"/>
      <x:c r="AG486" s="334"/>
      <x:c r="AH486" s="334"/>
      <x:c r="AI486" s="334"/>
      <x:c r="AJ486" s="312"/>
      <x:c r="AK486" s="312"/>
      <x:c r="AL486" s="312"/>
      <x:c r="AM486" s="312"/>
      <x:c r="AN486" s="312"/>
      <x:c r="AO486" s="315" t="n">
        <x:f>COUNT(AB486,AD486,AF486,AH486,AJ486)</x:f>
        <x:v>0</x:v>
      </x:c>
      <x:c r="AP486" s="315" t="n">
        <x:f>SUM(AB486,AD486,AF486,AH486,AJ486)</x:f>
        <x:v>0</x:v>
      </x:c>
      <x:c r="AQ486" s="333" t="n">
        <x:f>AA486*AB486+AC486*AD486+AE486*AF486+AG486*AH486+AI486*AJ486</x:f>
        <x:v>0</x:v>
      </x:c>
      <x:c r="AR486" s="333" t="n">
        <x:f>IF(OR(J486="Strength",J486="Hypertrophy"),MAX(IF(AB486&gt;0,AA486*(1+AB486/30),0),IF(AD486&gt;0,AC486*(1+AD486/30),0),IF(AF486&gt;0,AE486*(1+AF486/30),0),IF(AH486&gt;0,AG486*(1+AH486/30),0),IF(AJ486&gt;0,AI486*(1+AJ486/30),0)),0)</x:f>
        <x:v>0</x:v>
      </x:c>
      <x:c r="AS486" s="315" t="str">
        <x:f>IF(AN486&lt;&gt;"Yes","Not logged",IF(AL486&gt;='Setup'!$B$14,"STOP / MODIFY",IF(Z486=0,"Complete",IF(OR(AO486=0,AK486=""),"Add set data + RIR",IF(AND(MAX(AB486,AD486,AF486,AH486,AJ486)&gt;=P486,AK486&gt;=Q486+1),"Progress",IF(OR(MAX(AB486,AD486,AF486,AH486,AJ486)&lt;O486,AK486&lt;Q486-1),"Regress","Hold"))))))</x:f>
        <x:v>Not logged</x:v>
      </x:c>
      <x:c r="AT486" s="335" t="n">
        <x:f>IF(OR(Z486=0,AN486&lt;&gt;"Yes",AO486=0,AK486=""),0,IF(AL486&gt;='Setup'!$B$14,-2*'Setup'!$B$11,IF(AND(MAX(AB486,AD486,AF486,AH486,AJ486)&gt;=P486,AK486&gt;=Q486+1),'Setup'!$B$10,IF(OR(MAX(AB486,AD486,AF486,AH486,AJ486)&lt;O486,AK486&lt;Q486-1),-'Setup'!$B$11,0))))</x:f>
        <x:v>0</x:v>
      </x:c>
      <x:c r="AU486" s="333" t="n">
        <x:f>IF(Z486=0,0,IF(AN486&lt;&gt;"Yes",Z486,IF(COUNT(AA486,AC486,AE486,AG486,AI486)=0,Z486,ROUND((MAX(AA486,AC486,AE486,AG486,AI486)*(1+AT486))/'Setup'!$B$9,0)*'Setup'!$B$9)))</x:f>
        <x:v>0</x:v>
      </x:c>
      <x:c r="AV486" s="336"/>
    </x:row>
    <x:row r="487">
      <x:c r="A487" s="310" t="n">
        <x:f>'Setup'!$B$3+(C487-1)*7+(D487-1)</x:f>
        <x:v>46304</x:v>
      </x:c>
      <x:c r="B487" s="311" t="str">
        <x:v>9|5|5</x:v>
      </x:c>
      <x:c r="C487" s="311" t="n">
        <x:v>9</x:v>
      </x:c>
      <x:c r="D487" s="311" t="n">
        <x:v>5</x:v>
      </x:c>
      <x:c r="E487" s="311" t="str">
        <x:v>Realization</x:v>
      </x:c>
      <x:c r="F487" s="311" t="str">
        <x:v>Chest + Biceps</x:v>
      </x:c>
      <x:c r="G487" s="311" t="str">
        <x:v>Chest and biceps hypertrophy specialization</x:v>
      </x:c>
      <x:c r="H487" s="311" t="n">
        <x:v>5</x:v>
      </x:c>
      <x:c r="I487" s="311" t="str">
        <x:v>Cable Lateral Raise</x:v>
      </x:c>
      <x:c r="J487" s="311" t="str">
        <x:v>Hypertrophy</x:v>
      </x:c>
      <x:c r="K487" s="311" t="str">
        <x:v>Shoulders</x:v>
      </x:c>
      <x:c r="L487" s="311" t="str">
        <x:v>Straight sets</x:v>
      </x:c>
      <x:c r="M487" s="311" t="str"/>
      <x:c r="N487" s="311" t="n">
        <x:v>3</x:v>
      </x:c>
      <x:c r="O487" s="311" t="n">
        <x:v>12</x:v>
      </x:c>
      <x:c r="P487" s="311" t="n">
        <x:v>20</x:v>
      </x:c>
      <x:c r="Q487" s="311" t="n">
        <x:v>3</x:v>
      </x:c>
      <x:c r="R487" s="311" t="n">
        <x:v>45</x:v>
      </x:c>
      <x:c r="S487" s="311" t="str">
        <x:v>2-1-2</x:v>
      </x:c>
      <x:c r="T487" s="330" t="n">
        <x:v>1.11</x:v>
      </x:c>
      <x:c r="U487" s="330" t="n">
        <x:v>0</x:v>
      </x:c>
      <x:c r="V487" s="331" t="str">
        <x:v>load × reps</x:v>
      </x:c>
      <x:c r="W487" s="332" t="str">
        <x:f>'Readiness'!K59</x:f>
      </x:c>
      <x:c r="X487" s="314" t="n">
        <x:f>'Readiness'!L59</x:f>
        <x:v>1</x:v>
      </x:c>
      <x:c r="Y487" s="315" t="n">
        <x:f>IF(J487="Mobility",N487,MAX(1,ROUND(N487*X487,0)))</x:f>
        <x:v>3</x:v>
      </x:c>
      <x:c r="Z487" s="333" t="n">
        <x:f>ROUND((IF(AU471&gt;0,AU471,IF(Z471&gt;0,Z471,'Setup'!$D$33))*T487)/'Setup'!$B$9,0)*'Setup'!$B$9</x:f>
        <x:v>0</x:v>
      </x:c>
      <x:c r="AA487" s="334"/>
      <x:c r="AB487" s="334"/>
      <x:c r="AC487" s="334"/>
      <x:c r="AD487" s="334"/>
      <x:c r="AE487" s="334"/>
      <x:c r="AF487" s="334"/>
      <x:c r="AG487" s="334"/>
      <x:c r="AH487" s="334"/>
      <x:c r="AI487" s="334"/>
      <x:c r="AJ487" s="312"/>
      <x:c r="AK487" s="312"/>
      <x:c r="AL487" s="312"/>
      <x:c r="AM487" s="312"/>
      <x:c r="AN487" s="312"/>
      <x:c r="AO487" s="315" t="n">
        <x:f>COUNT(AB487,AD487,AF487,AH487,AJ487)</x:f>
        <x:v>0</x:v>
      </x:c>
      <x:c r="AP487" s="315" t="n">
        <x:f>SUM(AB487,AD487,AF487,AH487,AJ487)</x:f>
        <x:v>0</x:v>
      </x:c>
      <x:c r="AQ487" s="333" t="n">
        <x:f>AA487*AB487+AC487*AD487+AE487*AF487+AG487*AH487+AI487*AJ487</x:f>
        <x:v>0</x:v>
      </x:c>
      <x:c r="AR487" s="333" t="n">
        <x:f>IF(OR(J487="Strength",J487="Hypertrophy"),MAX(IF(AB487&gt;0,AA487*(1+AB487/30),0),IF(AD487&gt;0,AC487*(1+AD487/30),0),IF(AF487&gt;0,AE487*(1+AF487/30),0),IF(AH487&gt;0,AG487*(1+AH487/30),0),IF(AJ487&gt;0,AI487*(1+AJ487/30),0)),0)</x:f>
        <x:v>0</x:v>
      </x:c>
      <x:c r="AS487" s="315" t="str">
        <x:f>IF(AN487&lt;&gt;"Yes","Not logged",IF(AL487&gt;='Setup'!$B$14,"STOP / MODIFY",IF(Z487=0,"Complete",IF(OR(AO487=0,AK487=""),"Add set data + RIR",IF(AND(MAX(AB487,AD487,AF487,AH487,AJ487)&gt;=P487,AK487&gt;=Q487+1),"Progress",IF(OR(MAX(AB487,AD487,AF487,AH487,AJ487)&lt;O487,AK487&lt;Q487-1),"Regress","Hold"))))))</x:f>
        <x:v>Not logged</x:v>
      </x:c>
      <x:c r="AT487" s="335" t="n">
        <x:f>IF(OR(Z487=0,AN487&lt;&gt;"Yes",AO487=0,AK487=""),0,IF(AL487&gt;='Setup'!$B$14,-2*'Setup'!$B$11,IF(AND(MAX(AB487,AD487,AF487,AH487,AJ487)&gt;=P487,AK487&gt;=Q487+1),'Setup'!$B$10,IF(OR(MAX(AB487,AD487,AF487,AH487,AJ487)&lt;O487,AK487&lt;Q487-1),-'Setup'!$B$11,0))))</x:f>
        <x:v>0</x:v>
      </x:c>
      <x:c r="AU487" s="333" t="n">
        <x:f>IF(Z487=0,0,IF(AN487&lt;&gt;"Yes",Z487,IF(COUNT(AA487,AC487,AE487,AG487,AI487)=0,Z487,ROUND((MAX(AA487,AC487,AE487,AG487,AI487)*(1+AT487))/'Setup'!$B$9,0)*'Setup'!$B$9)))</x:f>
        <x:v>0</x:v>
      </x:c>
      <x:c r="AV487" s="336"/>
    </x:row>
    <x:row r="488">
      <x:c r="A488" s="310" t="n">
        <x:f>'Setup'!$B$3+(C488-1)*7+(D488-1)</x:f>
        <x:v>46304</x:v>
      </x:c>
      <x:c r="B488" s="311" t="str">
        <x:v>9|5|6</x:v>
      </x:c>
      <x:c r="C488" s="311" t="n">
        <x:v>9</x:v>
      </x:c>
      <x:c r="D488" s="311" t="n">
        <x:v>5</x:v>
      </x:c>
      <x:c r="E488" s="311" t="str">
        <x:v>Realization</x:v>
      </x:c>
      <x:c r="F488" s="311" t="str">
        <x:v>Chest + Biceps</x:v>
      </x:c>
      <x:c r="G488" s="311" t="str">
        <x:v>Chest and biceps hypertrophy specialization</x:v>
      </x:c>
      <x:c r="H488" s="311" t="n">
        <x:v>6</x:v>
      </x:c>
      <x:c r="I488" s="311" t="str">
        <x:v>EZ-Bar Curl</x:v>
      </x:c>
      <x:c r="J488" s="311" t="str">
        <x:v>Hypertrophy</x:v>
      </x:c>
      <x:c r="K488" s="311" t="str">
        <x:v>Biceps</x:v>
      </x:c>
      <x:c r="L488" s="311" t="str">
        <x:v>Straight sets</x:v>
      </x:c>
      <x:c r="M488" s="311" t="str"/>
      <x:c r="N488" s="311" t="n">
        <x:v>3</x:v>
      </x:c>
      <x:c r="O488" s="311" t="n">
        <x:v>8</x:v>
      </x:c>
      <x:c r="P488" s="311" t="n">
        <x:v>12</x:v>
      </x:c>
      <x:c r="Q488" s="311" t="n">
        <x:v>3</x:v>
      </x:c>
      <x:c r="R488" s="311" t="n">
        <x:v>60</x:v>
      </x:c>
      <x:c r="S488" s="311" t="str">
        <x:v>3-0-1</x:v>
      </x:c>
      <x:c r="T488" s="330" t="n">
        <x:v>1.11</x:v>
      </x:c>
      <x:c r="U488" s="330" t="n">
        <x:v>0</x:v>
      </x:c>
      <x:c r="V488" s="331" t="str">
        <x:v>load × reps</x:v>
      </x:c>
      <x:c r="W488" s="332" t="str">
        <x:f>'Readiness'!K59</x:f>
      </x:c>
      <x:c r="X488" s="314" t="n">
        <x:f>'Readiness'!L59</x:f>
        <x:v>1</x:v>
      </x:c>
      <x:c r="Y488" s="315" t="n">
        <x:f>IF(J488="Mobility",N488,MAX(1,ROUND(N488*X488,0)))</x:f>
        <x:v>3</x:v>
      </x:c>
      <x:c r="Z488" s="333" t="n">
        <x:f>ROUND((IF(AU432&gt;0,AU432,IF(Z432&gt;0,Z432,'Setup'!$D$40))*T488)/'Setup'!$B$9,0)*'Setup'!$B$9</x:f>
        <x:v>0</x:v>
      </x:c>
      <x:c r="AA488" s="334"/>
      <x:c r="AB488" s="334"/>
      <x:c r="AC488" s="334"/>
      <x:c r="AD488" s="334"/>
      <x:c r="AE488" s="334"/>
      <x:c r="AF488" s="334"/>
      <x:c r="AG488" s="334"/>
      <x:c r="AH488" s="334"/>
      <x:c r="AI488" s="334"/>
      <x:c r="AJ488" s="312"/>
      <x:c r="AK488" s="312"/>
      <x:c r="AL488" s="312"/>
      <x:c r="AM488" s="312"/>
      <x:c r="AN488" s="312"/>
      <x:c r="AO488" s="315" t="n">
        <x:f>COUNT(AB488,AD488,AF488,AH488,AJ488)</x:f>
        <x:v>0</x:v>
      </x:c>
      <x:c r="AP488" s="315" t="n">
        <x:f>SUM(AB488,AD488,AF488,AH488,AJ488)</x:f>
        <x:v>0</x:v>
      </x:c>
      <x:c r="AQ488" s="333" t="n">
        <x:f>AA488*AB488+AC488*AD488+AE488*AF488+AG488*AH488+AI488*AJ488</x:f>
        <x:v>0</x:v>
      </x:c>
      <x:c r="AR488" s="333" t="n">
        <x:f>IF(OR(J488="Strength",J488="Hypertrophy"),MAX(IF(AB488&gt;0,AA488*(1+AB488/30),0),IF(AD488&gt;0,AC488*(1+AD488/30),0),IF(AF488&gt;0,AE488*(1+AF488/30),0),IF(AH488&gt;0,AG488*(1+AH488/30),0),IF(AJ488&gt;0,AI488*(1+AJ488/30),0)),0)</x:f>
        <x:v>0</x:v>
      </x:c>
      <x:c r="AS488" s="315" t="str">
        <x:f>IF(AN488&lt;&gt;"Yes","Not logged",IF(AL488&gt;='Setup'!$B$14,"STOP / MODIFY",IF(Z488=0,"Complete",IF(OR(AO488=0,AK488=""),"Add set data + RIR",IF(AND(MAX(AB488,AD488,AF488,AH488,AJ488)&gt;=P488,AK488&gt;=Q488+1),"Progress",IF(OR(MAX(AB488,AD488,AF488,AH488,AJ488)&lt;O488,AK488&lt;Q488-1),"Regress","Hold"))))))</x:f>
        <x:v>Not logged</x:v>
      </x:c>
      <x:c r="AT488" s="335" t="n">
        <x:f>IF(OR(Z488=0,AN488&lt;&gt;"Yes",AO488=0,AK488=""),0,IF(AL488&gt;='Setup'!$B$14,-2*'Setup'!$B$11,IF(AND(MAX(AB488,AD488,AF488,AH488,AJ488)&gt;=P488,AK488&gt;=Q488+1),'Setup'!$B$10,IF(OR(MAX(AB488,AD488,AF488,AH488,AJ488)&lt;O488,AK488&lt;Q488-1),-'Setup'!$B$11,0))))</x:f>
        <x:v>0</x:v>
      </x:c>
      <x:c r="AU488" s="333" t="n">
        <x:f>IF(Z488=0,0,IF(AN488&lt;&gt;"Yes",Z488,IF(COUNT(AA488,AC488,AE488,AG488,AI488)=0,Z488,ROUND((MAX(AA488,AC488,AE488,AG488,AI488)*(1+AT488))/'Setup'!$B$9,0)*'Setup'!$B$9)))</x:f>
        <x:v>0</x:v>
      </x:c>
      <x:c r="AV488" s="336"/>
    </x:row>
    <x:row r="489">
      <x:c r="A489" s="310" t="n">
        <x:f>'Setup'!$B$3+(C489-1)*7+(D489-1)</x:f>
        <x:v>46304</x:v>
      </x:c>
      <x:c r="B489" s="311" t="str">
        <x:v>9|5|7</x:v>
      </x:c>
      <x:c r="C489" s="311" t="n">
        <x:v>9</x:v>
      </x:c>
      <x:c r="D489" s="311" t="n">
        <x:v>5</x:v>
      </x:c>
      <x:c r="E489" s="311" t="str">
        <x:v>Realization</x:v>
      </x:c>
      <x:c r="F489" s="311" t="str">
        <x:v>Chest + Biceps</x:v>
      </x:c>
      <x:c r="G489" s="311" t="str">
        <x:v>Chest and biceps hypertrophy specialization</x:v>
      </x:c>
      <x:c r="H489" s="311" t="n">
        <x:v>7</x:v>
      </x:c>
      <x:c r="I489" s="311" t="str">
        <x:v>Incline Dumbbell Curl</x:v>
      </x:c>
      <x:c r="J489" s="311" t="str">
        <x:v>Hypertrophy</x:v>
      </x:c>
      <x:c r="K489" s="311" t="str">
        <x:v>Biceps</x:v>
      </x:c>
      <x:c r="L489" s="311" t="str">
        <x:v>Superset</x:v>
      </x:c>
      <x:c r="M489" s="311" t="str">
        <x:v>A1</x:v>
      </x:c>
      <x:c r="N489" s="311" t="n">
        <x:v>3</x:v>
      </x:c>
      <x:c r="O489" s="311" t="n">
        <x:v>10</x:v>
      </x:c>
      <x:c r="P489" s="311" t="n">
        <x:v>15</x:v>
      </x:c>
      <x:c r="Q489" s="311" t="n">
        <x:v>3</x:v>
      </x:c>
      <x:c r="R489" s="311" t="n">
        <x:v>30</x:v>
      </x:c>
      <x:c r="S489" s="311" t="str">
        <x:v>3-1-1</x:v>
      </x:c>
      <x:c r="T489" s="330" t="n">
        <x:v>1.11</x:v>
      </x:c>
      <x:c r="U489" s="330" t="n">
        <x:v>0</x:v>
      </x:c>
      <x:c r="V489" s="331" t="str">
        <x:v>load × reps</x:v>
      </x:c>
      <x:c r="W489" s="332" t="str">
        <x:f>'Readiness'!K59</x:f>
      </x:c>
      <x:c r="X489" s="314" t="n">
        <x:f>'Readiness'!L59</x:f>
        <x:v>1</x:v>
      </x:c>
      <x:c r="Y489" s="315" t="n">
        <x:f>IF(J489="Mobility",N489,MAX(1,ROUND(N489*X489,0)))</x:f>
        <x:v>3</x:v>
      </x:c>
      <x:c r="Z489" s="333" t="n">
        <x:f>ROUND((IF(AU433&gt;0,AU433,IF(Z433&gt;0,Z433,'Setup'!$D$51))*T489)/'Setup'!$B$9,0)*'Setup'!$B$9</x:f>
        <x:v>0</x:v>
      </x:c>
      <x:c r="AA489" s="334"/>
      <x:c r="AB489" s="334"/>
      <x:c r="AC489" s="334"/>
      <x:c r="AD489" s="334"/>
      <x:c r="AE489" s="334"/>
      <x:c r="AF489" s="334"/>
      <x:c r="AG489" s="334"/>
      <x:c r="AH489" s="334"/>
      <x:c r="AI489" s="334"/>
      <x:c r="AJ489" s="312"/>
      <x:c r="AK489" s="312"/>
      <x:c r="AL489" s="312"/>
      <x:c r="AM489" s="312"/>
      <x:c r="AN489" s="312"/>
      <x:c r="AO489" s="315" t="n">
        <x:f>COUNT(AB489,AD489,AF489,AH489,AJ489)</x:f>
        <x:v>0</x:v>
      </x:c>
      <x:c r="AP489" s="315" t="n">
        <x:f>SUM(AB489,AD489,AF489,AH489,AJ489)</x:f>
        <x:v>0</x:v>
      </x:c>
      <x:c r="AQ489" s="333" t="n">
        <x:f>AA489*AB489+AC489*AD489+AE489*AF489+AG489*AH489+AI489*AJ489</x:f>
        <x:v>0</x:v>
      </x:c>
      <x:c r="AR489" s="333" t="n">
        <x:f>IF(OR(J489="Strength",J489="Hypertrophy"),MAX(IF(AB489&gt;0,AA489*(1+AB489/30),0),IF(AD489&gt;0,AC489*(1+AD489/30),0),IF(AF489&gt;0,AE489*(1+AF489/30),0),IF(AH489&gt;0,AG489*(1+AH489/30),0),IF(AJ489&gt;0,AI489*(1+AJ489/30),0)),0)</x:f>
        <x:v>0</x:v>
      </x:c>
      <x:c r="AS489" s="315" t="str">
        <x:f>IF(AN489&lt;&gt;"Yes","Not logged",IF(AL489&gt;='Setup'!$B$14,"STOP / MODIFY",IF(Z489=0,"Complete",IF(OR(AO489=0,AK489=""),"Add set data + RIR",IF(AND(MAX(AB489,AD489,AF489,AH489,AJ489)&gt;=P489,AK489&gt;=Q489+1),"Progress",IF(OR(MAX(AB489,AD489,AF489,AH489,AJ489)&lt;O489,AK489&lt;Q489-1),"Regress","Hold"))))))</x:f>
        <x:v>Not logged</x:v>
      </x:c>
      <x:c r="AT489" s="335" t="n">
        <x:f>IF(OR(Z489=0,AN489&lt;&gt;"Yes",AO489=0,AK489=""),0,IF(AL489&gt;='Setup'!$B$14,-2*'Setup'!$B$11,IF(AND(MAX(AB489,AD489,AF489,AH489,AJ489)&gt;=P489,AK489&gt;=Q489+1),'Setup'!$B$10,IF(OR(MAX(AB489,AD489,AF489,AH489,AJ489)&lt;O489,AK489&lt;Q489-1),-'Setup'!$B$11,0))))</x:f>
        <x:v>0</x:v>
      </x:c>
      <x:c r="AU489" s="333" t="n">
        <x:f>IF(Z489=0,0,IF(AN489&lt;&gt;"Yes",Z489,IF(COUNT(AA489,AC489,AE489,AG489,AI489)=0,Z489,ROUND((MAX(AA489,AC489,AE489,AG489,AI489)*(1+AT489))/'Setup'!$B$9,0)*'Setup'!$B$9)))</x:f>
        <x:v>0</x:v>
      </x:c>
      <x:c r="AV489" s="336"/>
    </x:row>
    <x:row r="490">
      <x:c r="A490" s="310" t="n">
        <x:f>'Setup'!$B$3+(C490-1)*7+(D490-1)</x:f>
        <x:v>46304</x:v>
      </x:c>
      <x:c r="B490" s="311" t="str">
        <x:v>9|5|8</x:v>
      </x:c>
      <x:c r="C490" s="311" t="n">
        <x:v>9</x:v>
      </x:c>
      <x:c r="D490" s="311" t="n">
        <x:v>5</x:v>
      </x:c>
      <x:c r="E490" s="311" t="str">
        <x:v>Realization</x:v>
      </x:c>
      <x:c r="F490" s="311" t="str">
        <x:v>Chest + Biceps</x:v>
      </x:c>
      <x:c r="G490" s="311" t="str">
        <x:v>Chest and biceps hypertrophy specialization</x:v>
      </x:c>
      <x:c r="H490" s="311" t="n">
        <x:v>8</x:v>
      </x:c>
      <x:c r="I490" s="311" t="str">
        <x:v>Hammer Curl</x:v>
      </x:c>
      <x:c r="J490" s="311" t="str">
        <x:v>Hypertrophy</x:v>
      </x:c>
      <x:c r="K490" s="311" t="str">
        <x:v>Biceps</x:v>
      </x:c>
      <x:c r="L490" s="311" t="str">
        <x:v>Superset</x:v>
      </x:c>
      <x:c r="M490" s="311" t="str">
        <x:v>A2</x:v>
      </x:c>
      <x:c r="N490" s="311" t="n">
        <x:v>3</x:v>
      </x:c>
      <x:c r="O490" s="311" t="n">
        <x:v>10</x:v>
      </x:c>
      <x:c r="P490" s="311" t="n">
        <x:v>15</x:v>
      </x:c>
      <x:c r="Q490" s="311" t="n">
        <x:v>3</x:v>
      </x:c>
      <x:c r="R490" s="311" t="n">
        <x:v>30</x:v>
      </x:c>
      <x:c r="S490" s="311" t="str">
        <x:v>2-0-1</x:v>
      </x:c>
      <x:c r="T490" s="330" t="n">
        <x:v>1.11</x:v>
      </x:c>
      <x:c r="U490" s="330" t="n">
        <x:v>0</x:v>
      </x:c>
      <x:c r="V490" s="331" t="str">
        <x:v>load × reps</x:v>
      </x:c>
      <x:c r="W490" s="332" t="str">
        <x:f>'Readiness'!K59</x:f>
      </x:c>
      <x:c r="X490" s="314" t="n">
        <x:f>'Readiness'!L59</x:f>
        <x:v>1</x:v>
      </x:c>
      <x:c r="Y490" s="315" t="n">
        <x:f>IF(J490="Mobility",N490,MAX(1,ROUND(N490*X490,0)))</x:f>
        <x:v>3</x:v>
      </x:c>
      <x:c r="Z490" s="333" t="n">
        <x:f>ROUND((IF(AU222&gt;0,AU222,IF(Z222&gt;0,Z222,'Setup'!$D$48))*T490)/'Setup'!$B$9,0)*'Setup'!$B$9</x:f>
        <x:v>0</x:v>
      </x:c>
      <x:c r="AA490" s="334"/>
      <x:c r="AB490" s="334"/>
      <x:c r="AC490" s="334"/>
      <x:c r="AD490" s="334"/>
      <x:c r="AE490" s="334"/>
      <x:c r="AF490" s="334"/>
      <x:c r="AG490" s="334"/>
      <x:c r="AH490" s="334"/>
      <x:c r="AI490" s="334"/>
      <x:c r="AJ490" s="312"/>
      <x:c r="AK490" s="312"/>
      <x:c r="AL490" s="312"/>
      <x:c r="AM490" s="312"/>
      <x:c r="AN490" s="312"/>
      <x:c r="AO490" s="315" t="n">
        <x:f>COUNT(AB490,AD490,AF490,AH490,AJ490)</x:f>
        <x:v>0</x:v>
      </x:c>
      <x:c r="AP490" s="315" t="n">
        <x:f>SUM(AB490,AD490,AF490,AH490,AJ490)</x:f>
        <x:v>0</x:v>
      </x:c>
      <x:c r="AQ490" s="333" t="n">
        <x:f>AA490*AB490+AC490*AD490+AE490*AF490+AG490*AH490+AI490*AJ490</x:f>
        <x:v>0</x:v>
      </x:c>
      <x:c r="AR490" s="333" t="n">
        <x:f>IF(OR(J490="Strength",J490="Hypertrophy"),MAX(IF(AB490&gt;0,AA490*(1+AB490/30),0),IF(AD490&gt;0,AC490*(1+AD490/30),0),IF(AF490&gt;0,AE490*(1+AF490/30),0),IF(AH490&gt;0,AG490*(1+AH490/30),0),IF(AJ490&gt;0,AI490*(1+AJ490/30),0)),0)</x:f>
        <x:v>0</x:v>
      </x:c>
      <x:c r="AS490" s="315" t="str">
        <x:f>IF(AN490&lt;&gt;"Yes","Not logged",IF(AL490&gt;='Setup'!$B$14,"STOP / MODIFY",IF(Z490=0,"Complete",IF(OR(AO490=0,AK490=""),"Add set data + RIR",IF(AND(MAX(AB490,AD490,AF490,AH490,AJ490)&gt;=P490,AK490&gt;=Q490+1),"Progress",IF(OR(MAX(AB490,AD490,AF490,AH490,AJ490)&lt;O490,AK490&lt;Q490-1),"Regress","Hold"))))))</x:f>
        <x:v>Not logged</x:v>
      </x:c>
      <x:c r="AT490" s="335" t="n">
        <x:f>IF(OR(Z490=0,AN490&lt;&gt;"Yes",AO490=0,AK490=""),0,IF(AL490&gt;='Setup'!$B$14,-2*'Setup'!$B$11,IF(AND(MAX(AB490,AD490,AF490,AH490,AJ490)&gt;=P490,AK490&gt;=Q490+1),'Setup'!$B$10,IF(OR(MAX(AB490,AD490,AF490,AH490,AJ490)&lt;O490,AK490&lt;Q490-1),-'Setup'!$B$11,0))))</x:f>
        <x:v>0</x:v>
      </x:c>
      <x:c r="AU490" s="333" t="n">
        <x:f>IF(Z490=0,0,IF(AN490&lt;&gt;"Yes",Z490,IF(COUNT(AA490,AC490,AE490,AG490,AI490)=0,Z490,ROUND((MAX(AA490,AC490,AE490,AG490,AI490)*(1+AT490))/'Setup'!$B$9,0)*'Setup'!$B$9)))</x:f>
        <x:v>0</x:v>
      </x:c>
      <x:c r="AV490" s="336"/>
    </x:row>
    <x:row r="491">
      <x:c r="A491" s="310" t="n">
        <x:f>'Setup'!$B$3+(C491-1)*7+(D491-1)</x:f>
        <x:v>46304</x:v>
      </x:c>
      <x:c r="B491" s="311" t="str">
        <x:v>9|5|9</x:v>
      </x:c>
      <x:c r="C491" s="311" t="n">
        <x:v>9</x:v>
      </x:c>
      <x:c r="D491" s="311" t="n">
        <x:v>5</x:v>
      </x:c>
      <x:c r="E491" s="311" t="str">
        <x:v>Realization</x:v>
      </x:c>
      <x:c r="F491" s="311" t="str">
        <x:v>Chest + Biceps</x:v>
      </x:c>
      <x:c r="G491" s="311" t="str">
        <x:v>Chest and biceps hypertrophy specialization</x:v>
      </x:c>
      <x:c r="H491" s="311" t="n">
        <x:v>9</x:v>
      </x:c>
      <x:c r="I491" s="311" t="str">
        <x:v>Doorway Pec Stretch</x:v>
      </x:c>
      <x:c r="J491" s="311" t="str">
        <x:v>Mobility</x:v>
      </x:c>
      <x:c r="K491" s="311" t="str">
        <x:v>Chest</x:v>
      </x:c>
      <x:c r="L491" s="311" t="str">
        <x:v>Relaxed breathing</x:v>
      </x:c>
      <x:c r="M491" s="311" t="str"/>
      <x:c r="N491" s="311" t="n">
        <x:v>2</x:v>
      </x:c>
      <x:c r="O491" s="311" t="n">
        <x:v>30</x:v>
      </x:c>
      <x:c r="P491" s="311" t="n">
        <x:v>45</x:v>
      </x:c>
      <x:c r="Q491" s="311" t="str"/>
      <x:c r="R491" s="311" t="n">
        <x:v>20</x:v>
      </x:c>
      <x:c r="S491" s="311" t="str">
        <x:v>Hold</x:v>
      </x:c>
      <x:c r="T491" s="330" t="n">
        <x:v>1.11</x:v>
      </x:c>
      <x:c r="U491" s="330" t="n">
        <x:v>0</x:v>
      </x:c>
      <x:c r="V491" s="331" t="str">
        <x:v>seconds</x:v>
      </x:c>
      <x:c r="W491" s="332" t="str">
        <x:f>'Readiness'!K59</x:f>
      </x:c>
      <x:c r="X491" s="314" t="n">
        <x:f>'Readiness'!L59</x:f>
        <x:v>1</x:v>
      </x:c>
      <x:c r="Y491" s="315" t="n">
        <x:f>IF(J491="Mobility",N491,MAX(1,ROUND(N491*X491,0)))</x:f>
        <x:v>2</x:v>
      </x:c>
      <x:c r="Z491" s="333" t="n">
        <x:f>0</x:f>
        <x:v>0</x:v>
      </x:c>
      <x:c r="AA491" s="334"/>
      <x:c r="AB491" s="334"/>
      <x:c r="AC491" s="334"/>
      <x:c r="AD491" s="334"/>
      <x:c r="AE491" s="334"/>
      <x:c r="AF491" s="334"/>
      <x:c r="AG491" s="334"/>
      <x:c r="AH491" s="334"/>
      <x:c r="AI491" s="334"/>
      <x:c r="AJ491" s="312"/>
      <x:c r="AK491" s="312"/>
      <x:c r="AL491" s="312"/>
      <x:c r="AM491" s="312"/>
      <x:c r="AN491" s="312"/>
      <x:c r="AO491" s="315" t="n">
        <x:f>COUNT(AB491,AD491,AF491,AH491,AJ491)</x:f>
        <x:v>0</x:v>
      </x:c>
      <x:c r="AP491" s="315" t="n">
        <x:f>SUM(AB491,AD491,AF491,AH491,AJ491)</x:f>
        <x:v>0</x:v>
      </x:c>
      <x:c r="AQ491" s="333" t="n">
        <x:f>AA491*AB491+AC491*AD491+AE491*AF491+AG491*AH491+AI491*AJ491</x:f>
        <x:v>0</x:v>
      </x:c>
      <x:c r="AR491" s="333" t="n">
        <x:f>IF(OR(J491="Strength",J491="Hypertrophy"),MAX(IF(AB491&gt;0,AA491*(1+AB491/30),0),IF(AD491&gt;0,AC491*(1+AD491/30),0),IF(AF491&gt;0,AE491*(1+AF491/30),0),IF(AH491&gt;0,AG491*(1+AH491/30),0),IF(AJ491&gt;0,AI491*(1+AJ491/30),0)),0)</x:f>
        <x:v>0</x:v>
      </x:c>
      <x:c r="AS491" s="315" t="str">
        <x:f>IF(AN491&lt;&gt;"Yes","Not logged",IF(AL491&gt;='Setup'!$B$14,"STOP / MODIFY",IF(Z491=0,"Complete",IF(OR(AO491=0,AK491=""),"Add set data + RIR",IF(AND(MAX(AB491,AD491,AF491,AH491,AJ491)&gt;=P491,AK491&gt;=Q491+1),"Progress",IF(OR(MAX(AB491,AD491,AF491,AH491,AJ491)&lt;O491,AK491&lt;Q491-1),"Regress","Hold"))))))</x:f>
        <x:v>Not logged</x:v>
      </x:c>
      <x:c r="AT491" s="335" t="n">
        <x:f>IF(OR(Z491=0,AN491&lt;&gt;"Yes",AO491=0,AK491=""),0,IF(AL491&gt;='Setup'!$B$14,-2*'Setup'!$B$11,IF(AND(MAX(AB491,AD491,AF491,AH491,AJ491)&gt;=P491,AK491&gt;=Q491+1),'Setup'!$B$10,IF(OR(MAX(AB491,AD491,AF491,AH491,AJ491)&lt;O491,AK491&lt;Q491-1),-'Setup'!$B$11,0))))</x:f>
        <x:v>0</x:v>
      </x:c>
      <x:c r="AU491" s="333" t="n">
        <x:f>IF(Z491=0,0,IF(AN491&lt;&gt;"Yes",Z491,IF(COUNT(AA491,AC491,AE491,AG491,AI491)=0,Z491,ROUND((MAX(AA491,AC491,AE491,AG491,AI491)*(1+AT491))/'Setup'!$B$9,0)*'Setup'!$B$9)))</x:f>
        <x:v>0</x:v>
      </x:c>
      <x:c r="AV491" s="336"/>
    </x:row>
    <x:row r="492">
      <x:c r="A492" s="310" t="n">
        <x:f>'Setup'!$B$3+(C492-1)*7+(D492-1)</x:f>
        <x:v>46305</x:v>
      </x:c>
      <x:c r="B492" s="311" t="str">
        <x:v>9|6|1</x:v>
      </x:c>
      <x:c r="C492" s="311" t="n">
        <x:v>9</x:v>
      </x:c>
      <x:c r="D492" s="311" t="n">
        <x:v>6</x:v>
      </x:c>
      <x:c r="E492" s="311" t="str">
        <x:v>Realization</x:v>
      </x:c>
      <x:c r="F492" s="311" t="str">
        <x:v>Athletic Full Body</x:v>
      </x:c>
      <x:c r="G492" s="311" t="str">
        <x:v>Speed, multidirectional power, conditioning</x:v>
      </x:c>
      <x:c r="H492" s="311" t="n">
        <x:v>1</x:v>
      </x:c>
      <x:c r="I492" s="311" t="str">
        <x:v>Acceleration Sprint</x:v>
      </x:c>
      <x:c r="J492" s="311" t="str">
        <x:v>Athletic</x:v>
      </x:c>
      <x:c r="K492" s="311" t="str">
        <x:v>Full Body</x:v>
      </x:c>
      <x:c r="L492" s="311" t="str">
        <x:v>Full recovery, stop on speed drop</x:v>
      </x:c>
      <x:c r="M492" s="311" t="str"/>
      <x:c r="N492" s="311" t="n">
        <x:v>6</x:v>
      </x:c>
      <x:c r="O492" s="311" t="n">
        <x:v>20</x:v>
      </x:c>
      <x:c r="P492" s="311" t="n">
        <x:v>20</x:v>
      </x:c>
      <x:c r="Q492" s="311" t="n">
        <x:v>3</x:v>
      </x:c>
      <x:c r="R492" s="311" t="n">
        <x:v>90</x:v>
      </x:c>
      <x:c r="S492" s="311" t="str">
        <x:v>Max quality</x:v>
      </x:c>
      <x:c r="T492" s="330" t="n">
        <x:v>1.11</x:v>
      </x:c>
      <x:c r="U492" s="330" t="n">
        <x:v>0</x:v>
      </x:c>
      <x:c r="V492" s="331" t="str">
        <x:v>20 m time</x:v>
      </x:c>
      <x:c r="W492" s="332" t="str">
        <x:f>'Readiness'!K60</x:f>
      </x:c>
      <x:c r="X492" s="314" t="n">
        <x:f>'Readiness'!L60</x:f>
        <x:v>1</x:v>
      </x:c>
      <x:c r="Y492" s="315" t="n">
        <x:f>IF(J492="Mobility",N492,MAX(1,ROUND(N492*X492,0)))</x:f>
        <x:v>6</x:v>
      </x:c>
      <x:c r="Z492" s="333" t="n">
        <x:f>0</x:f>
        <x:v>0</x:v>
      </x:c>
      <x:c r="AA492" s="334"/>
      <x:c r="AB492" s="334"/>
      <x:c r="AC492" s="334"/>
      <x:c r="AD492" s="334"/>
      <x:c r="AE492" s="334"/>
      <x:c r="AF492" s="334"/>
      <x:c r="AG492" s="334"/>
      <x:c r="AH492" s="334"/>
      <x:c r="AI492" s="334"/>
      <x:c r="AJ492" s="312"/>
      <x:c r="AK492" s="312"/>
      <x:c r="AL492" s="312"/>
      <x:c r="AM492" s="312"/>
      <x:c r="AN492" s="312"/>
      <x:c r="AO492" s="315" t="n">
        <x:f>COUNT(AB492,AD492,AF492,AH492,AJ492)</x:f>
        <x:v>0</x:v>
      </x:c>
      <x:c r="AP492" s="315" t="n">
        <x:f>SUM(AB492,AD492,AF492,AH492,AJ492)</x:f>
        <x:v>0</x:v>
      </x:c>
      <x:c r="AQ492" s="333" t="n">
        <x:f>AA492*AB492+AC492*AD492+AE492*AF492+AG492*AH492+AI492*AJ492</x:f>
        <x:v>0</x:v>
      </x:c>
      <x:c r="AR492" s="333" t="n">
        <x:f>IF(OR(J492="Strength",J492="Hypertrophy"),MAX(IF(AB492&gt;0,AA492*(1+AB492/30),0),IF(AD492&gt;0,AC492*(1+AD492/30),0),IF(AF492&gt;0,AE492*(1+AF492/30),0),IF(AH492&gt;0,AG492*(1+AH492/30),0),IF(AJ492&gt;0,AI492*(1+AJ492/30),0)),0)</x:f>
        <x:v>0</x:v>
      </x:c>
      <x:c r="AS492" s="315" t="str">
        <x:f>IF(AN492&lt;&gt;"Yes","Not logged",IF(AL492&gt;='Setup'!$B$14,"STOP / MODIFY",IF(Z492=0,"Complete",IF(OR(AO492=0,AK492=""),"Add set data + RIR",IF(AND(MAX(AB492,AD492,AF492,AH492,AJ492)&gt;=P492,AK492&gt;=Q492+1),"Progress",IF(OR(MAX(AB492,AD492,AF492,AH492,AJ492)&lt;O492,AK492&lt;Q492-1),"Regress","Hold"))))))</x:f>
        <x:v>Not logged</x:v>
      </x:c>
      <x:c r="AT492" s="335" t="n">
        <x:f>IF(OR(Z492=0,AN492&lt;&gt;"Yes",AO492=0,AK492=""),0,IF(AL492&gt;='Setup'!$B$14,-2*'Setup'!$B$11,IF(AND(MAX(AB492,AD492,AF492,AH492,AJ492)&gt;=P492,AK492&gt;=Q492+1),'Setup'!$B$10,IF(OR(MAX(AB492,AD492,AF492,AH492,AJ492)&lt;O492,AK492&lt;Q492-1),-'Setup'!$B$11,0))))</x:f>
        <x:v>0</x:v>
      </x:c>
      <x:c r="AU492" s="333" t="n">
        <x:f>IF(Z492=0,0,IF(AN492&lt;&gt;"Yes",Z492,IF(COUNT(AA492,AC492,AE492,AG492,AI492)=0,Z492,ROUND((MAX(AA492,AC492,AE492,AG492,AI492)*(1+AT492))/'Setup'!$B$9,0)*'Setup'!$B$9)))</x:f>
        <x:v>0</x:v>
      </x:c>
      <x:c r="AV492" s="336"/>
    </x:row>
    <x:row r="493">
      <x:c r="A493" s="310" t="n">
        <x:f>'Setup'!$B$3+(C493-1)*7+(D493-1)</x:f>
        <x:v>46305</x:v>
      </x:c>
      <x:c r="B493" s="311" t="str">
        <x:v>9|6|2</x:v>
      </x:c>
      <x:c r="C493" s="311" t="n">
        <x:v>9</x:v>
      </x:c>
      <x:c r="D493" s="311" t="n">
        <x:v>6</x:v>
      </x:c>
      <x:c r="E493" s="311" t="str">
        <x:v>Realization</x:v>
      </x:c>
      <x:c r="F493" s="311" t="str">
        <x:v>Athletic Full Body</x:v>
      </x:c>
      <x:c r="G493" s="311" t="str">
        <x:v>Speed, multidirectional power, conditioning</x:v>
      </x:c>
      <x:c r="H493" s="311" t="n">
        <x:v>2</x:v>
      </x:c>
      <x:c r="I493" s="311" t="str">
        <x:v>Lateral Bound</x:v>
      </x:c>
      <x:c r="J493" s="311" t="str">
        <x:v>Power</x:v>
      </x:c>
      <x:c r="K493" s="311" t="str">
        <x:v>Glutes</x:v>
      </x:c>
      <x:c r="L493" s="311" t="str">
        <x:v>Stick landing</x:v>
      </x:c>
      <x:c r="M493" s="311" t="str"/>
      <x:c r="N493" s="311" t="n">
        <x:v>4</x:v>
      </x:c>
      <x:c r="O493" s="311" t="n">
        <x:v>4</x:v>
      </x:c>
      <x:c r="P493" s="311" t="n">
        <x:v>4</x:v>
      </x:c>
      <x:c r="Q493" s="311" t="n">
        <x:v>3</x:v>
      </x:c>
      <x:c r="R493" s="311" t="n">
        <x:v>60</x:v>
      </x:c>
      <x:c r="S493" s="311" t="str">
        <x:v>Explosive</x:v>
      </x:c>
      <x:c r="T493" s="330" t="n">
        <x:v>1.11</x:v>
      </x:c>
      <x:c r="U493" s="330" t="n">
        <x:v>0</x:v>
      </x:c>
      <x:c r="V493" s="331" t="str">
        <x:v>distance</x:v>
      </x:c>
      <x:c r="W493" s="332" t="str">
        <x:f>'Readiness'!K60</x:f>
      </x:c>
      <x:c r="X493" s="314" t="n">
        <x:f>'Readiness'!L60</x:f>
        <x:v>1</x:v>
      </x:c>
      <x:c r="Y493" s="315" t="n">
        <x:f>IF(J493="Mobility",N493,MAX(1,ROUND(N493*X493,0)))</x:f>
        <x:v>4</x:v>
      </x:c>
      <x:c r="Z493" s="333" t="n">
        <x:f>0</x:f>
        <x:v>0</x:v>
      </x:c>
      <x:c r="AA493" s="334"/>
      <x:c r="AB493" s="334"/>
      <x:c r="AC493" s="334"/>
      <x:c r="AD493" s="334"/>
      <x:c r="AE493" s="334"/>
      <x:c r="AF493" s="334"/>
      <x:c r="AG493" s="334"/>
      <x:c r="AH493" s="334"/>
      <x:c r="AI493" s="334"/>
      <x:c r="AJ493" s="312"/>
      <x:c r="AK493" s="312"/>
      <x:c r="AL493" s="312"/>
      <x:c r="AM493" s="312"/>
      <x:c r="AN493" s="312"/>
      <x:c r="AO493" s="315" t="n">
        <x:f>COUNT(AB493,AD493,AF493,AH493,AJ493)</x:f>
        <x:v>0</x:v>
      </x:c>
      <x:c r="AP493" s="315" t="n">
        <x:f>SUM(AB493,AD493,AF493,AH493,AJ493)</x:f>
        <x:v>0</x:v>
      </x:c>
      <x:c r="AQ493" s="333" t="n">
        <x:f>AA493*AB493+AC493*AD493+AE493*AF493+AG493*AH493+AI493*AJ493</x:f>
        <x:v>0</x:v>
      </x:c>
      <x:c r="AR493" s="333" t="n">
        <x:f>IF(OR(J493="Strength",J493="Hypertrophy"),MAX(IF(AB493&gt;0,AA493*(1+AB493/30),0),IF(AD493&gt;0,AC493*(1+AD493/30),0),IF(AF493&gt;0,AE493*(1+AF493/30),0),IF(AH493&gt;0,AG493*(1+AH493/30),0),IF(AJ493&gt;0,AI493*(1+AJ493/30),0)),0)</x:f>
        <x:v>0</x:v>
      </x:c>
      <x:c r="AS493" s="315" t="str">
        <x:f>IF(AN493&lt;&gt;"Yes","Not logged",IF(AL493&gt;='Setup'!$B$14,"STOP / MODIFY",IF(Z493=0,"Complete",IF(OR(AO493=0,AK493=""),"Add set data + RIR",IF(AND(MAX(AB493,AD493,AF493,AH493,AJ493)&gt;=P493,AK493&gt;=Q493+1),"Progress",IF(OR(MAX(AB493,AD493,AF493,AH493,AJ493)&lt;O493,AK493&lt;Q493-1),"Regress","Hold"))))))</x:f>
        <x:v>Not logged</x:v>
      </x:c>
      <x:c r="AT493" s="335" t="n">
        <x:f>IF(OR(Z493=0,AN493&lt;&gt;"Yes",AO493=0,AK493=""),0,IF(AL493&gt;='Setup'!$B$14,-2*'Setup'!$B$11,IF(AND(MAX(AB493,AD493,AF493,AH493,AJ493)&gt;=P493,AK493&gt;=Q493+1),'Setup'!$B$10,IF(OR(MAX(AB493,AD493,AF493,AH493,AJ493)&lt;O493,AK493&lt;Q493-1),-'Setup'!$B$11,0))))</x:f>
        <x:v>0</x:v>
      </x:c>
      <x:c r="AU493" s="333" t="n">
        <x:f>IF(Z493=0,0,IF(AN493&lt;&gt;"Yes",Z493,IF(COUNT(AA493,AC493,AE493,AG493,AI493)=0,Z493,ROUND((MAX(AA493,AC493,AE493,AG493,AI493)*(1+AT493))/'Setup'!$B$9,0)*'Setup'!$B$9)))</x:f>
        <x:v>0</x:v>
      </x:c>
      <x:c r="AV493" s="336"/>
    </x:row>
    <x:row r="494">
      <x:c r="A494" s="310" t="n">
        <x:f>'Setup'!$B$3+(C494-1)*7+(D494-1)</x:f>
        <x:v>46305</x:v>
      </x:c>
      <x:c r="B494" s="311" t="str">
        <x:v>9|6|3</x:v>
      </x:c>
      <x:c r="C494" s="311" t="n">
        <x:v>9</x:v>
      </x:c>
      <x:c r="D494" s="311" t="n">
        <x:v>6</x:v>
      </x:c>
      <x:c r="E494" s="311" t="str">
        <x:v>Realization</x:v>
      </x:c>
      <x:c r="F494" s="311" t="str">
        <x:v>Athletic Full Body</x:v>
      </x:c>
      <x:c r="G494" s="311" t="str">
        <x:v>Speed, multidirectional power, conditioning</x:v>
      </x:c>
      <x:c r="H494" s="311" t="n">
        <x:v>3</x:v>
      </x:c>
      <x:c r="I494" s="311" t="str">
        <x:v>Medicine Ball Rotational Throw</x:v>
      </x:c>
      <x:c r="J494" s="311" t="str">
        <x:v>Power</x:v>
      </x:c>
      <x:c r="K494" s="311" t="str">
        <x:v>Core</x:v>
      </x:c>
      <x:c r="L494" s="311" t="str">
        <x:v>Max intent, full reset</x:v>
      </x:c>
      <x:c r="M494" s="311" t="str"/>
      <x:c r="N494" s="311" t="n">
        <x:v>4</x:v>
      </x:c>
      <x:c r="O494" s="311" t="n">
        <x:v>4</x:v>
      </x:c>
      <x:c r="P494" s="311" t="n">
        <x:v>4</x:v>
      </x:c>
      <x:c r="Q494" s="311" t="n">
        <x:v>3</x:v>
      </x:c>
      <x:c r="R494" s="311" t="n">
        <x:v>60</x:v>
      </x:c>
      <x:c r="S494" s="311" t="str">
        <x:v>Explosive</x:v>
      </x:c>
      <x:c r="T494" s="330" t="n">
        <x:v>1.11</x:v>
      </x:c>
      <x:c r="U494" s="330" t="n">
        <x:v>0</x:v>
      </x:c>
      <x:c r="V494" s="331" t="str">
        <x:v>throw quality</x:v>
      </x:c>
      <x:c r="W494" s="332" t="str">
        <x:f>'Readiness'!K60</x:f>
      </x:c>
      <x:c r="X494" s="314" t="n">
        <x:f>'Readiness'!L60</x:f>
        <x:v>1</x:v>
      </x:c>
      <x:c r="Y494" s="315" t="n">
        <x:f>IF(J494="Mobility",N494,MAX(1,ROUND(N494*X494,0)))</x:f>
        <x:v>4</x:v>
      </x:c>
      <x:c r="Z494" s="333" t="n">
        <x:f>0</x:f>
        <x:v>0</x:v>
      </x:c>
      <x:c r="AA494" s="334"/>
      <x:c r="AB494" s="334"/>
      <x:c r="AC494" s="334"/>
      <x:c r="AD494" s="334"/>
      <x:c r="AE494" s="334"/>
      <x:c r="AF494" s="334"/>
      <x:c r="AG494" s="334"/>
      <x:c r="AH494" s="334"/>
      <x:c r="AI494" s="334"/>
      <x:c r="AJ494" s="312"/>
      <x:c r="AK494" s="312"/>
      <x:c r="AL494" s="312"/>
      <x:c r="AM494" s="312"/>
      <x:c r="AN494" s="312"/>
      <x:c r="AO494" s="315" t="n">
        <x:f>COUNT(AB494,AD494,AF494,AH494,AJ494)</x:f>
        <x:v>0</x:v>
      </x:c>
      <x:c r="AP494" s="315" t="n">
        <x:f>SUM(AB494,AD494,AF494,AH494,AJ494)</x:f>
        <x:v>0</x:v>
      </x:c>
      <x:c r="AQ494" s="333" t="n">
        <x:f>AA494*AB494+AC494*AD494+AE494*AF494+AG494*AH494+AI494*AJ494</x:f>
        <x:v>0</x:v>
      </x:c>
      <x:c r="AR494" s="333" t="n">
        <x:f>IF(OR(J494="Strength",J494="Hypertrophy"),MAX(IF(AB494&gt;0,AA494*(1+AB494/30),0),IF(AD494&gt;0,AC494*(1+AD494/30),0),IF(AF494&gt;0,AE494*(1+AF494/30),0),IF(AH494&gt;0,AG494*(1+AH494/30),0),IF(AJ494&gt;0,AI494*(1+AJ494/30),0)),0)</x:f>
        <x:v>0</x:v>
      </x:c>
      <x:c r="AS494" s="315" t="str">
        <x:f>IF(AN494&lt;&gt;"Yes","Not logged",IF(AL494&gt;='Setup'!$B$14,"STOP / MODIFY",IF(Z494=0,"Complete",IF(OR(AO494=0,AK494=""),"Add set data + RIR",IF(AND(MAX(AB494,AD494,AF494,AH494,AJ494)&gt;=P494,AK494&gt;=Q494+1),"Progress",IF(OR(MAX(AB494,AD494,AF494,AH494,AJ494)&lt;O494,AK494&lt;Q494-1),"Regress","Hold"))))))</x:f>
        <x:v>Not logged</x:v>
      </x:c>
      <x:c r="AT494" s="335" t="n">
        <x:f>IF(OR(Z494=0,AN494&lt;&gt;"Yes",AO494=0,AK494=""),0,IF(AL494&gt;='Setup'!$B$14,-2*'Setup'!$B$11,IF(AND(MAX(AB494,AD494,AF494,AH494,AJ494)&gt;=P494,AK494&gt;=Q494+1),'Setup'!$B$10,IF(OR(MAX(AB494,AD494,AF494,AH494,AJ494)&lt;O494,AK494&lt;Q494-1),-'Setup'!$B$11,0))))</x:f>
        <x:v>0</x:v>
      </x:c>
      <x:c r="AU494" s="333" t="n">
        <x:f>IF(Z494=0,0,IF(AN494&lt;&gt;"Yes",Z494,IF(COUNT(AA494,AC494,AE494,AG494,AI494)=0,Z494,ROUND((MAX(AA494,AC494,AE494,AG494,AI494)*(1+AT494))/'Setup'!$B$9,0)*'Setup'!$B$9)))</x:f>
        <x:v>0</x:v>
      </x:c>
      <x:c r="AV494" s="336"/>
    </x:row>
    <x:row r="495">
      <x:c r="A495" s="310" t="n">
        <x:f>'Setup'!$B$3+(C495-1)*7+(D495-1)</x:f>
        <x:v>46305</x:v>
      </x:c>
      <x:c r="B495" s="311" t="str">
        <x:v>9|6|4</x:v>
      </x:c>
      <x:c r="C495" s="311" t="n">
        <x:v>9</x:v>
      </x:c>
      <x:c r="D495" s="311" t="n">
        <x:v>6</x:v>
      </x:c>
      <x:c r="E495" s="311" t="str">
        <x:v>Realization</x:v>
      </x:c>
      <x:c r="F495" s="311" t="str">
        <x:v>Athletic Full Body</x:v>
      </x:c>
      <x:c r="G495" s="311" t="str">
        <x:v>Speed, multidirectional power, conditioning</x:v>
      </x:c>
      <x:c r="H495" s="311" t="n">
        <x:v>4</x:v>
      </x:c>
      <x:c r="I495" s="311" t="str">
        <x:v>Kettlebell Swing</x:v>
      </x:c>
      <x:c r="J495" s="311" t="str">
        <x:v>Power</x:v>
      </x:c>
      <x:c r="K495" s="311" t="str">
        <x:v>Hamstrings</x:v>
      </x:c>
      <x:c r="L495" s="311" t="str">
        <x:v>Ballistic hinge</x:v>
      </x:c>
      <x:c r="M495" s="311" t="str"/>
      <x:c r="N495" s="311" t="n">
        <x:v>5</x:v>
      </x:c>
      <x:c r="O495" s="311" t="n">
        <x:v>5</x:v>
      </x:c>
      <x:c r="P495" s="311" t="n">
        <x:v>5</x:v>
      </x:c>
      <x:c r="Q495" s="311" t="n">
        <x:v>3</x:v>
      </x:c>
      <x:c r="R495" s="311" t="n">
        <x:v>60</x:v>
      </x:c>
      <x:c r="S495" s="311" t="str">
        <x:v>Explosive</x:v>
      </x:c>
      <x:c r="T495" s="330" t="n">
        <x:v>1.11</x:v>
      </x:c>
      <x:c r="U495" s="330" t="n">
        <x:v>0</x:v>
      </x:c>
      <x:c r="V495" s="331" t="str">
        <x:v>load × reps</x:v>
      </x:c>
      <x:c r="W495" s="332" t="str">
        <x:f>'Readiness'!K60</x:f>
      </x:c>
      <x:c r="X495" s="314" t="n">
        <x:f>'Readiness'!L60</x:f>
        <x:v>1</x:v>
      </x:c>
      <x:c r="Y495" s="315" t="n">
        <x:f>IF(J495="Mobility",N495,MAX(1,ROUND(N495*X495,0)))</x:f>
        <x:v>5</x:v>
      </x:c>
      <x:c r="Z495" s="333" t="n">
        <x:f>ROUND((IF(AU439&gt;0,AU439,IF(Z439&gt;0,Z439,'Setup'!$D$54))*T495)/'Setup'!$B$9,0)*'Setup'!$B$9</x:f>
        <x:v>0</x:v>
      </x:c>
      <x:c r="AA495" s="334"/>
      <x:c r="AB495" s="334"/>
      <x:c r="AC495" s="334"/>
      <x:c r="AD495" s="334"/>
      <x:c r="AE495" s="334"/>
      <x:c r="AF495" s="334"/>
      <x:c r="AG495" s="334"/>
      <x:c r="AH495" s="334"/>
      <x:c r="AI495" s="334"/>
      <x:c r="AJ495" s="312"/>
      <x:c r="AK495" s="312"/>
      <x:c r="AL495" s="312"/>
      <x:c r="AM495" s="312"/>
      <x:c r="AN495" s="312"/>
      <x:c r="AO495" s="315" t="n">
        <x:f>COUNT(AB495,AD495,AF495,AH495,AJ495)</x:f>
        <x:v>0</x:v>
      </x:c>
      <x:c r="AP495" s="315" t="n">
        <x:f>SUM(AB495,AD495,AF495,AH495,AJ495)</x:f>
        <x:v>0</x:v>
      </x:c>
      <x:c r="AQ495" s="333" t="n">
        <x:f>AA495*AB495+AC495*AD495+AE495*AF495+AG495*AH495+AI495*AJ495</x:f>
        <x:v>0</x:v>
      </x:c>
      <x:c r="AR495" s="333" t="n">
        <x:f>IF(OR(J495="Strength",J495="Hypertrophy"),MAX(IF(AB495&gt;0,AA495*(1+AB495/30),0),IF(AD495&gt;0,AC495*(1+AD495/30),0),IF(AF495&gt;0,AE495*(1+AF495/30),0),IF(AH495&gt;0,AG495*(1+AH495/30),0),IF(AJ495&gt;0,AI495*(1+AJ495/30),0)),0)</x:f>
        <x:v>0</x:v>
      </x:c>
      <x:c r="AS495" s="315" t="str">
        <x:f>IF(AN495&lt;&gt;"Yes","Not logged",IF(AL495&gt;='Setup'!$B$14,"STOP / MODIFY",IF(Z495=0,"Complete",IF(OR(AO495=0,AK495=""),"Add set data + RIR",IF(AND(MAX(AB495,AD495,AF495,AH495,AJ495)&gt;=P495,AK495&gt;=Q495+1),"Progress",IF(OR(MAX(AB495,AD495,AF495,AH495,AJ495)&lt;O495,AK495&lt;Q495-1),"Regress","Hold"))))))</x:f>
        <x:v>Not logged</x:v>
      </x:c>
      <x:c r="AT495" s="335" t="n">
        <x:f>IF(OR(Z495=0,AN495&lt;&gt;"Yes",AO495=0,AK495=""),0,IF(AL495&gt;='Setup'!$B$14,-2*'Setup'!$B$11,IF(AND(MAX(AB495,AD495,AF495,AH495,AJ495)&gt;=P495,AK495&gt;=Q495+1),'Setup'!$B$10,IF(OR(MAX(AB495,AD495,AF495,AH495,AJ495)&lt;O495,AK495&lt;Q495-1),-'Setup'!$B$11,0))))</x:f>
        <x:v>0</x:v>
      </x:c>
      <x:c r="AU495" s="333" t="n">
        <x:f>IF(Z495=0,0,IF(AN495&lt;&gt;"Yes",Z495,IF(COUNT(AA495,AC495,AE495,AG495,AI495)=0,Z495,ROUND((MAX(AA495,AC495,AE495,AG495,AI495)*(1+AT495))/'Setup'!$B$9,0)*'Setup'!$B$9)))</x:f>
        <x:v>0</x:v>
      </x:c>
      <x:c r="AV495" s="336"/>
    </x:row>
    <x:row r="496">
      <x:c r="A496" s="310" t="n">
        <x:f>'Setup'!$B$3+(C496-1)*7+(D496-1)</x:f>
        <x:v>46305</x:v>
      </x:c>
      <x:c r="B496" s="311" t="str">
        <x:v>9|6|5</x:v>
      </x:c>
      <x:c r="C496" s="311" t="n">
        <x:v>9</x:v>
      </x:c>
      <x:c r="D496" s="311" t="n">
        <x:v>6</x:v>
      </x:c>
      <x:c r="E496" s="311" t="str">
        <x:v>Realization</x:v>
      </x:c>
      <x:c r="F496" s="311" t="str">
        <x:v>Athletic Full Body</x:v>
      </x:c>
      <x:c r="G496" s="311" t="str">
        <x:v>Speed, multidirectional power, conditioning</x:v>
      </x:c>
      <x:c r="H496" s="311" t="n">
        <x:v>5</x:v>
      </x:c>
      <x:c r="I496" s="311" t="str">
        <x:v>Sled Push</x:v>
      </x:c>
      <x:c r="J496" s="311" t="str">
        <x:v>Athletic</x:v>
      </x:c>
      <x:c r="K496" s="311" t="str">
        <x:v>Quads</x:v>
      </x:c>
      <x:c r="L496" s="311" t="str">
        <x:v>Fast, powerful steps</x:v>
      </x:c>
      <x:c r="M496" s="311" t="str"/>
      <x:c r="N496" s="311" t="n">
        <x:v>6</x:v>
      </x:c>
      <x:c r="O496" s="311" t="n">
        <x:v>20</x:v>
      </x:c>
      <x:c r="P496" s="311" t="n">
        <x:v>20</x:v>
      </x:c>
      <x:c r="Q496" s="311" t="n">
        <x:v>3</x:v>
      </x:c>
      <x:c r="R496" s="311" t="n">
        <x:v>75</x:v>
      </x:c>
      <x:c r="S496" s="311" t="str">
        <x:v>Fast</x:v>
      </x:c>
      <x:c r="T496" s="330" t="n">
        <x:v>1.11</x:v>
      </x:c>
      <x:c r="U496" s="330" t="n">
        <x:v>0</x:v>
      </x:c>
      <x:c r="V496" s="331" t="str">
        <x:v>load + meters</x:v>
      </x:c>
      <x:c r="W496" s="332" t="str">
        <x:f>'Readiness'!K60</x:f>
      </x:c>
      <x:c r="X496" s="314" t="n">
        <x:f>'Readiness'!L60</x:f>
        <x:v>1</x:v>
      </x:c>
      <x:c r="Y496" s="315" t="n">
        <x:f>IF(J496="Mobility",N496,MAX(1,ROUND(N496*X496,0)))</x:f>
        <x:v>6</x:v>
      </x:c>
      <x:c r="Z496" s="333" t="n">
        <x:f>0</x:f>
        <x:v>0</x:v>
      </x:c>
      <x:c r="AA496" s="334"/>
      <x:c r="AB496" s="334"/>
      <x:c r="AC496" s="334"/>
      <x:c r="AD496" s="334"/>
      <x:c r="AE496" s="334"/>
      <x:c r="AF496" s="334"/>
      <x:c r="AG496" s="334"/>
      <x:c r="AH496" s="334"/>
      <x:c r="AI496" s="334"/>
      <x:c r="AJ496" s="312"/>
      <x:c r="AK496" s="312"/>
      <x:c r="AL496" s="312"/>
      <x:c r="AM496" s="312"/>
      <x:c r="AN496" s="312"/>
      <x:c r="AO496" s="315" t="n">
        <x:f>COUNT(AB496,AD496,AF496,AH496,AJ496)</x:f>
        <x:v>0</x:v>
      </x:c>
      <x:c r="AP496" s="315" t="n">
        <x:f>SUM(AB496,AD496,AF496,AH496,AJ496)</x:f>
        <x:v>0</x:v>
      </x:c>
      <x:c r="AQ496" s="333" t="n">
        <x:f>AA496*AB496+AC496*AD496+AE496*AF496+AG496*AH496+AI496*AJ496</x:f>
        <x:v>0</x:v>
      </x:c>
      <x:c r="AR496" s="333" t="n">
        <x:f>IF(OR(J496="Strength",J496="Hypertrophy"),MAX(IF(AB496&gt;0,AA496*(1+AB496/30),0),IF(AD496&gt;0,AC496*(1+AD496/30),0),IF(AF496&gt;0,AE496*(1+AF496/30),0),IF(AH496&gt;0,AG496*(1+AH496/30),0),IF(AJ496&gt;0,AI496*(1+AJ496/30),0)),0)</x:f>
        <x:v>0</x:v>
      </x:c>
      <x:c r="AS496" s="315" t="str">
        <x:f>IF(AN496&lt;&gt;"Yes","Not logged",IF(AL496&gt;='Setup'!$B$14,"STOP / MODIFY",IF(Z496=0,"Complete",IF(OR(AO496=0,AK496=""),"Add set data + RIR",IF(AND(MAX(AB496,AD496,AF496,AH496,AJ496)&gt;=P496,AK496&gt;=Q496+1),"Progress",IF(OR(MAX(AB496,AD496,AF496,AH496,AJ496)&lt;O496,AK496&lt;Q496-1),"Regress","Hold"))))))</x:f>
        <x:v>Not logged</x:v>
      </x:c>
      <x:c r="AT496" s="335" t="n">
        <x:f>IF(OR(Z496=0,AN496&lt;&gt;"Yes",AO496=0,AK496=""),0,IF(AL496&gt;='Setup'!$B$14,-2*'Setup'!$B$11,IF(AND(MAX(AB496,AD496,AF496,AH496,AJ496)&gt;=P496,AK496&gt;=Q496+1),'Setup'!$B$10,IF(OR(MAX(AB496,AD496,AF496,AH496,AJ496)&lt;O496,AK496&lt;Q496-1),-'Setup'!$B$11,0))))</x:f>
        <x:v>0</x:v>
      </x:c>
      <x:c r="AU496" s="333" t="n">
        <x:f>IF(Z496=0,0,IF(AN496&lt;&gt;"Yes",Z496,IF(COUNT(AA496,AC496,AE496,AG496,AI496)=0,Z496,ROUND((MAX(AA496,AC496,AE496,AG496,AI496)*(1+AT496))/'Setup'!$B$9,0)*'Setup'!$B$9)))</x:f>
        <x:v>0</x:v>
      </x:c>
      <x:c r="AV496" s="336"/>
    </x:row>
    <x:row r="497">
      <x:c r="A497" s="310" t="n">
        <x:f>'Setup'!$B$3+(C497-1)*7+(D497-1)</x:f>
        <x:v>46305</x:v>
      </x:c>
      <x:c r="B497" s="311" t="str">
        <x:v>9|6|6</x:v>
      </x:c>
      <x:c r="C497" s="311" t="n">
        <x:v>9</x:v>
      </x:c>
      <x:c r="D497" s="311" t="n">
        <x:v>6</x:v>
      </x:c>
      <x:c r="E497" s="311" t="str">
        <x:v>Realization</x:v>
      </x:c>
      <x:c r="F497" s="311" t="str">
        <x:v>Athletic Full Body</x:v>
      </x:c>
      <x:c r="G497" s="311" t="str">
        <x:v>Speed, multidirectional power, conditioning</x:v>
      </x:c>
      <x:c r="H497" s="311" t="n">
        <x:v>6</x:v>
      </x:c>
      <x:c r="I497" s="311" t="str">
        <x:v>Pull-Up</x:v>
      </x:c>
      <x:c r="J497" s="311" t="str">
        <x:v>Hypertrophy</x:v>
      </x:c>
      <x:c r="K497" s="311" t="str">
        <x:v>Back</x:v>
      </x:c>
      <x:c r="L497" s="311" t="str">
        <x:v>Straight sets</x:v>
      </x:c>
      <x:c r="M497" s="311" t="str"/>
      <x:c r="N497" s="311" t="n">
        <x:v>3</x:v>
      </x:c>
      <x:c r="O497" s="311" t="n">
        <x:v>6</x:v>
      </x:c>
      <x:c r="P497" s="311" t="n">
        <x:v>10</x:v>
      </x:c>
      <x:c r="Q497" s="311" t="n">
        <x:v>3</x:v>
      </x:c>
      <x:c r="R497" s="311" t="n">
        <x:v>75</x:v>
      </x:c>
      <x:c r="S497" s="311" t="str">
        <x:v>2-1-1</x:v>
      </x:c>
      <x:c r="T497" s="330" t="n">
        <x:v>1.11</x:v>
      </x:c>
      <x:c r="U497" s="330" t="n">
        <x:v>0</x:v>
      </x:c>
      <x:c r="V497" s="331" t="str">
        <x:v>reps</x:v>
      </x:c>
      <x:c r="W497" s="332" t="str">
        <x:f>'Readiness'!K60</x:f>
      </x:c>
      <x:c r="X497" s="314" t="n">
        <x:f>'Readiness'!L60</x:f>
        <x:v>1</x:v>
      </x:c>
      <x:c r="Y497" s="315" t="n">
        <x:f>IF(J497="Mobility",N497,MAX(1,ROUND(N497*X497,0)))</x:f>
        <x:v>3</x:v>
      </x:c>
      <x:c r="Z497" s="333" t="n">
        <x:f>0</x:f>
        <x:v>0</x:v>
      </x:c>
      <x:c r="AA497" s="334"/>
      <x:c r="AB497" s="334"/>
      <x:c r="AC497" s="334"/>
      <x:c r="AD497" s="334"/>
      <x:c r="AE497" s="334"/>
      <x:c r="AF497" s="334"/>
      <x:c r="AG497" s="334"/>
      <x:c r="AH497" s="334"/>
      <x:c r="AI497" s="334"/>
      <x:c r="AJ497" s="312"/>
      <x:c r="AK497" s="312"/>
      <x:c r="AL497" s="312"/>
      <x:c r="AM497" s="312"/>
      <x:c r="AN497" s="312"/>
      <x:c r="AO497" s="315" t="n">
        <x:f>COUNT(AB497,AD497,AF497,AH497,AJ497)</x:f>
        <x:v>0</x:v>
      </x:c>
      <x:c r="AP497" s="315" t="n">
        <x:f>SUM(AB497,AD497,AF497,AH497,AJ497)</x:f>
        <x:v>0</x:v>
      </x:c>
      <x:c r="AQ497" s="333" t="n">
        <x:f>AA497*AB497+AC497*AD497+AE497*AF497+AG497*AH497+AI497*AJ497</x:f>
        <x:v>0</x:v>
      </x:c>
      <x:c r="AR497" s="333" t="n">
        <x:f>IF(OR(J497="Strength",J497="Hypertrophy"),MAX(IF(AB497&gt;0,AA497*(1+AB497/30),0),IF(AD497&gt;0,AC497*(1+AD497/30),0),IF(AF497&gt;0,AE497*(1+AF497/30),0),IF(AH497&gt;0,AG497*(1+AH497/30),0),IF(AJ497&gt;0,AI497*(1+AJ497/30),0)),0)</x:f>
        <x:v>0</x:v>
      </x:c>
      <x:c r="AS497" s="315" t="str">
        <x:f>IF(AN497&lt;&gt;"Yes","Not logged",IF(AL497&gt;='Setup'!$B$14,"STOP / MODIFY",IF(Z497=0,"Complete",IF(OR(AO497=0,AK497=""),"Add set data + RIR",IF(AND(MAX(AB497,AD497,AF497,AH497,AJ497)&gt;=P497,AK497&gt;=Q497+1),"Progress",IF(OR(MAX(AB497,AD497,AF497,AH497,AJ497)&lt;O497,AK497&lt;Q497-1),"Regress","Hold"))))))</x:f>
        <x:v>Not logged</x:v>
      </x:c>
      <x:c r="AT497" s="335" t="n">
        <x:f>IF(OR(Z497=0,AN497&lt;&gt;"Yes",AO497=0,AK497=""),0,IF(AL497&gt;='Setup'!$B$14,-2*'Setup'!$B$11,IF(AND(MAX(AB497,AD497,AF497,AH497,AJ497)&gt;=P497,AK497&gt;=Q497+1),'Setup'!$B$10,IF(OR(MAX(AB497,AD497,AF497,AH497,AJ497)&lt;O497,AK497&lt;Q497-1),-'Setup'!$B$11,0))))</x:f>
        <x:v>0</x:v>
      </x:c>
      <x:c r="AU497" s="333" t="n">
        <x:f>IF(Z497=0,0,IF(AN497&lt;&gt;"Yes",Z497,IF(COUNT(AA497,AC497,AE497,AG497,AI497)=0,Z497,ROUND((MAX(AA497,AC497,AE497,AG497,AI497)*(1+AT497))/'Setup'!$B$9,0)*'Setup'!$B$9)))</x:f>
        <x:v>0</x:v>
      </x:c>
      <x:c r="AV497" s="336"/>
    </x:row>
    <x:row r="498">
      <x:c r="A498" s="310" t="n">
        <x:f>'Setup'!$B$3+(C498-1)*7+(D498-1)</x:f>
        <x:v>46305</x:v>
      </x:c>
      <x:c r="B498" s="311" t="str">
        <x:v>9|6|7</x:v>
      </x:c>
      <x:c r="C498" s="311" t="n">
        <x:v>9</x:v>
      </x:c>
      <x:c r="D498" s="311" t="n">
        <x:v>6</x:v>
      </x:c>
      <x:c r="E498" s="311" t="str">
        <x:v>Realization</x:v>
      </x:c>
      <x:c r="F498" s="311" t="str">
        <x:v>Athletic Full Body</x:v>
      </x:c>
      <x:c r="G498" s="311" t="str">
        <x:v>Speed, multidirectional power, conditioning</x:v>
      </x:c>
      <x:c r="H498" s="311" t="n">
        <x:v>7</x:v>
      </x:c>
      <x:c r="I498" s="311" t="str">
        <x:v>Walking Lunge</x:v>
      </x:c>
      <x:c r="J498" s="311" t="str">
        <x:v>Hypertrophy</x:v>
      </x:c>
      <x:c r="K498" s="311" t="str">
        <x:v>Quads</x:v>
      </x:c>
      <x:c r="L498" s="311" t="str">
        <x:v>Straight sets</x:v>
      </x:c>
      <x:c r="M498" s="311" t="str"/>
      <x:c r="N498" s="311" t="n">
        <x:v>2</x:v>
      </x:c>
      <x:c r="O498" s="311" t="n">
        <x:v>10</x:v>
      </x:c>
      <x:c r="P498" s="311" t="n">
        <x:v>12</x:v>
      </x:c>
      <x:c r="Q498" s="311" t="n">
        <x:v>3</x:v>
      </x:c>
      <x:c r="R498" s="311" t="n">
        <x:v>75</x:v>
      </x:c>
      <x:c r="S498" s="311" t="str">
        <x:v>2-0-1</x:v>
      </x:c>
      <x:c r="T498" s="330" t="n">
        <x:v>1.11</x:v>
      </x:c>
      <x:c r="U498" s="330" t="n">
        <x:v>0</x:v>
      </x:c>
      <x:c r="V498" s="331" t="str">
        <x:v>load × reps</x:v>
      </x:c>
      <x:c r="W498" s="332" t="str">
        <x:f>'Readiness'!K60</x:f>
      </x:c>
      <x:c r="X498" s="314" t="n">
        <x:f>'Readiness'!L60</x:f>
        <x:v>1</x:v>
      </x:c>
      <x:c r="Y498" s="315" t="n">
        <x:f>IF(J498="Mobility",N498,MAX(1,ROUND(N498*X498,0)))</x:f>
        <x:v>2</x:v>
      </x:c>
      <x:c r="Z498" s="333" t="n">
        <x:f>ROUND((IF(AU211&gt;0,AU211,IF(Z211&gt;0,Z211,'Setup'!$D$93))*T498)/'Setup'!$B$9,0)*'Setup'!$B$9</x:f>
        <x:v>0</x:v>
      </x:c>
      <x:c r="AA498" s="334"/>
      <x:c r="AB498" s="334"/>
      <x:c r="AC498" s="334"/>
      <x:c r="AD498" s="334"/>
      <x:c r="AE498" s="334"/>
      <x:c r="AF498" s="334"/>
      <x:c r="AG498" s="334"/>
      <x:c r="AH498" s="334"/>
      <x:c r="AI498" s="334"/>
      <x:c r="AJ498" s="312"/>
      <x:c r="AK498" s="312"/>
      <x:c r="AL498" s="312"/>
      <x:c r="AM498" s="312"/>
      <x:c r="AN498" s="312"/>
      <x:c r="AO498" s="315" t="n">
        <x:f>COUNT(AB498,AD498,AF498,AH498,AJ498)</x:f>
        <x:v>0</x:v>
      </x:c>
      <x:c r="AP498" s="315" t="n">
        <x:f>SUM(AB498,AD498,AF498,AH498,AJ498)</x:f>
        <x:v>0</x:v>
      </x:c>
      <x:c r="AQ498" s="333" t="n">
        <x:f>AA498*AB498+AC498*AD498+AE498*AF498+AG498*AH498+AI498*AJ498</x:f>
        <x:v>0</x:v>
      </x:c>
      <x:c r="AR498" s="333" t="n">
        <x:f>IF(OR(J498="Strength",J498="Hypertrophy"),MAX(IF(AB498&gt;0,AA498*(1+AB498/30),0),IF(AD498&gt;0,AC498*(1+AD498/30),0),IF(AF498&gt;0,AE498*(1+AF498/30),0),IF(AH498&gt;0,AG498*(1+AH498/30),0),IF(AJ498&gt;0,AI498*(1+AJ498/30),0)),0)</x:f>
        <x:v>0</x:v>
      </x:c>
      <x:c r="AS498" s="315" t="str">
        <x:f>IF(AN498&lt;&gt;"Yes","Not logged",IF(AL498&gt;='Setup'!$B$14,"STOP / MODIFY",IF(Z498=0,"Complete",IF(OR(AO498=0,AK498=""),"Add set data + RIR",IF(AND(MAX(AB498,AD498,AF498,AH498,AJ498)&gt;=P498,AK498&gt;=Q498+1),"Progress",IF(OR(MAX(AB498,AD498,AF498,AH498,AJ498)&lt;O498,AK498&lt;Q498-1),"Regress","Hold"))))))</x:f>
        <x:v>Not logged</x:v>
      </x:c>
      <x:c r="AT498" s="335" t="n">
        <x:f>IF(OR(Z498=0,AN498&lt;&gt;"Yes",AO498=0,AK498=""),0,IF(AL498&gt;='Setup'!$B$14,-2*'Setup'!$B$11,IF(AND(MAX(AB498,AD498,AF498,AH498,AJ498)&gt;=P498,AK498&gt;=Q498+1),'Setup'!$B$10,IF(OR(MAX(AB498,AD498,AF498,AH498,AJ498)&lt;O498,AK498&lt;Q498-1),-'Setup'!$B$11,0))))</x:f>
        <x:v>0</x:v>
      </x:c>
      <x:c r="AU498" s="333" t="n">
        <x:f>IF(Z498=0,0,IF(AN498&lt;&gt;"Yes",Z498,IF(COUNT(AA498,AC498,AE498,AG498,AI498)=0,Z498,ROUND((MAX(AA498,AC498,AE498,AG498,AI498)*(1+AT498))/'Setup'!$B$9,0)*'Setup'!$B$9)))</x:f>
        <x:v>0</x:v>
      </x:c>
      <x:c r="AV498" s="336"/>
    </x:row>
    <x:row r="499">
      <x:c r="A499" s="310" t="n">
        <x:f>'Setup'!$B$3+(C499-1)*7+(D499-1)</x:f>
        <x:v>46305</x:v>
      </x:c>
      <x:c r="B499" s="311" t="str">
        <x:v>9|6|8</x:v>
      </x:c>
      <x:c r="C499" s="311" t="n">
        <x:v>9</x:v>
      </x:c>
      <x:c r="D499" s="311" t="n">
        <x:v>6</x:v>
      </x:c>
      <x:c r="E499" s="311" t="str">
        <x:v>Realization</x:v>
      </x:c>
      <x:c r="F499" s="311" t="str">
        <x:v>Athletic Full Body</x:v>
      </x:c>
      <x:c r="G499" s="311" t="str">
        <x:v>Speed, multidirectional power, conditioning</x:v>
      </x:c>
      <x:c r="H499" s="311" t="n">
        <x:v>8</x:v>
      </x:c>
      <x:c r="I499" s="311" t="str">
        <x:v>Pallof Press</x:v>
      </x:c>
      <x:c r="J499" s="311" t="str">
        <x:v>Hypertrophy</x:v>
      </x:c>
      <x:c r="K499" s="311" t="str">
        <x:v>Core</x:v>
      </x:c>
      <x:c r="L499" s="311" t="str">
        <x:v>Anti-rotation control</x:v>
      </x:c>
      <x:c r="M499" s="311" t="str"/>
      <x:c r="N499" s="311" t="n">
        <x:v>3</x:v>
      </x:c>
      <x:c r="O499" s="311" t="n">
        <x:v>10</x:v>
      </x:c>
      <x:c r="P499" s="311" t="n">
        <x:v>12</x:v>
      </x:c>
      <x:c r="Q499" s="311" t="n">
        <x:v>3</x:v>
      </x:c>
      <x:c r="R499" s="311" t="n">
        <x:v>45</x:v>
      </x:c>
      <x:c r="S499" s="311" t="str">
        <x:v>2-1-2</x:v>
      </x:c>
      <x:c r="T499" s="330" t="n">
        <x:v>1.11</x:v>
      </x:c>
      <x:c r="U499" s="330" t="n">
        <x:v>0</x:v>
      </x:c>
      <x:c r="V499" s="331" t="str">
        <x:v>load × reps</x:v>
      </x:c>
      <x:c r="W499" s="332" t="str">
        <x:f>'Readiness'!K60</x:f>
      </x:c>
      <x:c r="X499" s="314" t="n">
        <x:f>'Readiness'!L60</x:f>
        <x:v>1</x:v>
      </x:c>
      <x:c r="Y499" s="315" t="n">
        <x:f>IF(J499="Mobility",N499,MAX(1,ROUND(N499*X499,0)))</x:f>
        <x:v>3</x:v>
      </x:c>
      <x:c r="Z499" s="333" t="n">
        <x:f>ROUND((IF(AU443&gt;0,AU443,IF(Z443&gt;0,Z443,'Setup'!$D$71))*T499)/'Setup'!$B$9,0)*'Setup'!$B$9</x:f>
        <x:v>0</x:v>
      </x:c>
      <x:c r="AA499" s="334"/>
      <x:c r="AB499" s="334"/>
      <x:c r="AC499" s="334"/>
      <x:c r="AD499" s="334"/>
      <x:c r="AE499" s="334"/>
      <x:c r="AF499" s="334"/>
      <x:c r="AG499" s="334"/>
      <x:c r="AH499" s="334"/>
      <x:c r="AI499" s="334"/>
      <x:c r="AJ499" s="312"/>
      <x:c r="AK499" s="312"/>
      <x:c r="AL499" s="312"/>
      <x:c r="AM499" s="312"/>
      <x:c r="AN499" s="312"/>
      <x:c r="AO499" s="315" t="n">
        <x:f>COUNT(AB499,AD499,AF499,AH499,AJ499)</x:f>
        <x:v>0</x:v>
      </x:c>
      <x:c r="AP499" s="315" t="n">
        <x:f>SUM(AB499,AD499,AF499,AH499,AJ499)</x:f>
        <x:v>0</x:v>
      </x:c>
      <x:c r="AQ499" s="333" t="n">
        <x:f>AA499*AB499+AC499*AD499+AE499*AF499+AG499*AH499+AI499*AJ499</x:f>
        <x:v>0</x:v>
      </x:c>
      <x:c r="AR499" s="333" t="n">
        <x:f>IF(OR(J499="Strength",J499="Hypertrophy"),MAX(IF(AB499&gt;0,AA499*(1+AB499/30),0),IF(AD499&gt;0,AC499*(1+AD499/30),0),IF(AF499&gt;0,AE499*(1+AF499/30),0),IF(AH499&gt;0,AG499*(1+AH499/30),0),IF(AJ499&gt;0,AI499*(1+AJ499/30),0)),0)</x:f>
        <x:v>0</x:v>
      </x:c>
      <x:c r="AS499" s="315" t="str">
        <x:f>IF(AN499&lt;&gt;"Yes","Not logged",IF(AL499&gt;='Setup'!$B$14,"STOP / MODIFY",IF(Z499=0,"Complete",IF(OR(AO499=0,AK499=""),"Add set data + RIR",IF(AND(MAX(AB499,AD499,AF499,AH499,AJ499)&gt;=P499,AK499&gt;=Q499+1),"Progress",IF(OR(MAX(AB499,AD499,AF499,AH499,AJ499)&lt;O499,AK499&lt;Q499-1),"Regress","Hold"))))))</x:f>
        <x:v>Not logged</x:v>
      </x:c>
      <x:c r="AT499" s="335" t="n">
        <x:f>IF(OR(Z499=0,AN499&lt;&gt;"Yes",AO499=0,AK499=""),0,IF(AL499&gt;='Setup'!$B$14,-2*'Setup'!$B$11,IF(AND(MAX(AB499,AD499,AF499,AH499,AJ499)&gt;=P499,AK499&gt;=Q499+1),'Setup'!$B$10,IF(OR(MAX(AB499,AD499,AF499,AH499,AJ499)&lt;O499,AK499&lt;Q499-1),-'Setup'!$B$11,0))))</x:f>
        <x:v>0</x:v>
      </x:c>
      <x:c r="AU499" s="333" t="n">
        <x:f>IF(Z499=0,0,IF(AN499&lt;&gt;"Yes",Z499,IF(COUNT(AA499,AC499,AE499,AG499,AI499)=0,Z499,ROUND((MAX(AA499,AC499,AE499,AG499,AI499)*(1+AT499))/'Setup'!$B$9,0)*'Setup'!$B$9)))</x:f>
        <x:v>0</x:v>
      </x:c>
      <x:c r="AV499" s="336"/>
    </x:row>
    <x:row r="500">
      <x:c r="A500" s="310" t="n">
        <x:f>'Setup'!$B$3+(C500-1)*7+(D500-1)</x:f>
        <x:v>46305</x:v>
      </x:c>
      <x:c r="B500" s="311" t="str">
        <x:v>9|6|9</x:v>
      </x:c>
      <x:c r="C500" s="311" t="n">
        <x:v>9</x:v>
      </x:c>
      <x:c r="D500" s="311" t="n">
        <x:v>6</x:v>
      </x:c>
      <x:c r="E500" s="311" t="str">
        <x:v>Realization</x:v>
      </x:c>
      <x:c r="F500" s="311" t="str">
        <x:v>Athletic Full Body</x:v>
      </x:c>
      <x:c r="G500" s="311" t="str">
        <x:v>Speed, multidirectional power, conditioning</x:v>
      </x:c>
      <x:c r="H500" s="311" t="n">
        <x:v>9</x:v>
      </x:c>
      <x:c r="I500" s="311" t="str">
        <x:v>RowErg Sprint Intervals</x:v>
      </x:c>
      <x:c r="J500" s="311" t="str">
        <x:v>Athletic</x:v>
      </x:c>
      <x:c r="K500" s="311" t="str">
        <x:v>Full Body</x:v>
      </x:c>
      <x:c r="L500" s="311" t="str">
        <x:v>20 s hard / 70 s easy</x:v>
      </x:c>
      <x:c r="M500" s="311" t="str"/>
      <x:c r="N500" s="311" t="n">
        <x:v>6</x:v>
      </x:c>
      <x:c r="O500" s="311" t="n">
        <x:v>20</x:v>
      </x:c>
      <x:c r="P500" s="311" t="n">
        <x:v>20</x:v>
      </x:c>
      <x:c r="Q500" s="311" t="n">
        <x:v>3</x:v>
      </x:c>
      <x:c r="R500" s="311" t="n">
        <x:v>70</x:v>
      </x:c>
      <x:c r="S500" s="311" t="str">
        <x:v>Powerful</x:v>
      </x:c>
      <x:c r="T500" s="330" t="n">
        <x:v>1.11</x:v>
      </x:c>
      <x:c r="U500" s="330" t="n">
        <x:v>0</x:v>
      </x:c>
      <x:c r="V500" s="331" t="str">
        <x:v>watts / meters</x:v>
      </x:c>
      <x:c r="W500" s="332" t="str">
        <x:f>'Readiness'!K60</x:f>
      </x:c>
      <x:c r="X500" s="314" t="n">
        <x:f>'Readiness'!L60</x:f>
        <x:v>1</x:v>
      </x:c>
      <x:c r="Y500" s="315" t="n">
        <x:f>IF(J500="Mobility",N500,MAX(1,ROUND(N500*X500,0)))</x:f>
        <x:v>6</x:v>
      </x:c>
      <x:c r="Z500" s="333" t="n">
        <x:f>0</x:f>
        <x:v>0</x:v>
      </x:c>
      <x:c r="AA500" s="334"/>
      <x:c r="AB500" s="334"/>
      <x:c r="AC500" s="334"/>
      <x:c r="AD500" s="334"/>
      <x:c r="AE500" s="334"/>
      <x:c r="AF500" s="334"/>
      <x:c r="AG500" s="334"/>
      <x:c r="AH500" s="334"/>
      <x:c r="AI500" s="334"/>
      <x:c r="AJ500" s="312"/>
      <x:c r="AK500" s="312"/>
      <x:c r="AL500" s="312"/>
      <x:c r="AM500" s="312"/>
      <x:c r="AN500" s="312"/>
      <x:c r="AO500" s="315" t="n">
        <x:f>COUNT(AB500,AD500,AF500,AH500,AJ500)</x:f>
        <x:v>0</x:v>
      </x:c>
      <x:c r="AP500" s="315" t="n">
        <x:f>SUM(AB500,AD500,AF500,AH500,AJ500)</x:f>
        <x:v>0</x:v>
      </x:c>
      <x:c r="AQ500" s="333" t="n">
        <x:f>AA500*AB500+AC500*AD500+AE500*AF500+AG500*AH500+AI500*AJ500</x:f>
        <x:v>0</x:v>
      </x:c>
      <x:c r="AR500" s="333" t="n">
        <x:f>IF(OR(J500="Strength",J500="Hypertrophy"),MAX(IF(AB500&gt;0,AA500*(1+AB500/30),0),IF(AD500&gt;0,AC500*(1+AD500/30),0),IF(AF500&gt;0,AE500*(1+AF500/30),0),IF(AH500&gt;0,AG500*(1+AH500/30),0),IF(AJ500&gt;0,AI500*(1+AJ500/30),0)),0)</x:f>
        <x:v>0</x:v>
      </x:c>
      <x:c r="AS500" s="315" t="str">
        <x:f>IF(AN500&lt;&gt;"Yes","Not logged",IF(AL500&gt;='Setup'!$B$14,"STOP / MODIFY",IF(Z500=0,"Complete",IF(OR(AO500=0,AK500=""),"Add set data + RIR",IF(AND(MAX(AB500,AD500,AF500,AH500,AJ500)&gt;=P500,AK500&gt;=Q500+1),"Progress",IF(OR(MAX(AB500,AD500,AF500,AH500,AJ500)&lt;O500,AK500&lt;Q500-1),"Regress","Hold"))))))</x:f>
        <x:v>Not logged</x:v>
      </x:c>
      <x:c r="AT500" s="335" t="n">
        <x:f>IF(OR(Z500=0,AN500&lt;&gt;"Yes",AO500=0,AK500=""),0,IF(AL500&gt;='Setup'!$B$14,-2*'Setup'!$B$11,IF(AND(MAX(AB500,AD500,AF500,AH500,AJ500)&gt;=P500,AK500&gt;=Q500+1),'Setup'!$B$10,IF(OR(MAX(AB500,AD500,AF500,AH500,AJ500)&lt;O500,AK500&lt;Q500-1),-'Setup'!$B$11,0))))</x:f>
        <x:v>0</x:v>
      </x:c>
      <x:c r="AU500" s="333" t="n">
        <x:f>IF(Z500=0,0,IF(AN500&lt;&gt;"Yes",Z500,IF(COUNT(AA500,AC500,AE500,AG500,AI500)=0,Z500,ROUND((MAX(AA500,AC500,AE500,AG500,AI500)*(1+AT500))/'Setup'!$B$9,0)*'Setup'!$B$9)))</x:f>
        <x:v>0</x:v>
      </x:c>
      <x:c r="AV500" s="336"/>
    </x:row>
    <x:row r="501">
      <x:c r="A501" s="310" t="n">
        <x:f>'Setup'!$B$3+(C501-1)*7+(D501-1)</x:f>
        <x:v>46305</x:v>
      </x:c>
      <x:c r="B501" s="311" t="str">
        <x:v>9|6|10</x:v>
      </x:c>
      <x:c r="C501" s="311" t="n">
        <x:v>9</x:v>
      </x:c>
      <x:c r="D501" s="311" t="n">
        <x:v>6</x:v>
      </x:c>
      <x:c r="E501" s="311" t="str">
        <x:v>Realization</x:v>
      </x:c>
      <x:c r="F501" s="311" t="str">
        <x:v>Athletic Full Body</x:v>
      </x:c>
      <x:c r="G501" s="311" t="str">
        <x:v>Speed, multidirectional power, conditioning</x:v>
      </x:c>
      <x:c r="H501" s="311" t="n">
        <x:v>10</x:v>
      </x:c>
      <x:c r="I501" s="311" t="str">
        <x:v>Full-Body Mobility Flow</x:v>
      </x:c>
      <x:c r="J501" s="311" t="str">
        <x:v>Mobility</x:v>
      </x:c>
      <x:c r="K501" s="311" t="str">
        <x:v>Full Body</x:v>
      </x:c>
      <x:c r="L501" s="311" t="str">
        <x:v>Continuous nasal breathing</x:v>
      </x:c>
      <x:c r="M501" s="311" t="str"/>
      <x:c r="N501" s="311" t="n">
        <x:v>1</x:v>
      </x:c>
      <x:c r="O501" s="311" t="n">
        <x:v>8</x:v>
      </x:c>
      <x:c r="P501" s="311" t="n">
        <x:v>12</x:v>
      </x:c>
      <x:c r="Q501" s="311" t="str"/>
      <x:c r="R501" s="311" t="n">
        <x:v>0</x:v>
      </x:c>
      <x:c r="S501" s="311" t="str">
        <x:v>Easy</x:v>
      </x:c>
      <x:c r="T501" s="330" t="n">
        <x:v>1.11</x:v>
      </x:c>
      <x:c r="U501" s="330" t="n">
        <x:v>0</x:v>
      </x:c>
      <x:c r="V501" s="331" t="str">
        <x:v>minutes</x:v>
      </x:c>
      <x:c r="W501" s="332" t="str">
        <x:f>'Readiness'!K60</x:f>
      </x:c>
      <x:c r="X501" s="314" t="n">
        <x:f>'Readiness'!L60</x:f>
        <x:v>1</x:v>
      </x:c>
      <x:c r="Y501" s="315" t="n">
        <x:f>IF(J501="Mobility",N501,MAX(1,ROUND(N501*X501,0)))</x:f>
        <x:v>1</x:v>
      </x:c>
      <x:c r="Z501" s="333" t="n">
        <x:f>0</x:f>
        <x:v>0</x:v>
      </x:c>
      <x:c r="AA501" s="334"/>
      <x:c r="AB501" s="334"/>
      <x:c r="AC501" s="334"/>
      <x:c r="AD501" s="334"/>
      <x:c r="AE501" s="334"/>
      <x:c r="AF501" s="334"/>
      <x:c r="AG501" s="334"/>
      <x:c r="AH501" s="334"/>
      <x:c r="AI501" s="334"/>
      <x:c r="AJ501" s="312"/>
      <x:c r="AK501" s="312"/>
      <x:c r="AL501" s="312"/>
      <x:c r="AM501" s="312"/>
      <x:c r="AN501" s="312"/>
      <x:c r="AO501" s="315" t="n">
        <x:f>COUNT(AB501,AD501,AF501,AH501,AJ501)</x:f>
        <x:v>0</x:v>
      </x:c>
      <x:c r="AP501" s="315" t="n">
        <x:f>SUM(AB501,AD501,AF501,AH501,AJ501)</x:f>
        <x:v>0</x:v>
      </x:c>
      <x:c r="AQ501" s="333" t="n">
        <x:f>AA501*AB501+AC501*AD501+AE501*AF501+AG501*AH501+AI501*AJ501</x:f>
        <x:v>0</x:v>
      </x:c>
      <x:c r="AR501" s="333" t="n">
        <x:f>IF(OR(J501="Strength",J501="Hypertrophy"),MAX(IF(AB501&gt;0,AA501*(1+AB501/30),0),IF(AD501&gt;0,AC501*(1+AD501/30),0),IF(AF501&gt;0,AE501*(1+AF501/30),0),IF(AH501&gt;0,AG501*(1+AH501/30),0),IF(AJ501&gt;0,AI501*(1+AJ501/30),0)),0)</x:f>
        <x:v>0</x:v>
      </x:c>
      <x:c r="AS501" s="315" t="str">
        <x:f>IF(AN501&lt;&gt;"Yes","Not logged",IF(AL501&gt;='Setup'!$B$14,"STOP / MODIFY",IF(Z501=0,"Complete",IF(OR(AO501=0,AK501=""),"Add set data + RIR",IF(AND(MAX(AB501,AD501,AF501,AH501,AJ501)&gt;=P501,AK501&gt;=Q501+1),"Progress",IF(OR(MAX(AB501,AD501,AF501,AH501,AJ501)&lt;O501,AK501&lt;Q501-1),"Regress","Hold"))))))</x:f>
        <x:v>Not logged</x:v>
      </x:c>
      <x:c r="AT501" s="335" t="n">
        <x:f>IF(OR(Z501=0,AN501&lt;&gt;"Yes",AO501=0,AK501=""),0,IF(AL501&gt;='Setup'!$B$14,-2*'Setup'!$B$11,IF(AND(MAX(AB501,AD501,AF501,AH501,AJ501)&gt;=P501,AK501&gt;=Q501+1),'Setup'!$B$10,IF(OR(MAX(AB501,AD501,AF501,AH501,AJ501)&lt;O501,AK501&lt;Q501-1),-'Setup'!$B$11,0))))</x:f>
        <x:v>0</x:v>
      </x:c>
      <x:c r="AU501" s="333" t="n">
        <x:f>IF(Z501=0,0,IF(AN501&lt;&gt;"Yes",Z501,IF(COUNT(AA501,AC501,AE501,AG501,AI501)=0,Z501,ROUND((MAX(AA501,AC501,AE501,AG501,AI501)*(1+AT501))/'Setup'!$B$9,0)*'Setup'!$B$9)))</x:f>
        <x:v>0</x:v>
      </x:c>
      <x:c r="AV501" s="336"/>
    </x:row>
    <x:row r="502">
      <x:c r="A502" s="310" t="n">
        <x:f>'Setup'!$B$3+(C502-1)*7+(D502-1)</x:f>
        <x:v>46307</x:v>
      </x:c>
      <x:c r="B502" s="311" t="str">
        <x:v>10|1|1</x:v>
      </x:c>
      <x:c r="C502" s="311" t="n">
        <x:v>10</x:v>
      </x:c>
      <x:c r="D502" s="311" t="n">
        <x:v>1</x:v>
      </x:c>
      <x:c r="E502" s="311" t="str">
        <x:v>Realization</x:v>
      </x:c>
      <x:c r="F502" s="311" t="str">
        <x:v>Lower Power + Squat</x:v>
      </x:c>
      <x:c r="G502" s="311" t="str">
        <x:v>Squat strength and reactive power</x:v>
      </x:c>
      <x:c r="H502" s="311" t="n">
        <x:v>1</x:v>
      </x:c>
      <x:c r="I502" s="311" t="str">
        <x:v>Pogo Jump</x:v>
      </x:c>
      <x:c r="J502" s="311" t="str">
        <x:v>Power</x:v>
      </x:c>
      <x:c r="K502" s="311" t="str">
        <x:v>Calves</x:v>
      </x:c>
      <x:c r="L502" s="311" t="str">
        <x:v>Stiff, quick contacts</x:v>
      </x:c>
      <x:c r="M502" s="311" t="str"/>
      <x:c r="N502" s="311" t="n">
        <x:v>3</x:v>
      </x:c>
      <x:c r="O502" s="311" t="n">
        <x:v>15</x:v>
      </x:c>
      <x:c r="P502" s="311" t="n">
        <x:v>20</x:v>
      </x:c>
      <x:c r="Q502" s="311" t="n">
        <x:v>2</x:v>
      </x:c>
      <x:c r="R502" s="311" t="n">
        <x:v>45</x:v>
      </x:c>
      <x:c r="S502" s="311" t="str">
        <x:v>Explosive</x:v>
      </x:c>
      <x:c r="T502" s="330" t="n">
        <x:v>1</x:v>
      </x:c>
      <x:c r="U502" s="330" t="n">
        <x:v>0</x:v>
      </x:c>
      <x:c r="V502" s="331" t="str">
        <x:v>contacts</x:v>
      </x:c>
      <x:c r="W502" s="332" t="str">
        <x:f>'Readiness'!K61</x:f>
      </x:c>
      <x:c r="X502" s="314" t="n">
        <x:f>'Readiness'!L61</x:f>
        <x:v>1</x:v>
      </x:c>
      <x:c r="Y502" s="315" t="n">
        <x:f>IF(J502="Mobility",N502,MAX(1,ROUND(N502*X502,0)))</x:f>
        <x:v>3</x:v>
      </x:c>
      <x:c r="Z502" s="333" t="n">
        <x:f>0</x:f>
        <x:v>0</x:v>
      </x:c>
      <x:c r="AA502" s="334"/>
      <x:c r="AB502" s="334"/>
      <x:c r="AC502" s="334"/>
      <x:c r="AD502" s="334"/>
      <x:c r="AE502" s="334"/>
      <x:c r="AF502" s="334"/>
      <x:c r="AG502" s="334"/>
      <x:c r="AH502" s="334"/>
      <x:c r="AI502" s="334"/>
      <x:c r="AJ502" s="312"/>
      <x:c r="AK502" s="312"/>
      <x:c r="AL502" s="312"/>
      <x:c r="AM502" s="312"/>
      <x:c r="AN502" s="312"/>
      <x:c r="AO502" s="315" t="n">
        <x:f>COUNT(AB502,AD502,AF502,AH502,AJ502)</x:f>
        <x:v>0</x:v>
      </x:c>
      <x:c r="AP502" s="315" t="n">
        <x:f>SUM(AB502,AD502,AF502,AH502,AJ502)</x:f>
        <x:v>0</x:v>
      </x:c>
      <x:c r="AQ502" s="333" t="n">
        <x:f>AA502*AB502+AC502*AD502+AE502*AF502+AG502*AH502+AI502*AJ502</x:f>
        <x:v>0</x:v>
      </x:c>
      <x:c r="AR502" s="333" t="n">
        <x:f>IF(OR(J502="Strength",J502="Hypertrophy"),MAX(IF(AB502&gt;0,AA502*(1+AB502/30),0),IF(AD502&gt;0,AC502*(1+AD502/30),0),IF(AF502&gt;0,AE502*(1+AF502/30),0),IF(AH502&gt;0,AG502*(1+AH502/30),0),IF(AJ502&gt;0,AI502*(1+AJ502/30),0)),0)</x:f>
        <x:v>0</x:v>
      </x:c>
      <x:c r="AS502" s="315" t="str">
        <x:f>IF(AN502&lt;&gt;"Yes","Not logged",IF(AL502&gt;='Setup'!$B$14,"STOP / MODIFY",IF(Z502=0,"Complete",IF(OR(AO502=0,AK502=""),"Add set data + RIR",IF(AND(MAX(AB502,AD502,AF502,AH502,AJ502)&gt;=P502,AK502&gt;=Q502+1),"Progress",IF(OR(MAX(AB502,AD502,AF502,AH502,AJ502)&lt;O502,AK502&lt;Q502-1),"Regress","Hold"))))))</x:f>
        <x:v>Not logged</x:v>
      </x:c>
      <x:c r="AT502" s="335" t="n">
        <x:f>IF(OR(Z502=0,AN502&lt;&gt;"Yes",AO502=0,AK502=""),0,IF(AL502&gt;='Setup'!$B$14,-2*'Setup'!$B$11,IF(AND(MAX(AB502,AD502,AF502,AH502,AJ502)&gt;=P502,AK502&gt;=Q502+1),'Setup'!$B$10,IF(OR(MAX(AB502,AD502,AF502,AH502,AJ502)&lt;O502,AK502&lt;Q502-1),-'Setup'!$B$11,0))))</x:f>
        <x:v>0</x:v>
      </x:c>
      <x:c r="AU502" s="333" t="n">
        <x:f>IF(Z502=0,0,IF(AN502&lt;&gt;"Yes",Z502,IF(COUNT(AA502,AC502,AE502,AG502,AI502)=0,Z502,ROUND((MAX(AA502,AC502,AE502,AG502,AI502)*(1+AT502))/'Setup'!$B$9,0)*'Setup'!$B$9)))</x:f>
        <x:v>0</x:v>
      </x:c>
      <x:c r="AV502" s="336"/>
    </x:row>
    <x:row r="503">
      <x:c r="A503" s="310" t="n">
        <x:f>'Setup'!$B$3+(C503-1)*7+(D503-1)</x:f>
        <x:v>46307</x:v>
      </x:c>
      <x:c r="B503" s="311" t="str">
        <x:v>10|1|2</x:v>
      </x:c>
      <x:c r="C503" s="311" t="n">
        <x:v>10</x:v>
      </x:c>
      <x:c r="D503" s="311" t="n">
        <x:v>1</x:v>
      </x:c>
      <x:c r="E503" s="311" t="str">
        <x:v>Realization</x:v>
      </x:c>
      <x:c r="F503" s="311" t="str">
        <x:v>Lower Power + Squat</x:v>
      </x:c>
      <x:c r="G503" s="311" t="str">
        <x:v>Squat strength and reactive power</x:v>
      </x:c>
      <x:c r="H503" s="311" t="n">
        <x:v>2</x:v>
      </x:c>
      <x:c r="I503" s="311" t="str">
        <x:v>Box Jump</x:v>
      </x:c>
      <x:c r="J503" s="311" t="str">
        <x:v>Power</x:v>
      </x:c>
      <x:c r="K503" s="311" t="str">
        <x:v>Quads</x:v>
      </x:c>
      <x:c r="L503" s="311" t="str">
        <x:v>Full reset, stop if height drops</x:v>
      </x:c>
      <x:c r="M503" s="311" t="str"/>
      <x:c r="N503" s="311" t="n">
        <x:v>4</x:v>
      </x:c>
      <x:c r="O503" s="311" t="n">
        <x:v>3</x:v>
      </x:c>
      <x:c r="P503" s="311" t="n">
        <x:v>3</x:v>
      </x:c>
      <x:c r="Q503" s="311" t="n">
        <x:v>2</x:v>
      </x:c>
      <x:c r="R503" s="311" t="n">
        <x:v>75</x:v>
      </x:c>
      <x:c r="S503" s="311" t="str">
        <x:v>Explosive</x:v>
      </x:c>
      <x:c r="T503" s="330" t="n">
        <x:v>1</x:v>
      </x:c>
      <x:c r="U503" s="330" t="n">
        <x:v>0</x:v>
      </x:c>
      <x:c r="V503" s="331" t="str">
        <x:v>height</x:v>
      </x:c>
      <x:c r="W503" s="332" t="str">
        <x:f>'Readiness'!K61</x:f>
      </x:c>
      <x:c r="X503" s="314" t="n">
        <x:f>'Readiness'!L61</x:f>
        <x:v>1</x:v>
      </x:c>
      <x:c r="Y503" s="315" t="n">
        <x:f>IF(J503="Mobility",N503,MAX(1,ROUND(N503*X503,0)))</x:f>
        <x:v>4</x:v>
      </x:c>
      <x:c r="Z503" s="333" t="n">
        <x:f>0</x:f>
        <x:v>0</x:v>
      </x:c>
      <x:c r="AA503" s="334"/>
      <x:c r="AB503" s="334"/>
      <x:c r="AC503" s="334"/>
      <x:c r="AD503" s="334"/>
      <x:c r="AE503" s="334"/>
      <x:c r="AF503" s="334"/>
      <x:c r="AG503" s="334"/>
      <x:c r="AH503" s="334"/>
      <x:c r="AI503" s="334"/>
      <x:c r="AJ503" s="312"/>
      <x:c r="AK503" s="312"/>
      <x:c r="AL503" s="312"/>
      <x:c r="AM503" s="312"/>
      <x:c r="AN503" s="312"/>
      <x:c r="AO503" s="315" t="n">
        <x:f>COUNT(AB503,AD503,AF503,AH503,AJ503)</x:f>
        <x:v>0</x:v>
      </x:c>
      <x:c r="AP503" s="315" t="n">
        <x:f>SUM(AB503,AD503,AF503,AH503,AJ503)</x:f>
        <x:v>0</x:v>
      </x:c>
      <x:c r="AQ503" s="333" t="n">
        <x:f>AA503*AB503+AC503*AD503+AE503*AF503+AG503*AH503+AI503*AJ503</x:f>
        <x:v>0</x:v>
      </x:c>
      <x:c r="AR503" s="333" t="n">
        <x:f>IF(OR(J503="Strength",J503="Hypertrophy"),MAX(IF(AB503&gt;0,AA503*(1+AB503/30),0),IF(AD503&gt;0,AC503*(1+AD503/30),0),IF(AF503&gt;0,AE503*(1+AF503/30),0),IF(AH503&gt;0,AG503*(1+AH503/30),0),IF(AJ503&gt;0,AI503*(1+AJ503/30),0)),0)</x:f>
        <x:v>0</x:v>
      </x:c>
      <x:c r="AS503" s="315" t="str">
        <x:f>IF(AN503&lt;&gt;"Yes","Not logged",IF(AL503&gt;='Setup'!$B$14,"STOP / MODIFY",IF(Z503=0,"Complete",IF(OR(AO503=0,AK503=""),"Add set data + RIR",IF(AND(MAX(AB503,AD503,AF503,AH503,AJ503)&gt;=P503,AK503&gt;=Q503+1),"Progress",IF(OR(MAX(AB503,AD503,AF503,AH503,AJ503)&lt;O503,AK503&lt;Q503-1),"Regress","Hold"))))))</x:f>
        <x:v>Not logged</x:v>
      </x:c>
      <x:c r="AT503" s="335" t="n">
        <x:f>IF(OR(Z503=0,AN503&lt;&gt;"Yes",AO503=0,AK503=""),0,IF(AL503&gt;='Setup'!$B$14,-2*'Setup'!$B$11,IF(AND(MAX(AB503,AD503,AF503,AH503,AJ503)&gt;=P503,AK503&gt;=Q503+1),'Setup'!$B$10,IF(OR(MAX(AB503,AD503,AF503,AH503,AJ503)&lt;O503,AK503&lt;Q503-1),-'Setup'!$B$11,0))))</x:f>
        <x:v>0</x:v>
      </x:c>
      <x:c r="AU503" s="333" t="n">
        <x:f>IF(Z503=0,0,IF(AN503&lt;&gt;"Yes",Z503,IF(COUNT(AA503,AC503,AE503,AG503,AI503)=0,Z503,ROUND((MAX(AA503,AC503,AE503,AG503,AI503)*(1+AT503))/'Setup'!$B$9,0)*'Setup'!$B$9)))</x:f>
        <x:v>0</x:v>
      </x:c>
      <x:c r="AV503" s="336"/>
    </x:row>
    <x:row r="504">
      <x:c r="A504" s="310" t="n">
        <x:f>'Setup'!$B$3+(C504-1)*7+(D504-1)</x:f>
        <x:v>46307</x:v>
      </x:c>
      <x:c r="B504" s="311" t="str">
        <x:v>10|1|3</x:v>
      </x:c>
      <x:c r="C504" s="311" t="n">
        <x:v>10</x:v>
      </x:c>
      <x:c r="D504" s="311" t="n">
        <x:v>1</x:v>
      </x:c>
      <x:c r="E504" s="311" t="str">
        <x:v>Realization</x:v>
      </x:c>
      <x:c r="F504" s="311" t="str">
        <x:v>Lower Power + Squat</x:v>
      </x:c>
      <x:c r="G504" s="311" t="str">
        <x:v>Squat strength and reactive power</x:v>
      </x:c>
      <x:c r="H504" s="311" t="n">
        <x:v>3</x:v>
      </x:c>
      <x:c r="I504" s="311" t="str">
        <x:v>Back Squat</x:v>
      </x:c>
      <x:c r="J504" s="311" t="str">
        <x:v>Strength</x:v>
      </x:c>
      <x:c r="K504" s="311" t="str">
        <x:v>Quads</x:v>
      </x:c>
      <x:c r="L504" s="311" t="str">
        <x:v>Top set + back-offs</x:v>
      </x:c>
      <x:c r="M504" s="311" t="str"/>
      <x:c r="N504" s="311" t="n">
        <x:v>4</x:v>
      </x:c>
      <x:c r="O504" s="311" t="n">
        <x:v>3</x:v>
      </x:c>
      <x:c r="P504" s="311" t="n">
        <x:v>5</x:v>
      </x:c>
      <x:c r="Q504" s="311" t="n">
        <x:v>2</x:v>
      </x:c>
      <x:c r="R504" s="311" t="n">
        <x:v>180</x:v>
      </x:c>
      <x:c r="S504" s="311" t="str">
        <x:v>3-1-X</x:v>
      </x:c>
      <x:c r="T504" s="330" t="n">
        <x:v>1</x:v>
      </x:c>
      <x:c r="U504" s="330" t="n">
        <x:v>0.82</x:v>
      </x:c>
      <x:c r="V504" s="331" t="str">
        <x:v>load × reps</x:v>
      </x:c>
      <x:c r="W504" s="332" t="str">
        <x:f>'Readiness'!K61</x:f>
      </x:c>
      <x:c r="X504" s="314" t="n">
        <x:f>'Readiness'!L61</x:f>
        <x:v>1</x:v>
      </x:c>
      <x:c r="Y504" s="315" t="n">
        <x:f>IF(J504="Mobility",N504,MAX(1,ROUND(N504*X504,0)))</x:f>
        <x:v>4</x:v>
      </x:c>
      <x:c r="Z504" s="333" t="n">
        <x:f>ROUND((IF(AU448&gt;0,AU448,IF(Z448&gt;0,Z448,'Setup'!$D$23))*T504)/'Setup'!$B$9,0)*'Setup'!$B$9</x:f>
        <x:v>0</x:v>
      </x:c>
      <x:c r="AA504" s="334"/>
      <x:c r="AB504" s="334"/>
      <x:c r="AC504" s="334"/>
      <x:c r="AD504" s="334"/>
      <x:c r="AE504" s="334"/>
      <x:c r="AF504" s="334"/>
      <x:c r="AG504" s="334"/>
      <x:c r="AH504" s="334"/>
      <x:c r="AI504" s="334"/>
      <x:c r="AJ504" s="312"/>
      <x:c r="AK504" s="312"/>
      <x:c r="AL504" s="312"/>
      <x:c r="AM504" s="312"/>
      <x:c r="AN504" s="312"/>
      <x:c r="AO504" s="315" t="n">
        <x:f>COUNT(AB504,AD504,AF504,AH504,AJ504)</x:f>
        <x:v>0</x:v>
      </x:c>
      <x:c r="AP504" s="315" t="n">
        <x:f>SUM(AB504,AD504,AF504,AH504,AJ504)</x:f>
        <x:v>0</x:v>
      </x:c>
      <x:c r="AQ504" s="333" t="n">
        <x:f>AA504*AB504+AC504*AD504+AE504*AF504+AG504*AH504+AI504*AJ504</x:f>
        <x:v>0</x:v>
      </x:c>
      <x:c r="AR504" s="333" t="n">
        <x:f>IF(OR(J504="Strength",J504="Hypertrophy"),MAX(IF(AB504&gt;0,AA504*(1+AB504/30),0),IF(AD504&gt;0,AC504*(1+AD504/30),0),IF(AF504&gt;0,AE504*(1+AF504/30),0),IF(AH504&gt;0,AG504*(1+AH504/30),0),IF(AJ504&gt;0,AI504*(1+AJ504/30),0)),0)</x:f>
        <x:v>0</x:v>
      </x:c>
      <x:c r="AS504" s="315" t="str">
        <x:f>IF(AN504&lt;&gt;"Yes","Not logged",IF(AL504&gt;='Setup'!$B$14,"STOP / MODIFY",IF(Z504=0,"Complete",IF(OR(AO504=0,AK504=""),"Add set data + RIR",IF(AND(MAX(AB504,AD504,AF504,AH504,AJ504)&gt;=P504,AK504&gt;=Q504+1),"Progress",IF(OR(MAX(AB504,AD504,AF504,AH504,AJ504)&lt;O504,AK504&lt;Q504-1),"Regress","Hold"))))))</x:f>
        <x:v>Not logged</x:v>
      </x:c>
      <x:c r="AT504" s="335" t="n">
        <x:f>IF(OR(Z504=0,AN504&lt;&gt;"Yes",AO504=0,AK504=""),0,IF(AL504&gt;='Setup'!$B$14,-2*'Setup'!$B$11,IF(AND(MAX(AB504,AD504,AF504,AH504,AJ504)&gt;=P504,AK504&gt;=Q504+1),'Setup'!$B$10,IF(OR(MAX(AB504,AD504,AF504,AH504,AJ504)&lt;O504,AK504&lt;Q504-1),-'Setup'!$B$11,0))))</x:f>
        <x:v>0</x:v>
      </x:c>
      <x:c r="AU504" s="333" t="n">
        <x:f>IF(Z504=0,0,IF(AN504&lt;&gt;"Yes",Z504,IF(COUNT(AA504,AC504,AE504,AG504,AI504)=0,Z504,ROUND((MAX(AA504,AC504,AE504,AG504,AI504)*(1+AT504))/'Setup'!$B$9,0)*'Setup'!$B$9)))</x:f>
        <x:v>0</x:v>
      </x:c>
      <x:c r="AV504" s="336"/>
    </x:row>
    <x:row r="505">
      <x:c r="A505" s="310" t="n">
        <x:f>'Setup'!$B$3+(C505-1)*7+(D505-1)</x:f>
        <x:v>46307</x:v>
      </x:c>
      <x:c r="B505" s="311" t="str">
        <x:v>10|1|4</x:v>
      </x:c>
      <x:c r="C505" s="311" t="n">
        <x:v>10</x:v>
      </x:c>
      <x:c r="D505" s="311" t="n">
        <x:v>1</x:v>
      </x:c>
      <x:c r="E505" s="311" t="str">
        <x:v>Realization</x:v>
      </x:c>
      <x:c r="F505" s="311" t="str">
        <x:v>Lower Power + Squat</x:v>
      </x:c>
      <x:c r="G505" s="311" t="str">
        <x:v>Squat strength and reactive power</x:v>
      </x:c>
      <x:c r="H505" s="311" t="n">
        <x:v>4</x:v>
      </x:c>
      <x:c r="I505" s="311" t="str">
        <x:v>Pause Squat</x:v>
      </x:c>
      <x:c r="J505" s="311" t="str">
        <x:v>Strength</x:v>
      </x:c>
      <x:c r="K505" s="311" t="str">
        <x:v>Quads</x:v>
      </x:c>
      <x:c r="L505" s="311" t="str">
        <x:v>Straight sets</x:v>
      </x:c>
      <x:c r="M505" s="311" t="str"/>
      <x:c r="N505" s="311" t="n">
        <x:v>3</x:v>
      </x:c>
      <x:c r="O505" s="311" t="n">
        <x:v>4</x:v>
      </x:c>
      <x:c r="P505" s="311" t="n">
        <x:v>6</x:v>
      </x:c>
      <x:c r="Q505" s="311" t="n">
        <x:v>2</x:v>
      </x:c>
      <x:c r="R505" s="311" t="n">
        <x:v>150</x:v>
      </x:c>
      <x:c r="S505" s="311" t="str">
        <x:v>3-2-X</x:v>
      </x:c>
      <x:c r="T505" s="330" t="n">
        <x:v>1</x:v>
      </x:c>
      <x:c r="U505" s="330" t="n">
        <x:v>0.66</x:v>
      </x:c>
      <x:c r="V505" s="331" t="str">
        <x:v>load × reps</x:v>
      </x:c>
      <x:c r="W505" s="332" t="str">
        <x:f>'Readiness'!K61</x:f>
      </x:c>
      <x:c r="X505" s="314" t="n">
        <x:f>'Readiness'!L61</x:f>
        <x:v>1</x:v>
      </x:c>
      <x:c r="Y505" s="315" t="n">
        <x:f>IF(J505="Mobility",N505,MAX(1,ROUND(N505*X505,0)))</x:f>
        <x:v>3</x:v>
      </x:c>
      <x:c r="Z505" s="333" t="n">
        <x:f>ROUND((IF(AU449&gt;0,AU449,IF(Z449&gt;0,Z449,'Setup'!$D$73))*T505)/'Setup'!$B$9,0)*'Setup'!$B$9</x:f>
        <x:v>0</x:v>
      </x:c>
      <x:c r="AA505" s="334"/>
      <x:c r="AB505" s="334"/>
      <x:c r="AC505" s="334"/>
      <x:c r="AD505" s="334"/>
      <x:c r="AE505" s="334"/>
      <x:c r="AF505" s="334"/>
      <x:c r="AG505" s="334"/>
      <x:c r="AH505" s="334"/>
      <x:c r="AI505" s="334"/>
      <x:c r="AJ505" s="312"/>
      <x:c r="AK505" s="312"/>
      <x:c r="AL505" s="312"/>
      <x:c r="AM505" s="312"/>
      <x:c r="AN505" s="312"/>
      <x:c r="AO505" s="315" t="n">
        <x:f>COUNT(AB505,AD505,AF505,AH505,AJ505)</x:f>
        <x:v>0</x:v>
      </x:c>
      <x:c r="AP505" s="315" t="n">
        <x:f>SUM(AB505,AD505,AF505,AH505,AJ505)</x:f>
        <x:v>0</x:v>
      </x:c>
      <x:c r="AQ505" s="333" t="n">
        <x:f>AA505*AB505+AC505*AD505+AE505*AF505+AG505*AH505+AI505*AJ505</x:f>
        <x:v>0</x:v>
      </x:c>
      <x:c r="AR505" s="333" t="n">
        <x:f>IF(OR(J505="Strength",J505="Hypertrophy"),MAX(IF(AB505&gt;0,AA505*(1+AB505/30),0),IF(AD505&gt;0,AC505*(1+AD505/30),0),IF(AF505&gt;0,AE505*(1+AF505/30),0),IF(AH505&gt;0,AG505*(1+AH505/30),0),IF(AJ505&gt;0,AI505*(1+AJ505/30),0)),0)</x:f>
        <x:v>0</x:v>
      </x:c>
      <x:c r="AS505" s="315" t="str">
        <x:f>IF(AN505&lt;&gt;"Yes","Not logged",IF(AL505&gt;='Setup'!$B$14,"STOP / MODIFY",IF(Z505=0,"Complete",IF(OR(AO505=0,AK505=""),"Add set data + RIR",IF(AND(MAX(AB505,AD505,AF505,AH505,AJ505)&gt;=P505,AK505&gt;=Q505+1),"Progress",IF(OR(MAX(AB505,AD505,AF505,AH505,AJ505)&lt;O505,AK505&lt;Q505-1),"Regress","Hold"))))))</x:f>
        <x:v>Not logged</x:v>
      </x:c>
      <x:c r="AT505" s="335" t="n">
        <x:f>IF(OR(Z505=0,AN505&lt;&gt;"Yes",AO505=0,AK505=""),0,IF(AL505&gt;='Setup'!$B$14,-2*'Setup'!$B$11,IF(AND(MAX(AB505,AD505,AF505,AH505,AJ505)&gt;=P505,AK505&gt;=Q505+1),'Setup'!$B$10,IF(OR(MAX(AB505,AD505,AF505,AH505,AJ505)&lt;O505,AK505&lt;Q505-1),-'Setup'!$B$11,0))))</x:f>
        <x:v>0</x:v>
      </x:c>
      <x:c r="AU505" s="333" t="n">
        <x:f>IF(Z505=0,0,IF(AN505&lt;&gt;"Yes",Z505,IF(COUNT(AA505,AC505,AE505,AG505,AI505)=0,Z505,ROUND((MAX(AA505,AC505,AE505,AG505,AI505)*(1+AT505))/'Setup'!$B$9,0)*'Setup'!$B$9)))</x:f>
        <x:v>0</x:v>
      </x:c>
      <x:c r="AV505" s="336"/>
    </x:row>
    <x:row r="506">
      <x:c r="A506" s="310" t="n">
        <x:f>'Setup'!$B$3+(C506-1)*7+(D506-1)</x:f>
        <x:v>46307</x:v>
      </x:c>
      <x:c r="B506" s="311" t="str">
        <x:v>10|1|5</x:v>
      </x:c>
      <x:c r="C506" s="311" t="n">
        <x:v>10</x:v>
      </x:c>
      <x:c r="D506" s="311" t="n">
        <x:v>1</x:v>
      </x:c>
      <x:c r="E506" s="311" t="str">
        <x:v>Realization</x:v>
      </x:c>
      <x:c r="F506" s="311" t="str">
        <x:v>Lower Power + Squat</x:v>
      </x:c>
      <x:c r="G506" s="311" t="str">
        <x:v>Squat strength and reactive power</x:v>
      </x:c>
      <x:c r="H506" s="311" t="n">
        <x:v>5</x:v>
      </x:c>
      <x:c r="I506" s="311" t="str">
        <x:v>Romanian Deadlift</x:v>
      </x:c>
      <x:c r="J506" s="311" t="str">
        <x:v>Strength</x:v>
      </x:c>
      <x:c r="K506" s="311" t="str">
        <x:v>Hamstrings</x:v>
      </x:c>
      <x:c r="L506" s="311" t="str">
        <x:v>Straight sets</x:v>
      </x:c>
      <x:c r="M506" s="311" t="str"/>
      <x:c r="N506" s="311" t="n">
        <x:v>3</x:v>
      </x:c>
      <x:c r="O506" s="311" t="n">
        <x:v>6</x:v>
      </x:c>
      <x:c r="P506" s="311" t="n">
        <x:v>8</x:v>
      </x:c>
      <x:c r="Q506" s="311" t="n">
        <x:v>2</x:v>
      </x:c>
      <x:c r="R506" s="311" t="n">
        <x:v>120</x:v>
      </x:c>
      <x:c r="S506" s="311" t="str">
        <x:v>3-1-1</x:v>
      </x:c>
      <x:c r="T506" s="330" t="n">
        <x:v>1</x:v>
      </x:c>
      <x:c r="U506" s="330" t="n">
        <x:v>0.62</x:v>
      </x:c>
      <x:c r="V506" s="331" t="str">
        <x:v>load × reps</x:v>
      </x:c>
      <x:c r="W506" s="332" t="str">
        <x:f>'Readiness'!K61</x:f>
      </x:c>
      <x:c r="X506" s="314" t="n">
        <x:f>'Readiness'!L61</x:f>
        <x:v>1</x:v>
      </x:c>
      <x:c r="Y506" s="315" t="n">
        <x:f>IF(J506="Mobility",N506,MAX(1,ROUND(N506*X506,0)))</x:f>
        <x:v>3</x:v>
      </x:c>
      <x:c r="Z506" s="333" t="n">
        <x:f>ROUND((IF(AU450&gt;0,AU450,IF(Z450&gt;0,Z450,'Setup'!$D$79))*T506)/'Setup'!$B$9,0)*'Setup'!$B$9</x:f>
        <x:v>0</x:v>
      </x:c>
      <x:c r="AA506" s="334"/>
      <x:c r="AB506" s="334"/>
      <x:c r="AC506" s="334"/>
      <x:c r="AD506" s="334"/>
      <x:c r="AE506" s="334"/>
      <x:c r="AF506" s="334"/>
      <x:c r="AG506" s="334"/>
      <x:c r="AH506" s="334"/>
      <x:c r="AI506" s="334"/>
      <x:c r="AJ506" s="312"/>
      <x:c r="AK506" s="312"/>
      <x:c r="AL506" s="312"/>
      <x:c r="AM506" s="312"/>
      <x:c r="AN506" s="312"/>
      <x:c r="AO506" s="315" t="n">
        <x:f>COUNT(AB506,AD506,AF506,AH506,AJ506)</x:f>
        <x:v>0</x:v>
      </x:c>
      <x:c r="AP506" s="315" t="n">
        <x:f>SUM(AB506,AD506,AF506,AH506,AJ506)</x:f>
        <x:v>0</x:v>
      </x:c>
      <x:c r="AQ506" s="333" t="n">
        <x:f>AA506*AB506+AC506*AD506+AE506*AF506+AG506*AH506+AI506*AJ506</x:f>
        <x:v>0</x:v>
      </x:c>
      <x:c r="AR506" s="333" t="n">
        <x:f>IF(OR(J506="Strength",J506="Hypertrophy"),MAX(IF(AB506&gt;0,AA506*(1+AB506/30),0),IF(AD506&gt;0,AC506*(1+AD506/30),0),IF(AF506&gt;0,AE506*(1+AF506/30),0),IF(AH506&gt;0,AG506*(1+AH506/30),0),IF(AJ506&gt;0,AI506*(1+AJ506/30),0)),0)</x:f>
        <x:v>0</x:v>
      </x:c>
      <x:c r="AS506" s="315" t="str">
        <x:f>IF(AN506&lt;&gt;"Yes","Not logged",IF(AL506&gt;='Setup'!$B$14,"STOP / MODIFY",IF(Z506=0,"Complete",IF(OR(AO506=0,AK506=""),"Add set data + RIR",IF(AND(MAX(AB506,AD506,AF506,AH506,AJ506)&gt;=P506,AK506&gt;=Q506+1),"Progress",IF(OR(MAX(AB506,AD506,AF506,AH506,AJ506)&lt;O506,AK506&lt;Q506-1),"Regress","Hold"))))))</x:f>
        <x:v>Not logged</x:v>
      </x:c>
      <x:c r="AT506" s="335" t="n">
        <x:f>IF(OR(Z506=0,AN506&lt;&gt;"Yes",AO506=0,AK506=""),0,IF(AL506&gt;='Setup'!$B$14,-2*'Setup'!$B$11,IF(AND(MAX(AB506,AD506,AF506,AH506,AJ506)&gt;=P506,AK506&gt;=Q506+1),'Setup'!$B$10,IF(OR(MAX(AB506,AD506,AF506,AH506,AJ506)&lt;O506,AK506&lt;Q506-1),-'Setup'!$B$11,0))))</x:f>
        <x:v>0</x:v>
      </x:c>
      <x:c r="AU506" s="333" t="n">
        <x:f>IF(Z506=0,0,IF(AN506&lt;&gt;"Yes",Z506,IF(COUNT(AA506,AC506,AE506,AG506,AI506)=0,Z506,ROUND((MAX(AA506,AC506,AE506,AG506,AI506)*(1+AT506))/'Setup'!$B$9,0)*'Setup'!$B$9)))</x:f>
        <x:v>0</x:v>
      </x:c>
      <x:c r="AV506" s="336"/>
    </x:row>
    <x:row r="507">
      <x:c r="A507" s="310" t="n">
        <x:f>'Setup'!$B$3+(C507-1)*7+(D507-1)</x:f>
        <x:v>46307</x:v>
      </x:c>
      <x:c r="B507" s="311" t="str">
        <x:v>10|1|6</x:v>
      </x:c>
      <x:c r="C507" s="311" t="n">
        <x:v>10</x:v>
      </x:c>
      <x:c r="D507" s="311" t="n">
        <x:v>1</x:v>
      </x:c>
      <x:c r="E507" s="311" t="str">
        <x:v>Realization</x:v>
      </x:c>
      <x:c r="F507" s="311" t="str">
        <x:v>Lower Power + Squat</x:v>
      </x:c>
      <x:c r="G507" s="311" t="str">
        <x:v>Squat strength and reactive power</x:v>
      </x:c>
      <x:c r="H507" s="311" t="n">
        <x:v>6</x:v>
      </x:c>
      <x:c r="I507" s="311" t="str">
        <x:v>Bulgarian Split Squat</x:v>
      </x:c>
      <x:c r="J507" s="311" t="str">
        <x:v>Hypertrophy</x:v>
      </x:c>
      <x:c r="K507" s="311" t="str">
        <x:v>Quads</x:v>
      </x:c>
      <x:c r="L507" s="311" t="str">
        <x:v>Straight sets</x:v>
      </x:c>
      <x:c r="M507" s="311" t="str"/>
      <x:c r="N507" s="311" t="n">
        <x:v>4</x:v>
      </x:c>
      <x:c r="O507" s="311" t="n">
        <x:v>8</x:v>
      </x:c>
      <x:c r="P507" s="311" t="n">
        <x:v>10</x:v>
      </x:c>
      <x:c r="Q507" s="311" t="n">
        <x:v>2</x:v>
      </x:c>
      <x:c r="R507" s="311" t="n">
        <x:v>90</x:v>
      </x:c>
      <x:c r="S507" s="311" t="str">
        <x:v>3-0-1</x:v>
      </x:c>
      <x:c r="T507" s="330" t="n">
        <x:v>1</x:v>
      </x:c>
      <x:c r="U507" s="330" t="n">
        <x:v>0</x:v>
      </x:c>
      <x:c r="V507" s="331" t="str">
        <x:v>load × reps</x:v>
      </x:c>
      <x:c r="W507" s="332" t="str">
        <x:f>'Readiness'!K61</x:f>
      </x:c>
      <x:c r="X507" s="314" t="n">
        <x:f>'Readiness'!L61</x:f>
        <x:v>1</x:v>
      </x:c>
      <x:c r="Y507" s="315" t="n">
        <x:f>IF(J507="Mobility",N507,MAX(1,ROUND(N507*X507,0)))</x:f>
        <x:v>4</x:v>
      </x:c>
      <x:c r="Z507" s="333" t="n">
        <x:f>ROUND((IF(AU451&gt;0,AU451,IF(Z451&gt;0,Z451,'Setup'!$D$30))*T507)/'Setup'!$B$9,0)*'Setup'!$B$9</x:f>
        <x:v>0</x:v>
      </x:c>
      <x:c r="AA507" s="334"/>
      <x:c r="AB507" s="334"/>
      <x:c r="AC507" s="334"/>
      <x:c r="AD507" s="334"/>
      <x:c r="AE507" s="334"/>
      <x:c r="AF507" s="334"/>
      <x:c r="AG507" s="334"/>
      <x:c r="AH507" s="334"/>
      <x:c r="AI507" s="334"/>
      <x:c r="AJ507" s="312"/>
      <x:c r="AK507" s="312"/>
      <x:c r="AL507" s="312"/>
      <x:c r="AM507" s="312"/>
      <x:c r="AN507" s="312"/>
      <x:c r="AO507" s="315" t="n">
        <x:f>COUNT(AB507,AD507,AF507,AH507,AJ507)</x:f>
        <x:v>0</x:v>
      </x:c>
      <x:c r="AP507" s="315" t="n">
        <x:f>SUM(AB507,AD507,AF507,AH507,AJ507)</x:f>
        <x:v>0</x:v>
      </x:c>
      <x:c r="AQ507" s="333" t="n">
        <x:f>AA507*AB507+AC507*AD507+AE507*AF507+AG507*AH507+AI507*AJ507</x:f>
        <x:v>0</x:v>
      </x:c>
      <x:c r="AR507" s="333" t="n">
        <x:f>IF(OR(J507="Strength",J507="Hypertrophy"),MAX(IF(AB507&gt;0,AA507*(1+AB507/30),0),IF(AD507&gt;0,AC507*(1+AD507/30),0),IF(AF507&gt;0,AE507*(1+AF507/30),0),IF(AH507&gt;0,AG507*(1+AH507/30),0),IF(AJ507&gt;0,AI507*(1+AJ507/30),0)),0)</x:f>
        <x:v>0</x:v>
      </x:c>
      <x:c r="AS507" s="315" t="str">
        <x:f>IF(AN507&lt;&gt;"Yes","Not logged",IF(AL507&gt;='Setup'!$B$14,"STOP / MODIFY",IF(Z507=0,"Complete",IF(OR(AO507=0,AK507=""),"Add set data + RIR",IF(AND(MAX(AB507,AD507,AF507,AH507,AJ507)&gt;=P507,AK507&gt;=Q507+1),"Progress",IF(OR(MAX(AB507,AD507,AF507,AH507,AJ507)&lt;O507,AK507&lt;Q507-1),"Regress","Hold"))))))</x:f>
        <x:v>Not logged</x:v>
      </x:c>
      <x:c r="AT507" s="335" t="n">
        <x:f>IF(OR(Z507=0,AN507&lt;&gt;"Yes",AO507=0,AK507=""),0,IF(AL507&gt;='Setup'!$B$14,-2*'Setup'!$B$11,IF(AND(MAX(AB507,AD507,AF507,AH507,AJ507)&gt;=P507,AK507&gt;=Q507+1),'Setup'!$B$10,IF(OR(MAX(AB507,AD507,AF507,AH507,AJ507)&lt;O507,AK507&lt;Q507-1),-'Setup'!$B$11,0))))</x:f>
        <x:v>0</x:v>
      </x:c>
      <x:c r="AU507" s="333" t="n">
        <x:f>IF(Z507=0,0,IF(AN507&lt;&gt;"Yes",Z507,IF(COUNT(AA507,AC507,AE507,AG507,AI507)=0,Z507,ROUND((MAX(AA507,AC507,AE507,AG507,AI507)*(1+AT507))/'Setup'!$B$9,0)*'Setup'!$B$9)))</x:f>
        <x:v>0</x:v>
      </x:c>
      <x:c r="AV507" s="336"/>
    </x:row>
    <x:row r="508">
      <x:c r="A508" s="310" t="n">
        <x:f>'Setup'!$B$3+(C508-1)*7+(D508-1)</x:f>
        <x:v>46307</x:v>
      </x:c>
      <x:c r="B508" s="311" t="str">
        <x:v>10|1|7</x:v>
      </x:c>
      <x:c r="C508" s="311" t="n">
        <x:v>10</x:v>
      </x:c>
      <x:c r="D508" s="311" t="n">
        <x:v>1</x:v>
      </x:c>
      <x:c r="E508" s="311" t="str">
        <x:v>Realization</x:v>
      </x:c>
      <x:c r="F508" s="311" t="str">
        <x:v>Lower Power + Squat</x:v>
      </x:c>
      <x:c r="G508" s="311" t="str">
        <x:v>Squat strength and reactive power</x:v>
      </x:c>
      <x:c r="H508" s="311" t="n">
        <x:v>7</x:v>
      </x:c>
      <x:c r="I508" s="311" t="str">
        <x:v>Standing Calf Raise</x:v>
      </x:c>
      <x:c r="J508" s="311" t="str">
        <x:v>Hypertrophy</x:v>
      </x:c>
      <x:c r="K508" s="311" t="str">
        <x:v>Calves</x:v>
      </x:c>
      <x:c r="L508" s="311" t="str">
        <x:v>Straight sets</x:v>
      </x:c>
      <x:c r="M508" s="311" t="str"/>
      <x:c r="N508" s="311" t="n">
        <x:v>4</x:v>
      </x:c>
      <x:c r="O508" s="311" t="n">
        <x:v>10</x:v>
      </x:c>
      <x:c r="P508" s="311" t="n">
        <x:v>15</x:v>
      </x:c>
      <x:c r="Q508" s="311" t="n">
        <x:v>2</x:v>
      </x:c>
      <x:c r="R508" s="311" t="n">
        <x:v>60</x:v>
      </x:c>
      <x:c r="S508" s="311" t="str">
        <x:v>2-2-1</x:v>
      </x:c>
      <x:c r="T508" s="330" t="n">
        <x:v>1</x:v>
      </x:c>
      <x:c r="U508" s="330" t="n">
        <x:v>0</x:v>
      </x:c>
      <x:c r="V508" s="331" t="str">
        <x:v>load × reps</x:v>
      </x:c>
      <x:c r="W508" s="332" t="str">
        <x:f>'Readiness'!K61</x:f>
      </x:c>
      <x:c r="X508" s="314" t="n">
        <x:f>'Readiness'!L61</x:f>
        <x:v>1</x:v>
      </x:c>
      <x:c r="Y508" s="315" t="n">
        <x:f>IF(J508="Mobility",N508,MAX(1,ROUND(N508*X508,0)))</x:f>
        <x:v>4</x:v>
      </x:c>
      <x:c r="Z508" s="333" t="n">
        <x:f>ROUND((IF(AU452&gt;0,AU452,IF(Z452&gt;0,Z452,'Setup'!$D$90))*T508)/'Setup'!$B$9,0)*'Setup'!$B$9</x:f>
        <x:v>0</x:v>
      </x:c>
      <x:c r="AA508" s="334"/>
      <x:c r="AB508" s="334"/>
      <x:c r="AC508" s="334"/>
      <x:c r="AD508" s="334"/>
      <x:c r="AE508" s="334"/>
      <x:c r="AF508" s="334"/>
      <x:c r="AG508" s="334"/>
      <x:c r="AH508" s="334"/>
      <x:c r="AI508" s="334"/>
      <x:c r="AJ508" s="312"/>
      <x:c r="AK508" s="312"/>
      <x:c r="AL508" s="312"/>
      <x:c r="AM508" s="312"/>
      <x:c r="AN508" s="312"/>
      <x:c r="AO508" s="315" t="n">
        <x:f>COUNT(AB508,AD508,AF508,AH508,AJ508)</x:f>
        <x:v>0</x:v>
      </x:c>
      <x:c r="AP508" s="315" t="n">
        <x:f>SUM(AB508,AD508,AF508,AH508,AJ508)</x:f>
        <x:v>0</x:v>
      </x:c>
      <x:c r="AQ508" s="333" t="n">
        <x:f>AA508*AB508+AC508*AD508+AE508*AF508+AG508*AH508+AI508*AJ508</x:f>
        <x:v>0</x:v>
      </x:c>
      <x:c r="AR508" s="333" t="n">
        <x:f>IF(OR(J508="Strength",J508="Hypertrophy"),MAX(IF(AB508&gt;0,AA508*(1+AB508/30),0),IF(AD508&gt;0,AC508*(1+AD508/30),0),IF(AF508&gt;0,AE508*(1+AF508/30),0),IF(AH508&gt;0,AG508*(1+AH508/30),0),IF(AJ508&gt;0,AI508*(1+AJ508/30),0)),0)</x:f>
        <x:v>0</x:v>
      </x:c>
      <x:c r="AS508" s="315" t="str">
        <x:f>IF(AN508&lt;&gt;"Yes","Not logged",IF(AL508&gt;='Setup'!$B$14,"STOP / MODIFY",IF(Z508=0,"Complete",IF(OR(AO508=0,AK508=""),"Add set data + RIR",IF(AND(MAX(AB508,AD508,AF508,AH508,AJ508)&gt;=P508,AK508&gt;=Q508+1),"Progress",IF(OR(MAX(AB508,AD508,AF508,AH508,AJ508)&lt;O508,AK508&lt;Q508-1),"Regress","Hold"))))))</x:f>
        <x:v>Not logged</x:v>
      </x:c>
      <x:c r="AT508" s="335" t="n">
        <x:f>IF(OR(Z508=0,AN508&lt;&gt;"Yes",AO508=0,AK508=""),0,IF(AL508&gt;='Setup'!$B$14,-2*'Setup'!$B$11,IF(AND(MAX(AB508,AD508,AF508,AH508,AJ508)&gt;=P508,AK508&gt;=Q508+1),'Setup'!$B$10,IF(OR(MAX(AB508,AD508,AF508,AH508,AJ508)&lt;O508,AK508&lt;Q508-1),-'Setup'!$B$11,0))))</x:f>
        <x:v>0</x:v>
      </x:c>
      <x:c r="AU508" s="333" t="n">
        <x:f>IF(Z508=0,0,IF(AN508&lt;&gt;"Yes",Z508,IF(COUNT(AA508,AC508,AE508,AG508,AI508)=0,Z508,ROUND((MAX(AA508,AC508,AE508,AG508,AI508)*(1+AT508))/'Setup'!$B$9,0)*'Setup'!$B$9)))</x:f>
        <x:v>0</x:v>
      </x:c>
      <x:c r="AV508" s="336"/>
    </x:row>
    <x:row r="509">
      <x:c r="A509" s="310" t="n">
        <x:f>'Setup'!$B$3+(C509-1)*7+(D509-1)</x:f>
        <x:v>46307</x:v>
      </x:c>
      <x:c r="B509" s="311" t="str">
        <x:v>10|1|8</x:v>
      </x:c>
      <x:c r="C509" s="311" t="n">
        <x:v>10</x:v>
      </x:c>
      <x:c r="D509" s="311" t="n">
        <x:v>1</x:v>
      </x:c>
      <x:c r="E509" s="311" t="str">
        <x:v>Realization</x:v>
      </x:c>
      <x:c r="F509" s="311" t="str">
        <x:v>Lower Power + Squat</x:v>
      </x:c>
      <x:c r="G509" s="311" t="str">
        <x:v>Squat strength and reactive power</x:v>
      </x:c>
      <x:c r="H509" s="311" t="n">
        <x:v>8</x:v>
      </x:c>
      <x:c r="I509" s="311" t="str">
        <x:v>Ankle Dorsiflexion Mobilization</x:v>
      </x:c>
      <x:c r="J509" s="311" t="str">
        <x:v>Mobility</x:v>
      </x:c>
      <x:c r="K509" s="311" t="str">
        <x:v>Ankles</x:v>
      </x:c>
      <x:c r="L509" s="311" t="str">
        <x:v>Controlled mobility</x:v>
      </x:c>
      <x:c r="M509" s="311" t="str"/>
      <x:c r="N509" s="311" t="n">
        <x:v>2</x:v>
      </x:c>
      <x:c r="O509" s="311" t="n">
        <x:v>8</x:v>
      </x:c>
      <x:c r="P509" s="311" t="n">
        <x:v>12</x:v>
      </x:c>
      <x:c r="Q509" s="311" t="str"/>
      <x:c r="R509" s="311" t="n">
        <x:v>20</x:v>
      </x:c>
      <x:c r="S509" s="311" t="str">
        <x:v>Slow</x:v>
      </x:c>
      <x:c r="T509" s="330" t="n">
        <x:v>1</x:v>
      </x:c>
      <x:c r="U509" s="330" t="n">
        <x:v>0</x:v>
      </x:c>
      <x:c r="V509" s="331" t="str">
        <x:v>reps</x:v>
      </x:c>
      <x:c r="W509" s="332" t="str">
        <x:f>'Readiness'!K61</x:f>
      </x:c>
      <x:c r="X509" s="314" t="n">
        <x:f>'Readiness'!L61</x:f>
        <x:v>1</x:v>
      </x:c>
      <x:c r="Y509" s="315" t="n">
        <x:f>IF(J509="Mobility",N509,MAX(1,ROUND(N509*X509,0)))</x:f>
        <x:v>2</x:v>
      </x:c>
      <x:c r="Z509" s="333" t="n">
        <x:f>0</x:f>
        <x:v>0</x:v>
      </x:c>
      <x:c r="AA509" s="334"/>
      <x:c r="AB509" s="334"/>
      <x:c r="AC509" s="334"/>
      <x:c r="AD509" s="334"/>
      <x:c r="AE509" s="334"/>
      <x:c r="AF509" s="334"/>
      <x:c r="AG509" s="334"/>
      <x:c r="AH509" s="334"/>
      <x:c r="AI509" s="334"/>
      <x:c r="AJ509" s="312"/>
      <x:c r="AK509" s="312"/>
      <x:c r="AL509" s="312"/>
      <x:c r="AM509" s="312"/>
      <x:c r="AN509" s="312"/>
      <x:c r="AO509" s="315" t="n">
        <x:f>COUNT(AB509,AD509,AF509,AH509,AJ509)</x:f>
        <x:v>0</x:v>
      </x:c>
      <x:c r="AP509" s="315" t="n">
        <x:f>SUM(AB509,AD509,AF509,AH509,AJ509)</x:f>
        <x:v>0</x:v>
      </x:c>
      <x:c r="AQ509" s="333" t="n">
        <x:f>AA509*AB509+AC509*AD509+AE509*AF509+AG509*AH509+AI509*AJ509</x:f>
        <x:v>0</x:v>
      </x:c>
      <x:c r="AR509" s="333" t="n">
        <x:f>IF(OR(J509="Strength",J509="Hypertrophy"),MAX(IF(AB509&gt;0,AA509*(1+AB509/30),0),IF(AD509&gt;0,AC509*(1+AD509/30),0),IF(AF509&gt;0,AE509*(1+AF509/30),0),IF(AH509&gt;0,AG509*(1+AH509/30),0),IF(AJ509&gt;0,AI509*(1+AJ509/30),0)),0)</x:f>
        <x:v>0</x:v>
      </x:c>
      <x:c r="AS509" s="315" t="str">
        <x:f>IF(AN509&lt;&gt;"Yes","Not logged",IF(AL509&gt;='Setup'!$B$14,"STOP / MODIFY",IF(Z509=0,"Complete",IF(OR(AO509=0,AK509=""),"Add set data + RIR",IF(AND(MAX(AB509,AD509,AF509,AH509,AJ509)&gt;=P509,AK509&gt;=Q509+1),"Progress",IF(OR(MAX(AB509,AD509,AF509,AH509,AJ509)&lt;O509,AK509&lt;Q509-1),"Regress","Hold"))))))</x:f>
        <x:v>Not logged</x:v>
      </x:c>
      <x:c r="AT509" s="335" t="n">
        <x:f>IF(OR(Z509=0,AN509&lt;&gt;"Yes",AO509=0,AK509=""),0,IF(AL509&gt;='Setup'!$B$14,-2*'Setup'!$B$11,IF(AND(MAX(AB509,AD509,AF509,AH509,AJ509)&gt;=P509,AK509&gt;=Q509+1),'Setup'!$B$10,IF(OR(MAX(AB509,AD509,AF509,AH509,AJ509)&lt;O509,AK509&lt;Q509-1),-'Setup'!$B$11,0))))</x:f>
        <x:v>0</x:v>
      </x:c>
      <x:c r="AU509" s="333" t="n">
        <x:f>IF(Z509=0,0,IF(AN509&lt;&gt;"Yes",Z509,IF(COUNT(AA509,AC509,AE509,AG509,AI509)=0,Z509,ROUND((MAX(AA509,AC509,AE509,AG509,AI509)*(1+AT509))/'Setup'!$B$9,0)*'Setup'!$B$9)))</x:f>
        <x:v>0</x:v>
      </x:c>
      <x:c r="AV509" s="336"/>
    </x:row>
    <x:row r="510">
      <x:c r="A510" s="310" t="n">
        <x:f>'Setup'!$B$3+(C510-1)*7+(D510-1)</x:f>
        <x:v>46307</x:v>
      </x:c>
      <x:c r="B510" s="311" t="str">
        <x:v>10|1|9</x:v>
      </x:c>
      <x:c r="C510" s="311" t="n">
        <x:v>10</x:v>
      </x:c>
      <x:c r="D510" s="311" t="n">
        <x:v>1</x:v>
      </x:c>
      <x:c r="E510" s="311" t="str">
        <x:v>Realization</x:v>
      </x:c>
      <x:c r="F510" s="311" t="str">
        <x:v>Lower Power + Squat</x:v>
      </x:c>
      <x:c r="G510" s="311" t="str">
        <x:v>Squat strength and reactive power</x:v>
      </x:c>
      <x:c r="H510" s="311" t="n">
        <x:v>9</x:v>
      </x:c>
      <x:c r="I510" s="311" t="str">
        <x:v>90/90 Hip Switch</x:v>
      </x:c>
      <x:c r="J510" s="311" t="str">
        <x:v>Mobility</x:v>
      </x:c>
      <x:c r="K510" s="311" t="str">
        <x:v>Hips</x:v>
      </x:c>
      <x:c r="L510" s="311" t="str">
        <x:v>Controlled mobility</x:v>
      </x:c>
      <x:c r="M510" s="311" t="str"/>
      <x:c r="N510" s="311" t="n">
        <x:v>2</x:v>
      </x:c>
      <x:c r="O510" s="311" t="n">
        <x:v>6</x:v>
      </x:c>
      <x:c r="P510" s="311" t="n">
        <x:v>10</x:v>
      </x:c>
      <x:c r="Q510" s="311" t="str"/>
      <x:c r="R510" s="311" t="n">
        <x:v>20</x:v>
      </x:c>
      <x:c r="S510" s="311" t="str">
        <x:v>Slow</x:v>
      </x:c>
      <x:c r="T510" s="330" t="n">
        <x:v>1</x:v>
      </x:c>
      <x:c r="U510" s="330" t="n">
        <x:v>0</x:v>
      </x:c>
      <x:c r="V510" s="331" t="str">
        <x:v>reps</x:v>
      </x:c>
      <x:c r="W510" s="332" t="str">
        <x:f>'Readiness'!K61</x:f>
      </x:c>
      <x:c r="X510" s="314" t="n">
        <x:f>'Readiness'!L61</x:f>
        <x:v>1</x:v>
      </x:c>
      <x:c r="Y510" s="315" t="n">
        <x:f>IF(J510="Mobility",N510,MAX(1,ROUND(N510*X510,0)))</x:f>
        <x:v>2</x:v>
      </x:c>
      <x:c r="Z510" s="333" t="n">
        <x:f>0</x:f>
        <x:v>0</x:v>
      </x:c>
      <x:c r="AA510" s="334"/>
      <x:c r="AB510" s="334"/>
      <x:c r="AC510" s="334"/>
      <x:c r="AD510" s="334"/>
      <x:c r="AE510" s="334"/>
      <x:c r="AF510" s="334"/>
      <x:c r="AG510" s="334"/>
      <x:c r="AH510" s="334"/>
      <x:c r="AI510" s="334"/>
      <x:c r="AJ510" s="312"/>
      <x:c r="AK510" s="312"/>
      <x:c r="AL510" s="312"/>
      <x:c r="AM510" s="312"/>
      <x:c r="AN510" s="312"/>
      <x:c r="AO510" s="315" t="n">
        <x:f>COUNT(AB510,AD510,AF510,AH510,AJ510)</x:f>
        <x:v>0</x:v>
      </x:c>
      <x:c r="AP510" s="315" t="n">
        <x:f>SUM(AB510,AD510,AF510,AH510,AJ510)</x:f>
        <x:v>0</x:v>
      </x:c>
      <x:c r="AQ510" s="333" t="n">
        <x:f>AA510*AB510+AC510*AD510+AE510*AF510+AG510*AH510+AI510*AJ510</x:f>
        <x:v>0</x:v>
      </x:c>
      <x:c r="AR510" s="333" t="n">
        <x:f>IF(OR(J510="Strength",J510="Hypertrophy"),MAX(IF(AB510&gt;0,AA510*(1+AB510/30),0),IF(AD510&gt;0,AC510*(1+AD510/30),0),IF(AF510&gt;0,AE510*(1+AF510/30),0),IF(AH510&gt;0,AG510*(1+AH510/30),0),IF(AJ510&gt;0,AI510*(1+AJ510/30),0)),0)</x:f>
        <x:v>0</x:v>
      </x:c>
      <x:c r="AS510" s="315" t="str">
        <x:f>IF(AN510&lt;&gt;"Yes","Not logged",IF(AL510&gt;='Setup'!$B$14,"STOP / MODIFY",IF(Z510=0,"Complete",IF(OR(AO510=0,AK510=""),"Add set data + RIR",IF(AND(MAX(AB510,AD510,AF510,AH510,AJ510)&gt;=P510,AK510&gt;=Q510+1),"Progress",IF(OR(MAX(AB510,AD510,AF510,AH510,AJ510)&lt;O510,AK510&lt;Q510-1),"Regress","Hold"))))))</x:f>
        <x:v>Not logged</x:v>
      </x:c>
      <x:c r="AT510" s="335" t="n">
        <x:f>IF(OR(Z510=0,AN510&lt;&gt;"Yes",AO510=0,AK510=""),0,IF(AL510&gt;='Setup'!$B$14,-2*'Setup'!$B$11,IF(AND(MAX(AB510,AD510,AF510,AH510,AJ510)&gt;=P510,AK510&gt;=Q510+1),'Setup'!$B$10,IF(OR(MAX(AB510,AD510,AF510,AH510,AJ510)&lt;O510,AK510&lt;Q510-1),-'Setup'!$B$11,0))))</x:f>
        <x:v>0</x:v>
      </x:c>
      <x:c r="AU510" s="333" t="n">
        <x:f>IF(Z510=0,0,IF(AN510&lt;&gt;"Yes",Z510,IF(COUNT(AA510,AC510,AE510,AG510,AI510)=0,Z510,ROUND((MAX(AA510,AC510,AE510,AG510,AI510)*(1+AT510))/'Setup'!$B$9,0)*'Setup'!$B$9)))</x:f>
        <x:v>0</x:v>
      </x:c>
      <x:c r="AV510" s="336"/>
    </x:row>
    <x:row r="511">
      <x:c r="A511" s="310" t="n">
        <x:f>'Setup'!$B$3+(C511-1)*7+(D511-1)</x:f>
        <x:v>46308</x:v>
      </x:c>
      <x:c r="B511" s="311" t="str">
        <x:v>10|2|1</x:v>
      </x:c>
      <x:c r="C511" s="311" t="n">
        <x:v>10</x:v>
      </x:c>
      <x:c r="D511" s="311" t="n">
        <x:v>2</x:v>
      </x:c>
      <x:c r="E511" s="311" t="str">
        <x:v>Realization</x:v>
      </x:c>
      <x:c r="F511" s="311" t="str">
        <x:v>Back + Triceps</x:v>
      </x:c>
      <x:c r="G511" s="311" t="str">
        <x:v>High-volume back with triceps isolation</x:v>
      </x:c>
      <x:c r="H511" s="311" t="n">
        <x:v>1</x:v>
      </x:c>
      <x:c r="I511" s="311" t="str">
        <x:v>Neutral-Grip Lat Pulldown</x:v>
      </x:c>
      <x:c r="J511" s="311" t="str">
        <x:v>Hypertrophy</x:v>
      </x:c>
      <x:c r="K511" s="311" t="str">
        <x:v>Back</x:v>
      </x:c>
      <x:c r="L511" s="311" t="str">
        <x:v>Straight sets</x:v>
      </x:c>
      <x:c r="M511" s="311" t="str"/>
      <x:c r="N511" s="311" t="n">
        <x:v>5</x:v>
      </x:c>
      <x:c r="O511" s="311" t="n">
        <x:v>8</x:v>
      </x:c>
      <x:c r="P511" s="311" t="n">
        <x:v>12</x:v>
      </x:c>
      <x:c r="Q511" s="311" t="n">
        <x:v>2</x:v>
      </x:c>
      <x:c r="R511" s="311" t="n">
        <x:v>90</x:v>
      </x:c>
      <x:c r="S511" s="311" t="str">
        <x:v>2-1-1</x:v>
      </x:c>
      <x:c r="T511" s="330" t="n">
        <x:v>1</x:v>
      </x:c>
      <x:c r="U511" s="330" t="n">
        <x:v>0</x:v>
      </x:c>
      <x:c r="V511" s="331" t="str">
        <x:v>load × reps</x:v>
      </x:c>
      <x:c r="W511" s="332" t="str">
        <x:f>'Readiness'!K62</x:f>
      </x:c>
      <x:c r="X511" s="314" t="n">
        <x:f>'Readiness'!L62</x:f>
        <x:v>1</x:v>
      </x:c>
      <x:c r="Y511" s="315" t="n">
        <x:f>IF(J511="Mobility",N511,MAX(1,ROUND(N511*X511,0)))</x:f>
        <x:v>5</x:v>
      </x:c>
      <x:c r="Z511" s="333" t="n">
        <x:f>ROUND((IF(AU455&gt;0,AU455,IF(Z455&gt;0,Z455,'Setup'!$D$65))*T511)/'Setup'!$B$9,0)*'Setup'!$B$9</x:f>
        <x:v>0</x:v>
      </x:c>
      <x:c r="AA511" s="334"/>
      <x:c r="AB511" s="334"/>
      <x:c r="AC511" s="334"/>
      <x:c r="AD511" s="334"/>
      <x:c r="AE511" s="334"/>
      <x:c r="AF511" s="334"/>
      <x:c r="AG511" s="334"/>
      <x:c r="AH511" s="334"/>
      <x:c r="AI511" s="334"/>
      <x:c r="AJ511" s="312"/>
      <x:c r="AK511" s="312"/>
      <x:c r="AL511" s="312"/>
      <x:c r="AM511" s="312"/>
      <x:c r="AN511" s="312"/>
      <x:c r="AO511" s="315" t="n">
        <x:f>COUNT(AB511,AD511,AF511,AH511,AJ511)</x:f>
        <x:v>0</x:v>
      </x:c>
      <x:c r="AP511" s="315" t="n">
        <x:f>SUM(AB511,AD511,AF511,AH511,AJ511)</x:f>
        <x:v>0</x:v>
      </x:c>
      <x:c r="AQ511" s="333" t="n">
        <x:f>AA511*AB511+AC511*AD511+AE511*AF511+AG511*AH511+AI511*AJ511</x:f>
        <x:v>0</x:v>
      </x:c>
      <x:c r="AR511" s="333" t="n">
        <x:f>IF(OR(J511="Strength",J511="Hypertrophy"),MAX(IF(AB511&gt;0,AA511*(1+AB511/30),0),IF(AD511&gt;0,AC511*(1+AD511/30),0),IF(AF511&gt;0,AE511*(1+AF511/30),0),IF(AH511&gt;0,AG511*(1+AH511/30),0),IF(AJ511&gt;0,AI511*(1+AJ511/30),0)),0)</x:f>
        <x:v>0</x:v>
      </x:c>
      <x:c r="AS511" s="315" t="str">
        <x:f>IF(AN511&lt;&gt;"Yes","Not logged",IF(AL511&gt;='Setup'!$B$14,"STOP / MODIFY",IF(Z511=0,"Complete",IF(OR(AO511=0,AK511=""),"Add set data + RIR",IF(AND(MAX(AB511,AD511,AF511,AH511,AJ511)&gt;=P511,AK511&gt;=Q511+1),"Progress",IF(OR(MAX(AB511,AD511,AF511,AH511,AJ511)&lt;O511,AK511&lt;Q511-1),"Regress","Hold"))))))</x:f>
        <x:v>Not logged</x:v>
      </x:c>
      <x:c r="AT511" s="335" t="n">
        <x:f>IF(OR(Z511=0,AN511&lt;&gt;"Yes",AO511=0,AK511=""),0,IF(AL511&gt;='Setup'!$B$14,-2*'Setup'!$B$11,IF(AND(MAX(AB511,AD511,AF511,AH511,AJ511)&gt;=P511,AK511&gt;=Q511+1),'Setup'!$B$10,IF(OR(MAX(AB511,AD511,AF511,AH511,AJ511)&lt;O511,AK511&lt;Q511-1),-'Setup'!$B$11,0))))</x:f>
        <x:v>0</x:v>
      </x:c>
      <x:c r="AU511" s="333" t="n">
        <x:f>IF(Z511=0,0,IF(AN511&lt;&gt;"Yes",Z511,IF(COUNT(AA511,AC511,AE511,AG511,AI511)=0,Z511,ROUND((MAX(AA511,AC511,AE511,AG511,AI511)*(1+AT511))/'Setup'!$B$9,0)*'Setup'!$B$9)))</x:f>
        <x:v>0</x:v>
      </x:c>
      <x:c r="AV511" s="336"/>
    </x:row>
    <x:row r="512">
      <x:c r="A512" s="310" t="n">
        <x:f>'Setup'!$B$3+(C512-1)*7+(D512-1)</x:f>
        <x:v>46308</x:v>
      </x:c>
      <x:c r="B512" s="311" t="str">
        <x:v>10|2|2</x:v>
      </x:c>
      <x:c r="C512" s="311" t="n">
        <x:v>10</x:v>
      </x:c>
      <x:c r="D512" s="311" t="n">
        <x:v>2</x:v>
      </x:c>
      <x:c r="E512" s="311" t="str">
        <x:v>Realization</x:v>
      </x:c>
      <x:c r="F512" s="311" t="str">
        <x:v>Back + Triceps</x:v>
      </x:c>
      <x:c r="G512" s="311" t="str">
        <x:v>High-volume back with triceps isolation</x:v>
      </x:c>
      <x:c r="H512" s="311" t="n">
        <x:v>2</x:v>
      </x:c>
      <x:c r="I512" s="311" t="str">
        <x:v>Machine High Row</x:v>
      </x:c>
      <x:c r="J512" s="311" t="str">
        <x:v>Hypertrophy</x:v>
      </x:c>
      <x:c r="K512" s="311" t="str">
        <x:v>Back</x:v>
      </x:c>
      <x:c r="L512" s="311" t="str">
        <x:v>Straight sets</x:v>
      </x:c>
      <x:c r="M512" s="311" t="str"/>
      <x:c r="N512" s="311" t="n">
        <x:v>5</x:v>
      </x:c>
      <x:c r="O512" s="311" t="n">
        <x:v>8</x:v>
      </x:c>
      <x:c r="P512" s="311" t="n">
        <x:v>12</x:v>
      </x:c>
      <x:c r="Q512" s="311" t="n">
        <x:v>2</x:v>
      </x:c>
      <x:c r="R512" s="311" t="n">
        <x:v>90</x:v>
      </x:c>
      <x:c r="S512" s="311" t="str">
        <x:v>2-1-1</x:v>
      </x:c>
      <x:c r="T512" s="330" t="n">
        <x:v>1</x:v>
      </x:c>
      <x:c r="U512" s="330" t="n">
        <x:v>0</x:v>
      </x:c>
      <x:c r="V512" s="331" t="str">
        <x:v>load × reps</x:v>
      </x:c>
      <x:c r="W512" s="332" t="str">
        <x:f>'Readiness'!K62</x:f>
      </x:c>
      <x:c r="X512" s="314" t="n">
        <x:f>'Readiness'!L62</x:f>
        <x:v>1</x:v>
      </x:c>
      <x:c r="Y512" s="315" t="n">
        <x:f>IF(J512="Mobility",N512,MAX(1,ROUND(N512*X512,0)))</x:f>
        <x:v>5</x:v>
      </x:c>
      <x:c r="Z512" s="333" t="n">
        <x:f>ROUND((IF(AU456&gt;0,AU456,IF(Z456&gt;0,Z456,'Setup'!$D$61))*T512)/'Setup'!$B$9,0)*'Setup'!$B$9</x:f>
        <x:v>0</x:v>
      </x:c>
      <x:c r="AA512" s="334"/>
      <x:c r="AB512" s="334"/>
      <x:c r="AC512" s="334"/>
      <x:c r="AD512" s="334"/>
      <x:c r="AE512" s="334"/>
      <x:c r="AF512" s="334"/>
      <x:c r="AG512" s="334"/>
      <x:c r="AH512" s="334"/>
      <x:c r="AI512" s="334"/>
      <x:c r="AJ512" s="312"/>
      <x:c r="AK512" s="312"/>
      <x:c r="AL512" s="312"/>
      <x:c r="AM512" s="312"/>
      <x:c r="AN512" s="312"/>
      <x:c r="AO512" s="315" t="n">
        <x:f>COUNT(AB512,AD512,AF512,AH512,AJ512)</x:f>
        <x:v>0</x:v>
      </x:c>
      <x:c r="AP512" s="315" t="n">
        <x:f>SUM(AB512,AD512,AF512,AH512,AJ512)</x:f>
        <x:v>0</x:v>
      </x:c>
      <x:c r="AQ512" s="333" t="n">
        <x:f>AA512*AB512+AC512*AD512+AE512*AF512+AG512*AH512+AI512*AJ512</x:f>
        <x:v>0</x:v>
      </x:c>
      <x:c r="AR512" s="333" t="n">
        <x:f>IF(OR(J512="Strength",J512="Hypertrophy"),MAX(IF(AB512&gt;0,AA512*(1+AB512/30),0),IF(AD512&gt;0,AC512*(1+AD512/30),0),IF(AF512&gt;0,AE512*(1+AF512/30),0),IF(AH512&gt;0,AG512*(1+AH512/30),0),IF(AJ512&gt;0,AI512*(1+AJ512/30),0)),0)</x:f>
        <x:v>0</x:v>
      </x:c>
      <x:c r="AS512" s="315" t="str">
        <x:f>IF(AN512&lt;&gt;"Yes","Not logged",IF(AL512&gt;='Setup'!$B$14,"STOP / MODIFY",IF(Z512=0,"Complete",IF(OR(AO512=0,AK512=""),"Add set data + RIR",IF(AND(MAX(AB512,AD512,AF512,AH512,AJ512)&gt;=P512,AK512&gt;=Q512+1),"Progress",IF(OR(MAX(AB512,AD512,AF512,AH512,AJ512)&lt;O512,AK512&lt;Q512-1),"Regress","Hold"))))))</x:f>
        <x:v>Not logged</x:v>
      </x:c>
      <x:c r="AT512" s="335" t="n">
        <x:f>IF(OR(Z512=0,AN512&lt;&gt;"Yes",AO512=0,AK512=""),0,IF(AL512&gt;='Setup'!$B$14,-2*'Setup'!$B$11,IF(AND(MAX(AB512,AD512,AF512,AH512,AJ512)&gt;=P512,AK512&gt;=Q512+1),'Setup'!$B$10,IF(OR(MAX(AB512,AD512,AF512,AH512,AJ512)&lt;O512,AK512&lt;Q512-1),-'Setup'!$B$11,0))))</x:f>
        <x:v>0</x:v>
      </x:c>
      <x:c r="AU512" s="333" t="n">
        <x:f>IF(Z512=0,0,IF(AN512&lt;&gt;"Yes",Z512,IF(COUNT(AA512,AC512,AE512,AG512,AI512)=0,Z512,ROUND((MAX(AA512,AC512,AE512,AG512,AI512)*(1+AT512))/'Setup'!$B$9,0)*'Setup'!$B$9)))</x:f>
        <x:v>0</x:v>
      </x:c>
      <x:c r="AV512" s="336"/>
    </x:row>
    <x:row r="513">
      <x:c r="A513" s="310" t="n">
        <x:f>'Setup'!$B$3+(C513-1)*7+(D513-1)</x:f>
        <x:v>46308</x:v>
      </x:c>
      <x:c r="B513" s="311" t="str">
        <x:v>10|2|3</x:v>
      </x:c>
      <x:c r="C513" s="311" t="n">
        <x:v>10</x:v>
      </x:c>
      <x:c r="D513" s="311" t="n">
        <x:v>2</x:v>
      </x:c>
      <x:c r="E513" s="311" t="str">
        <x:v>Realization</x:v>
      </x:c>
      <x:c r="F513" s="311" t="str">
        <x:v>Back + Triceps</x:v>
      </x:c>
      <x:c r="G513" s="311" t="str">
        <x:v>High-volume back with triceps isolation</x:v>
      </x:c>
      <x:c r="H513" s="311" t="n">
        <x:v>3</x:v>
      </x:c>
      <x:c r="I513" s="311" t="str">
        <x:v>One-Arm Cable Row</x:v>
      </x:c>
      <x:c r="J513" s="311" t="str">
        <x:v>Hypertrophy</x:v>
      </x:c>
      <x:c r="K513" s="311" t="str">
        <x:v>Back</x:v>
      </x:c>
      <x:c r="L513" s="311" t="str">
        <x:v>Straight sets</x:v>
      </x:c>
      <x:c r="M513" s="311" t="str"/>
      <x:c r="N513" s="311" t="n">
        <x:v>4</x:v>
      </x:c>
      <x:c r="O513" s="311" t="n">
        <x:v>10</x:v>
      </x:c>
      <x:c r="P513" s="311" t="n">
        <x:v>15</x:v>
      </x:c>
      <x:c r="Q513" s="311" t="n">
        <x:v>2</x:v>
      </x:c>
      <x:c r="R513" s="311" t="n">
        <x:v>75</x:v>
      </x:c>
      <x:c r="S513" s="311" t="str">
        <x:v>2-1-1</x:v>
      </x:c>
      <x:c r="T513" s="330" t="n">
        <x:v>1</x:v>
      </x:c>
      <x:c r="U513" s="330" t="n">
        <x:v>0</x:v>
      </x:c>
      <x:c r="V513" s="331" t="str">
        <x:v>load × reps</x:v>
      </x:c>
      <x:c r="W513" s="332" t="str">
        <x:f>'Readiness'!K62</x:f>
      </x:c>
      <x:c r="X513" s="314" t="n">
        <x:f>'Readiness'!L62</x:f>
        <x:v>1</x:v>
      </x:c>
      <x:c r="Y513" s="315" t="n">
        <x:f>IF(J513="Mobility",N513,MAX(1,ROUND(N513*X513,0)))</x:f>
        <x:v>4</x:v>
      </x:c>
      <x:c r="Z513" s="333" t="n">
        <x:f>ROUND((IF(AU457&gt;0,AU457,IF(Z457&gt;0,Z457,'Setup'!$D$67))*T513)/'Setup'!$B$9,0)*'Setup'!$B$9</x:f>
        <x:v>0</x:v>
      </x:c>
      <x:c r="AA513" s="334"/>
      <x:c r="AB513" s="334"/>
      <x:c r="AC513" s="334"/>
      <x:c r="AD513" s="334"/>
      <x:c r="AE513" s="334"/>
      <x:c r="AF513" s="334"/>
      <x:c r="AG513" s="334"/>
      <x:c r="AH513" s="334"/>
      <x:c r="AI513" s="334"/>
      <x:c r="AJ513" s="312"/>
      <x:c r="AK513" s="312"/>
      <x:c r="AL513" s="312"/>
      <x:c r="AM513" s="312"/>
      <x:c r="AN513" s="312"/>
      <x:c r="AO513" s="315" t="n">
        <x:f>COUNT(AB513,AD513,AF513,AH513,AJ513)</x:f>
        <x:v>0</x:v>
      </x:c>
      <x:c r="AP513" s="315" t="n">
        <x:f>SUM(AB513,AD513,AF513,AH513,AJ513)</x:f>
        <x:v>0</x:v>
      </x:c>
      <x:c r="AQ513" s="333" t="n">
        <x:f>AA513*AB513+AC513*AD513+AE513*AF513+AG513*AH513+AI513*AJ513</x:f>
        <x:v>0</x:v>
      </x:c>
      <x:c r="AR513" s="333" t="n">
        <x:f>IF(OR(J513="Strength",J513="Hypertrophy"),MAX(IF(AB513&gt;0,AA513*(1+AB513/30),0),IF(AD513&gt;0,AC513*(1+AD513/30),0),IF(AF513&gt;0,AE513*(1+AF513/30),0),IF(AH513&gt;0,AG513*(1+AH513/30),0),IF(AJ513&gt;0,AI513*(1+AJ513/30),0)),0)</x:f>
        <x:v>0</x:v>
      </x:c>
      <x:c r="AS513" s="315" t="str">
        <x:f>IF(AN513&lt;&gt;"Yes","Not logged",IF(AL513&gt;='Setup'!$B$14,"STOP / MODIFY",IF(Z513=0,"Complete",IF(OR(AO513=0,AK513=""),"Add set data + RIR",IF(AND(MAX(AB513,AD513,AF513,AH513,AJ513)&gt;=P513,AK513&gt;=Q513+1),"Progress",IF(OR(MAX(AB513,AD513,AF513,AH513,AJ513)&lt;O513,AK513&lt;Q513-1),"Regress","Hold"))))))</x:f>
        <x:v>Not logged</x:v>
      </x:c>
      <x:c r="AT513" s="335" t="n">
        <x:f>IF(OR(Z513=0,AN513&lt;&gt;"Yes",AO513=0,AK513=""),0,IF(AL513&gt;='Setup'!$B$14,-2*'Setup'!$B$11,IF(AND(MAX(AB513,AD513,AF513,AH513,AJ513)&gt;=P513,AK513&gt;=Q513+1),'Setup'!$B$10,IF(OR(MAX(AB513,AD513,AF513,AH513,AJ513)&lt;O513,AK513&lt;Q513-1),-'Setup'!$B$11,0))))</x:f>
        <x:v>0</x:v>
      </x:c>
      <x:c r="AU513" s="333" t="n">
        <x:f>IF(Z513=0,0,IF(AN513&lt;&gt;"Yes",Z513,IF(COUNT(AA513,AC513,AE513,AG513,AI513)=0,Z513,ROUND((MAX(AA513,AC513,AE513,AG513,AI513)*(1+AT513))/'Setup'!$B$9,0)*'Setup'!$B$9)))</x:f>
        <x:v>0</x:v>
      </x:c>
      <x:c r="AV513" s="336"/>
    </x:row>
    <x:row r="514">
      <x:c r="A514" s="310" t="n">
        <x:f>'Setup'!$B$3+(C514-1)*7+(D514-1)</x:f>
        <x:v>46308</x:v>
      </x:c>
      <x:c r="B514" s="311" t="str">
        <x:v>10|2|4</x:v>
      </x:c>
      <x:c r="C514" s="311" t="n">
        <x:v>10</x:v>
      </x:c>
      <x:c r="D514" s="311" t="n">
        <x:v>2</x:v>
      </x:c>
      <x:c r="E514" s="311" t="str">
        <x:v>Realization</x:v>
      </x:c>
      <x:c r="F514" s="311" t="str">
        <x:v>Back + Triceps</x:v>
      </x:c>
      <x:c r="G514" s="311" t="str">
        <x:v>High-volume back with triceps isolation</x:v>
      </x:c>
      <x:c r="H514" s="311" t="n">
        <x:v>4</x:v>
      </x:c>
      <x:c r="I514" s="311" t="str">
        <x:v>Straight-Arm Pulldown</x:v>
      </x:c>
      <x:c r="J514" s="311" t="str">
        <x:v>Hypertrophy</x:v>
      </x:c>
      <x:c r="K514" s="311" t="str">
        <x:v>Back</x:v>
      </x:c>
      <x:c r="L514" s="311" t="str">
        <x:v>Straight sets</x:v>
      </x:c>
      <x:c r="M514" s="311" t="str"/>
      <x:c r="N514" s="311" t="n">
        <x:v>4</x:v>
      </x:c>
      <x:c r="O514" s="311" t="n">
        <x:v>12</x:v>
      </x:c>
      <x:c r="P514" s="311" t="n">
        <x:v>15</x:v>
      </x:c>
      <x:c r="Q514" s="311" t="n">
        <x:v>2</x:v>
      </x:c>
      <x:c r="R514" s="311" t="n">
        <x:v>60</x:v>
      </x:c>
      <x:c r="S514" s="311" t="str">
        <x:v>3-1-1</x:v>
      </x:c>
      <x:c r="T514" s="330" t="n">
        <x:v>1</x:v>
      </x:c>
      <x:c r="U514" s="330" t="n">
        <x:v>0</x:v>
      </x:c>
      <x:c r="V514" s="331" t="str">
        <x:v>load × reps</x:v>
      </x:c>
      <x:c r="W514" s="332" t="str">
        <x:f>'Readiness'!K62</x:f>
      </x:c>
      <x:c r="X514" s="314" t="n">
        <x:f>'Readiness'!L62</x:f>
        <x:v>1</x:v>
      </x:c>
      <x:c r="Y514" s="315" t="n">
        <x:f>IF(J514="Mobility",N514,MAX(1,ROUND(N514*X514,0)))</x:f>
        <x:v>4</x:v>
      </x:c>
      <x:c r="Z514" s="333" t="n">
        <x:f>ROUND((IF(AU458&gt;0,AU458,IF(Z458&gt;0,Z458,'Setup'!$D$91))*T514)/'Setup'!$B$9,0)*'Setup'!$B$9</x:f>
        <x:v>0</x:v>
      </x:c>
      <x:c r="AA514" s="334"/>
      <x:c r="AB514" s="334"/>
      <x:c r="AC514" s="334"/>
      <x:c r="AD514" s="334"/>
      <x:c r="AE514" s="334"/>
      <x:c r="AF514" s="334"/>
      <x:c r="AG514" s="334"/>
      <x:c r="AH514" s="334"/>
      <x:c r="AI514" s="334"/>
      <x:c r="AJ514" s="312"/>
      <x:c r="AK514" s="312"/>
      <x:c r="AL514" s="312"/>
      <x:c r="AM514" s="312"/>
      <x:c r="AN514" s="312"/>
      <x:c r="AO514" s="315" t="n">
        <x:f>COUNT(AB514,AD514,AF514,AH514,AJ514)</x:f>
        <x:v>0</x:v>
      </x:c>
      <x:c r="AP514" s="315" t="n">
        <x:f>SUM(AB514,AD514,AF514,AH514,AJ514)</x:f>
        <x:v>0</x:v>
      </x:c>
      <x:c r="AQ514" s="333" t="n">
        <x:f>AA514*AB514+AC514*AD514+AE514*AF514+AG514*AH514+AI514*AJ514</x:f>
        <x:v>0</x:v>
      </x:c>
      <x:c r="AR514" s="333" t="n">
        <x:f>IF(OR(J514="Strength",J514="Hypertrophy"),MAX(IF(AB514&gt;0,AA514*(1+AB514/30),0),IF(AD514&gt;0,AC514*(1+AD514/30),0),IF(AF514&gt;0,AE514*(1+AF514/30),0),IF(AH514&gt;0,AG514*(1+AH514/30),0),IF(AJ514&gt;0,AI514*(1+AJ514/30),0)),0)</x:f>
        <x:v>0</x:v>
      </x:c>
      <x:c r="AS514" s="315" t="str">
        <x:f>IF(AN514&lt;&gt;"Yes","Not logged",IF(AL514&gt;='Setup'!$B$14,"STOP / MODIFY",IF(Z514=0,"Complete",IF(OR(AO514=0,AK514=""),"Add set data + RIR",IF(AND(MAX(AB514,AD514,AF514,AH514,AJ514)&gt;=P514,AK514&gt;=Q514+1),"Progress",IF(OR(MAX(AB514,AD514,AF514,AH514,AJ514)&lt;O514,AK514&lt;Q514-1),"Regress","Hold"))))))</x:f>
        <x:v>Not logged</x:v>
      </x:c>
      <x:c r="AT514" s="335" t="n">
        <x:f>IF(OR(Z514=0,AN514&lt;&gt;"Yes",AO514=0,AK514=""),0,IF(AL514&gt;='Setup'!$B$14,-2*'Setup'!$B$11,IF(AND(MAX(AB514,AD514,AF514,AH514,AJ514)&gt;=P514,AK514&gt;=Q514+1),'Setup'!$B$10,IF(OR(MAX(AB514,AD514,AF514,AH514,AJ514)&lt;O514,AK514&lt;Q514-1),-'Setup'!$B$11,0))))</x:f>
        <x:v>0</x:v>
      </x:c>
      <x:c r="AU514" s="333" t="n">
        <x:f>IF(Z514=0,0,IF(AN514&lt;&gt;"Yes",Z514,IF(COUNT(AA514,AC514,AE514,AG514,AI514)=0,Z514,ROUND((MAX(AA514,AC514,AE514,AG514,AI514)*(1+AT514))/'Setup'!$B$9,0)*'Setup'!$B$9)))</x:f>
        <x:v>0</x:v>
      </x:c>
      <x:c r="AV514" s="336"/>
    </x:row>
    <x:row r="515">
      <x:c r="A515" s="310" t="n">
        <x:f>'Setup'!$B$3+(C515-1)*7+(D515-1)</x:f>
        <x:v>46308</x:v>
      </x:c>
      <x:c r="B515" s="311" t="str">
        <x:v>10|2|5</x:v>
      </x:c>
      <x:c r="C515" s="311" t="n">
        <x:v>10</x:v>
      </x:c>
      <x:c r="D515" s="311" t="n">
        <x:v>2</x:v>
      </x:c>
      <x:c r="E515" s="311" t="str">
        <x:v>Realization</x:v>
      </x:c>
      <x:c r="F515" s="311" t="str">
        <x:v>Back + Triceps</x:v>
      </x:c>
      <x:c r="G515" s="311" t="str">
        <x:v>High-volume back with triceps isolation</x:v>
      </x:c>
      <x:c r="H515" s="311" t="n">
        <x:v>5</x:v>
      </x:c>
      <x:c r="I515" s="311" t="str">
        <x:v>Rear Delt Cable Fly</x:v>
      </x:c>
      <x:c r="J515" s="311" t="str">
        <x:v>Hypertrophy</x:v>
      </x:c>
      <x:c r="K515" s="311" t="str">
        <x:v>Rear Delts</x:v>
      </x:c>
      <x:c r="L515" s="311" t="str">
        <x:v>Straight sets</x:v>
      </x:c>
      <x:c r="M515" s="311" t="str"/>
      <x:c r="N515" s="311" t="n">
        <x:v>5</x:v>
      </x:c>
      <x:c r="O515" s="311" t="n">
        <x:v>15</x:v>
      </x:c>
      <x:c r="P515" s="311" t="n">
        <x:v>20</x:v>
      </x:c>
      <x:c r="Q515" s="311" t="n">
        <x:v>2</x:v>
      </x:c>
      <x:c r="R515" s="311" t="n">
        <x:v>45</x:v>
      </x:c>
      <x:c r="S515" s="311" t="str">
        <x:v>2-1-2</x:v>
      </x:c>
      <x:c r="T515" s="330" t="n">
        <x:v>1</x:v>
      </x:c>
      <x:c r="U515" s="330" t="n">
        <x:v>0</x:v>
      </x:c>
      <x:c r="V515" s="331" t="str">
        <x:v>load × reps</x:v>
      </x:c>
      <x:c r="W515" s="332" t="str">
        <x:f>'Readiness'!K62</x:f>
      </x:c>
      <x:c r="X515" s="314" t="n">
        <x:f>'Readiness'!L62</x:f>
        <x:v>1</x:v>
      </x:c>
      <x:c r="Y515" s="315" t="n">
        <x:f>IF(J515="Mobility",N515,MAX(1,ROUND(N515*X515,0)))</x:f>
        <x:v>5</x:v>
      </x:c>
      <x:c r="Z515" s="333" t="n">
        <x:f>ROUND((IF(AU459&gt;0,AU459,IF(Z459&gt;0,Z459,'Setup'!$D$78))*T515)/'Setup'!$B$9,0)*'Setup'!$B$9</x:f>
        <x:v>0</x:v>
      </x:c>
      <x:c r="AA515" s="334"/>
      <x:c r="AB515" s="334"/>
      <x:c r="AC515" s="334"/>
      <x:c r="AD515" s="334"/>
      <x:c r="AE515" s="334"/>
      <x:c r="AF515" s="334"/>
      <x:c r="AG515" s="334"/>
      <x:c r="AH515" s="334"/>
      <x:c r="AI515" s="334"/>
      <x:c r="AJ515" s="312"/>
      <x:c r="AK515" s="312"/>
      <x:c r="AL515" s="312"/>
      <x:c r="AM515" s="312"/>
      <x:c r="AN515" s="312"/>
      <x:c r="AO515" s="315" t="n">
        <x:f>COUNT(AB515,AD515,AF515,AH515,AJ515)</x:f>
        <x:v>0</x:v>
      </x:c>
      <x:c r="AP515" s="315" t="n">
        <x:f>SUM(AB515,AD515,AF515,AH515,AJ515)</x:f>
        <x:v>0</x:v>
      </x:c>
      <x:c r="AQ515" s="333" t="n">
        <x:f>AA515*AB515+AC515*AD515+AE515*AF515+AG515*AH515+AI515*AJ515</x:f>
        <x:v>0</x:v>
      </x:c>
      <x:c r="AR515" s="333" t="n">
        <x:f>IF(OR(J515="Strength",J515="Hypertrophy"),MAX(IF(AB515&gt;0,AA515*(1+AB515/30),0),IF(AD515&gt;0,AC515*(1+AD515/30),0),IF(AF515&gt;0,AE515*(1+AF515/30),0),IF(AH515&gt;0,AG515*(1+AH515/30),0),IF(AJ515&gt;0,AI515*(1+AJ515/30),0)),0)</x:f>
        <x:v>0</x:v>
      </x:c>
      <x:c r="AS515" s="315" t="str">
        <x:f>IF(AN515&lt;&gt;"Yes","Not logged",IF(AL515&gt;='Setup'!$B$14,"STOP / MODIFY",IF(Z515=0,"Complete",IF(OR(AO515=0,AK515=""),"Add set data + RIR",IF(AND(MAX(AB515,AD515,AF515,AH515,AJ515)&gt;=P515,AK515&gt;=Q515+1),"Progress",IF(OR(MAX(AB515,AD515,AF515,AH515,AJ515)&lt;O515,AK515&lt;Q515-1),"Regress","Hold"))))))</x:f>
        <x:v>Not logged</x:v>
      </x:c>
      <x:c r="AT515" s="335" t="n">
        <x:f>IF(OR(Z515=0,AN515&lt;&gt;"Yes",AO515=0,AK515=""),0,IF(AL515&gt;='Setup'!$B$14,-2*'Setup'!$B$11,IF(AND(MAX(AB515,AD515,AF515,AH515,AJ515)&gt;=P515,AK515&gt;=Q515+1),'Setup'!$B$10,IF(OR(MAX(AB515,AD515,AF515,AH515,AJ515)&lt;O515,AK515&lt;Q515-1),-'Setup'!$B$11,0))))</x:f>
        <x:v>0</x:v>
      </x:c>
      <x:c r="AU515" s="333" t="n">
        <x:f>IF(Z515=0,0,IF(AN515&lt;&gt;"Yes",Z515,IF(COUNT(AA515,AC515,AE515,AG515,AI515)=0,Z515,ROUND((MAX(AA515,AC515,AE515,AG515,AI515)*(1+AT515))/'Setup'!$B$9,0)*'Setup'!$B$9)))</x:f>
        <x:v>0</x:v>
      </x:c>
      <x:c r="AV515" s="336"/>
    </x:row>
    <x:row r="516">
      <x:c r="A516" s="310" t="n">
        <x:f>'Setup'!$B$3+(C516-1)*7+(D516-1)</x:f>
        <x:v>46308</x:v>
      </x:c>
      <x:c r="B516" s="311" t="str">
        <x:v>10|2|6</x:v>
      </x:c>
      <x:c r="C516" s="311" t="n">
        <x:v>10</x:v>
      </x:c>
      <x:c r="D516" s="311" t="n">
        <x:v>2</x:v>
      </x:c>
      <x:c r="E516" s="311" t="str">
        <x:v>Realization</x:v>
      </x:c>
      <x:c r="F516" s="311" t="str">
        <x:v>Back + Triceps</x:v>
      </x:c>
      <x:c r="G516" s="311" t="str">
        <x:v>High-volume back with triceps isolation</x:v>
      </x:c>
      <x:c r="H516" s="311" t="n">
        <x:v>6</x:v>
      </x:c>
      <x:c r="I516" s="311" t="str">
        <x:v>Dumbbell Lateral Raise</x:v>
      </x:c>
      <x:c r="J516" s="311" t="str">
        <x:v>Hypertrophy</x:v>
      </x:c>
      <x:c r="K516" s="311" t="str">
        <x:v>Shoulders</x:v>
      </x:c>
      <x:c r="L516" s="311" t="str">
        <x:v>Optional mechanical drop on final set</x:v>
      </x:c>
      <x:c r="M516" s="311" t="str"/>
      <x:c r="N516" s="311" t="n">
        <x:v>5</x:v>
      </x:c>
      <x:c r="O516" s="311" t="n">
        <x:v>12</x:v>
      </x:c>
      <x:c r="P516" s="311" t="n">
        <x:v>20</x:v>
      </x:c>
      <x:c r="Q516" s="311" t="n">
        <x:v>2</x:v>
      </x:c>
      <x:c r="R516" s="311" t="n">
        <x:v>45</x:v>
      </x:c>
      <x:c r="S516" s="311" t="str">
        <x:v>2-1-2</x:v>
      </x:c>
      <x:c r="T516" s="330" t="n">
        <x:v>1</x:v>
      </x:c>
      <x:c r="U516" s="330" t="n">
        <x:v>0</x:v>
      </x:c>
      <x:c r="V516" s="331" t="str">
        <x:v>load × reps</x:v>
      </x:c>
      <x:c r="W516" s="332" t="str">
        <x:f>'Readiness'!K62</x:f>
      </x:c>
      <x:c r="X516" s="314" t="n">
        <x:f>'Readiness'!L62</x:f>
        <x:v>1</x:v>
      </x:c>
      <x:c r="Y516" s="315" t="n">
        <x:f>IF(J516="Mobility",N516,MAX(1,ROUND(N516*X516,0)))</x:f>
        <x:v>5</x:v>
      </x:c>
      <x:c r="Z516" s="333" t="n">
        <x:f>ROUND((IF(AU460&gt;0,AU460,IF(Z460&gt;0,Z460,'Setup'!$D$39))*T516)/'Setup'!$B$9,0)*'Setup'!$B$9</x:f>
        <x:v>0</x:v>
      </x:c>
      <x:c r="AA516" s="334"/>
      <x:c r="AB516" s="334"/>
      <x:c r="AC516" s="334"/>
      <x:c r="AD516" s="334"/>
      <x:c r="AE516" s="334"/>
      <x:c r="AF516" s="334"/>
      <x:c r="AG516" s="334"/>
      <x:c r="AH516" s="334"/>
      <x:c r="AI516" s="334"/>
      <x:c r="AJ516" s="312"/>
      <x:c r="AK516" s="312"/>
      <x:c r="AL516" s="312"/>
      <x:c r="AM516" s="312"/>
      <x:c r="AN516" s="312"/>
      <x:c r="AO516" s="315" t="n">
        <x:f>COUNT(AB516,AD516,AF516,AH516,AJ516)</x:f>
        <x:v>0</x:v>
      </x:c>
      <x:c r="AP516" s="315" t="n">
        <x:f>SUM(AB516,AD516,AF516,AH516,AJ516)</x:f>
        <x:v>0</x:v>
      </x:c>
      <x:c r="AQ516" s="333" t="n">
        <x:f>AA516*AB516+AC516*AD516+AE516*AF516+AG516*AH516+AI516*AJ516</x:f>
        <x:v>0</x:v>
      </x:c>
      <x:c r="AR516" s="333" t="n">
        <x:f>IF(OR(J516="Strength",J516="Hypertrophy"),MAX(IF(AB516&gt;0,AA516*(1+AB516/30),0),IF(AD516&gt;0,AC516*(1+AD516/30),0),IF(AF516&gt;0,AE516*(1+AF516/30),0),IF(AH516&gt;0,AG516*(1+AH516/30),0),IF(AJ516&gt;0,AI516*(1+AJ516/30),0)),0)</x:f>
        <x:v>0</x:v>
      </x:c>
      <x:c r="AS516" s="315" t="str">
        <x:f>IF(AN516&lt;&gt;"Yes","Not logged",IF(AL516&gt;='Setup'!$B$14,"STOP / MODIFY",IF(Z516=0,"Complete",IF(OR(AO516=0,AK516=""),"Add set data + RIR",IF(AND(MAX(AB516,AD516,AF516,AH516,AJ516)&gt;=P516,AK516&gt;=Q516+1),"Progress",IF(OR(MAX(AB516,AD516,AF516,AH516,AJ516)&lt;O516,AK516&lt;Q516-1),"Regress","Hold"))))))</x:f>
        <x:v>Not logged</x:v>
      </x:c>
      <x:c r="AT516" s="335" t="n">
        <x:f>IF(OR(Z516=0,AN516&lt;&gt;"Yes",AO516=0,AK516=""),0,IF(AL516&gt;='Setup'!$B$14,-2*'Setup'!$B$11,IF(AND(MAX(AB516,AD516,AF516,AH516,AJ516)&gt;=P516,AK516&gt;=Q516+1),'Setup'!$B$10,IF(OR(MAX(AB516,AD516,AF516,AH516,AJ516)&lt;O516,AK516&lt;Q516-1),-'Setup'!$B$11,0))))</x:f>
        <x:v>0</x:v>
      </x:c>
      <x:c r="AU516" s="333" t="n">
        <x:f>IF(Z516=0,0,IF(AN516&lt;&gt;"Yes",Z516,IF(COUNT(AA516,AC516,AE516,AG516,AI516)=0,Z516,ROUND((MAX(AA516,AC516,AE516,AG516,AI516)*(1+AT516))/'Setup'!$B$9,0)*'Setup'!$B$9)))</x:f>
        <x:v>0</x:v>
      </x:c>
      <x:c r="AV516" s="336"/>
    </x:row>
    <x:row r="517">
      <x:c r="A517" s="310" t="n">
        <x:f>'Setup'!$B$3+(C517-1)*7+(D517-1)</x:f>
        <x:v>46308</x:v>
      </x:c>
      <x:c r="B517" s="311" t="str">
        <x:v>10|2|7</x:v>
      </x:c>
      <x:c r="C517" s="311" t="n">
        <x:v>10</x:v>
      </x:c>
      <x:c r="D517" s="311" t="n">
        <x:v>2</x:v>
      </x:c>
      <x:c r="E517" s="311" t="str">
        <x:v>Realization</x:v>
      </x:c>
      <x:c r="F517" s="311" t="str">
        <x:v>Back + Triceps</x:v>
      </x:c>
      <x:c r="G517" s="311" t="str">
        <x:v>High-volume back with triceps isolation</x:v>
      </x:c>
      <x:c r="H517" s="311" t="n">
        <x:v>7</x:v>
      </x:c>
      <x:c r="I517" s="311" t="str">
        <x:v>Overhead Cable Triceps Extension</x:v>
      </x:c>
      <x:c r="J517" s="311" t="str">
        <x:v>Hypertrophy</x:v>
      </x:c>
      <x:c r="K517" s="311" t="str">
        <x:v>Triceps</x:v>
      </x:c>
      <x:c r="L517" s="311" t="str">
        <x:v>Straight sets</x:v>
      </x:c>
      <x:c r="M517" s="311" t="str"/>
      <x:c r="N517" s="311" t="n">
        <x:v>4</x:v>
      </x:c>
      <x:c r="O517" s="311" t="n">
        <x:v>10</x:v>
      </x:c>
      <x:c r="P517" s="311" t="n">
        <x:v>15</x:v>
      </x:c>
      <x:c r="Q517" s="311" t="n">
        <x:v>2</x:v>
      </x:c>
      <x:c r="R517" s="311" t="n">
        <x:v>60</x:v>
      </x:c>
      <x:c r="S517" s="311" t="str">
        <x:v>3-0-1</x:v>
      </x:c>
      <x:c r="T517" s="330" t="n">
        <x:v>1</x:v>
      </x:c>
      <x:c r="U517" s="330" t="n">
        <x:v>0</x:v>
      </x:c>
      <x:c r="V517" s="331" t="str">
        <x:v>load × reps</x:v>
      </x:c>
      <x:c r="W517" s="332" t="str">
        <x:f>'Readiness'!K62</x:f>
      </x:c>
      <x:c r="X517" s="314" t="n">
        <x:f>'Readiness'!L62</x:f>
        <x:v>1</x:v>
      </x:c>
      <x:c r="Y517" s="315" t="n">
        <x:f>IF(J517="Mobility",N517,MAX(1,ROUND(N517*X517,0)))</x:f>
        <x:v>4</x:v>
      </x:c>
      <x:c r="Z517" s="333" t="n">
        <x:f>ROUND((IF(AU461&gt;0,AU461,IF(Z461&gt;0,Z461,'Setup'!$D$69))*T517)/'Setup'!$B$9,0)*'Setup'!$B$9</x:f>
        <x:v>0</x:v>
      </x:c>
      <x:c r="AA517" s="334"/>
      <x:c r="AB517" s="334"/>
      <x:c r="AC517" s="334"/>
      <x:c r="AD517" s="334"/>
      <x:c r="AE517" s="334"/>
      <x:c r="AF517" s="334"/>
      <x:c r="AG517" s="334"/>
      <x:c r="AH517" s="334"/>
      <x:c r="AI517" s="334"/>
      <x:c r="AJ517" s="312"/>
      <x:c r="AK517" s="312"/>
      <x:c r="AL517" s="312"/>
      <x:c r="AM517" s="312"/>
      <x:c r="AN517" s="312"/>
      <x:c r="AO517" s="315" t="n">
        <x:f>COUNT(AB517,AD517,AF517,AH517,AJ517)</x:f>
        <x:v>0</x:v>
      </x:c>
      <x:c r="AP517" s="315" t="n">
        <x:f>SUM(AB517,AD517,AF517,AH517,AJ517)</x:f>
        <x:v>0</x:v>
      </x:c>
      <x:c r="AQ517" s="333" t="n">
        <x:f>AA517*AB517+AC517*AD517+AE517*AF517+AG517*AH517+AI517*AJ517</x:f>
        <x:v>0</x:v>
      </x:c>
      <x:c r="AR517" s="333" t="n">
        <x:f>IF(OR(J517="Strength",J517="Hypertrophy"),MAX(IF(AB517&gt;0,AA517*(1+AB517/30),0),IF(AD517&gt;0,AC517*(1+AD517/30),0),IF(AF517&gt;0,AE517*(1+AF517/30),0),IF(AH517&gt;0,AG517*(1+AH517/30),0),IF(AJ517&gt;0,AI517*(1+AJ517/30),0)),0)</x:f>
        <x:v>0</x:v>
      </x:c>
      <x:c r="AS517" s="315" t="str">
        <x:f>IF(AN517&lt;&gt;"Yes","Not logged",IF(AL517&gt;='Setup'!$B$14,"STOP / MODIFY",IF(Z517=0,"Complete",IF(OR(AO517=0,AK517=""),"Add set data + RIR",IF(AND(MAX(AB517,AD517,AF517,AH517,AJ517)&gt;=P517,AK517&gt;=Q517+1),"Progress",IF(OR(MAX(AB517,AD517,AF517,AH517,AJ517)&lt;O517,AK517&lt;Q517-1),"Regress","Hold"))))))</x:f>
        <x:v>Not logged</x:v>
      </x:c>
      <x:c r="AT517" s="335" t="n">
        <x:f>IF(OR(Z517=0,AN517&lt;&gt;"Yes",AO517=0,AK517=""),0,IF(AL517&gt;='Setup'!$B$14,-2*'Setup'!$B$11,IF(AND(MAX(AB517,AD517,AF517,AH517,AJ517)&gt;=P517,AK517&gt;=Q517+1),'Setup'!$B$10,IF(OR(MAX(AB517,AD517,AF517,AH517,AJ517)&lt;O517,AK517&lt;Q517-1),-'Setup'!$B$11,0))))</x:f>
        <x:v>0</x:v>
      </x:c>
      <x:c r="AU517" s="333" t="n">
        <x:f>IF(Z517=0,0,IF(AN517&lt;&gt;"Yes",Z517,IF(COUNT(AA517,AC517,AE517,AG517,AI517)=0,Z517,ROUND((MAX(AA517,AC517,AE517,AG517,AI517)*(1+AT517))/'Setup'!$B$9,0)*'Setup'!$B$9)))</x:f>
        <x:v>0</x:v>
      </x:c>
      <x:c r="AV517" s="336"/>
    </x:row>
    <x:row r="518">
      <x:c r="A518" s="310" t="n">
        <x:f>'Setup'!$B$3+(C518-1)*7+(D518-1)</x:f>
        <x:v>46308</x:v>
      </x:c>
      <x:c r="B518" s="311" t="str">
        <x:v>10|2|8</x:v>
      </x:c>
      <x:c r="C518" s="311" t="n">
        <x:v>10</x:v>
      </x:c>
      <x:c r="D518" s="311" t="n">
        <x:v>2</x:v>
      </x:c>
      <x:c r="E518" s="311" t="str">
        <x:v>Realization</x:v>
      </x:c>
      <x:c r="F518" s="311" t="str">
        <x:v>Back + Triceps</x:v>
      </x:c>
      <x:c r="G518" s="311" t="str">
        <x:v>High-volume back with triceps isolation</x:v>
      </x:c>
      <x:c r="H518" s="311" t="n">
        <x:v>8</x:v>
      </x:c>
      <x:c r="I518" s="311" t="str">
        <x:v>Triceps Pressdown</x:v>
      </x:c>
      <x:c r="J518" s="311" t="str">
        <x:v>Hypertrophy</x:v>
      </x:c>
      <x:c r="K518" s="311" t="str">
        <x:v>Triceps</x:v>
      </x:c>
      <x:c r="L518" s="311" t="str">
        <x:v>Optional final-set drop if readiness is green</x:v>
      </x:c>
      <x:c r="M518" s="311" t="str"/>
      <x:c r="N518" s="311" t="n">
        <x:v>4</x:v>
      </x:c>
      <x:c r="O518" s="311" t="n">
        <x:v>12</x:v>
      </x:c>
      <x:c r="P518" s="311" t="n">
        <x:v>15</x:v>
      </x:c>
      <x:c r="Q518" s="311" t="n">
        <x:v>2</x:v>
      </x:c>
      <x:c r="R518" s="311" t="n">
        <x:v>60</x:v>
      </x:c>
      <x:c r="S518" s="311" t="str">
        <x:v>2-1-1</x:v>
      </x:c>
      <x:c r="T518" s="330" t="n">
        <x:v>1</x:v>
      </x:c>
      <x:c r="U518" s="330" t="n">
        <x:v>0</x:v>
      </x:c>
      <x:c r="V518" s="331" t="str">
        <x:v>load × reps</x:v>
      </x:c>
      <x:c r="W518" s="332" t="str">
        <x:f>'Readiness'!K62</x:f>
      </x:c>
      <x:c r="X518" s="314" t="n">
        <x:f>'Readiness'!L62</x:f>
        <x:v>1</x:v>
      </x:c>
      <x:c r="Y518" s="315" t="n">
        <x:f>IF(J518="Mobility",N518,MAX(1,ROUND(N518*X518,0)))</x:f>
        <x:v>4</x:v>
      </x:c>
      <x:c r="Z518" s="333" t="n">
        <x:f>ROUND((IF(AU462&gt;0,AU462,IF(Z462&gt;0,Z462,'Setup'!$D$92))*T518)/'Setup'!$B$9,0)*'Setup'!$B$9</x:f>
        <x:v>0</x:v>
      </x:c>
      <x:c r="AA518" s="334"/>
      <x:c r="AB518" s="334"/>
      <x:c r="AC518" s="334"/>
      <x:c r="AD518" s="334"/>
      <x:c r="AE518" s="334"/>
      <x:c r="AF518" s="334"/>
      <x:c r="AG518" s="334"/>
      <x:c r="AH518" s="334"/>
      <x:c r="AI518" s="334"/>
      <x:c r="AJ518" s="312"/>
      <x:c r="AK518" s="312"/>
      <x:c r="AL518" s="312"/>
      <x:c r="AM518" s="312"/>
      <x:c r="AN518" s="312"/>
      <x:c r="AO518" s="315" t="n">
        <x:f>COUNT(AB518,AD518,AF518,AH518,AJ518)</x:f>
        <x:v>0</x:v>
      </x:c>
      <x:c r="AP518" s="315" t="n">
        <x:f>SUM(AB518,AD518,AF518,AH518,AJ518)</x:f>
        <x:v>0</x:v>
      </x:c>
      <x:c r="AQ518" s="333" t="n">
        <x:f>AA518*AB518+AC518*AD518+AE518*AF518+AG518*AH518+AI518*AJ518</x:f>
        <x:v>0</x:v>
      </x:c>
      <x:c r="AR518" s="333" t="n">
        <x:f>IF(OR(J518="Strength",J518="Hypertrophy"),MAX(IF(AB518&gt;0,AA518*(1+AB518/30),0),IF(AD518&gt;0,AC518*(1+AD518/30),0),IF(AF518&gt;0,AE518*(1+AF518/30),0),IF(AH518&gt;0,AG518*(1+AH518/30),0),IF(AJ518&gt;0,AI518*(1+AJ518/30),0)),0)</x:f>
        <x:v>0</x:v>
      </x:c>
      <x:c r="AS518" s="315" t="str">
        <x:f>IF(AN518&lt;&gt;"Yes","Not logged",IF(AL518&gt;='Setup'!$B$14,"STOP / MODIFY",IF(Z518=0,"Complete",IF(OR(AO518=0,AK518=""),"Add set data + RIR",IF(AND(MAX(AB518,AD518,AF518,AH518,AJ518)&gt;=P518,AK518&gt;=Q518+1),"Progress",IF(OR(MAX(AB518,AD518,AF518,AH518,AJ518)&lt;O518,AK518&lt;Q518-1),"Regress","Hold"))))))</x:f>
        <x:v>Not logged</x:v>
      </x:c>
      <x:c r="AT518" s="335" t="n">
        <x:f>IF(OR(Z518=0,AN518&lt;&gt;"Yes",AO518=0,AK518=""),0,IF(AL518&gt;='Setup'!$B$14,-2*'Setup'!$B$11,IF(AND(MAX(AB518,AD518,AF518,AH518,AJ518)&gt;=P518,AK518&gt;=Q518+1),'Setup'!$B$10,IF(OR(MAX(AB518,AD518,AF518,AH518,AJ518)&lt;O518,AK518&lt;Q518-1),-'Setup'!$B$11,0))))</x:f>
        <x:v>0</x:v>
      </x:c>
      <x:c r="AU518" s="333" t="n">
        <x:f>IF(Z518=0,0,IF(AN518&lt;&gt;"Yes",Z518,IF(COUNT(AA518,AC518,AE518,AG518,AI518)=0,Z518,ROUND((MAX(AA518,AC518,AE518,AG518,AI518)*(1+AT518))/'Setup'!$B$9,0)*'Setup'!$B$9)))</x:f>
        <x:v>0</x:v>
      </x:c>
      <x:c r="AV518" s="336"/>
    </x:row>
    <x:row r="519">
      <x:c r="A519" s="310" t="n">
        <x:f>'Setup'!$B$3+(C519-1)*7+(D519-1)</x:f>
        <x:v>46308</x:v>
      </x:c>
      <x:c r="B519" s="311" t="str">
        <x:v>10|2|9</x:v>
      </x:c>
      <x:c r="C519" s="311" t="n">
        <x:v>10</x:v>
      </x:c>
      <x:c r="D519" s="311" t="n">
        <x:v>2</x:v>
      </x:c>
      <x:c r="E519" s="311" t="str">
        <x:v>Realization</x:v>
      </x:c>
      <x:c r="F519" s="311" t="str">
        <x:v>Back + Triceps</x:v>
      </x:c>
      <x:c r="G519" s="311" t="str">
        <x:v>High-volume back with triceps isolation</x:v>
      </x:c>
      <x:c r="H519" s="311" t="n">
        <x:v>9</x:v>
      </x:c>
      <x:c r="I519" s="311" t="str">
        <x:v>SkiErg Power Intervals</x:v>
      </x:c>
      <x:c r="J519" s="311" t="str">
        <x:v>Athletic</x:v>
      </x:c>
      <x:c r="K519" s="311" t="str">
        <x:v>Full Body</x:v>
      </x:c>
      <x:c r="L519" s="311" t="str">
        <x:v>15 s hard / 45 s easy</x:v>
      </x:c>
      <x:c r="M519" s="311" t="str"/>
      <x:c r="N519" s="311" t="n">
        <x:v>6</x:v>
      </x:c>
      <x:c r="O519" s="311" t="n">
        <x:v>15</x:v>
      </x:c>
      <x:c r="P519" s="311" t="n">
        <x:v>15</x:v>
      </x:c>
      <x:c r="Q519" s="311" t="n">
        <x:v>2</x:v>
      </x:c>
      <x:c r="R519" s="311" t="n">
        <x:v>45</x:v>
      </x:c>
      <x:c r="S519" s="311" t="str">
        <x:v>Powerful</x:v>
      </x:c>
      <x:c r="T519" s="330" t="n">
        <x:v>1</x:v>
      </x:c>
      <x:c r="U519" s="330" t="n">
        <x:v>0</x:v>
      </x:c>
      <x:c r="V519" s="331" t="str">
        <x:v>watts / meters</x:v>
      </x:c>
      <x:c r="W519" s="332" t="str">
        <x:f>'Readiness'!K62</x:f>
      </x:c>
      <x:c r="X519" s="314" t="n">
        <x:f>'Readiness'!L62</x:f>
        <x:v>1</x:v>
      </x:c>
      <x:c r="Y519" s="315" t="n">
        <x:f>IF(J519="Mobility",N519,MAX(1,ROUND(N519*X519,0)))</x:f>
        <x:v>6</x:v>
      </x:c>
      <x:c r="Z519" s="333" t="n">
        <x:f>0</x:f>
        <x:v>0</x:v>
      </x:c>
      <x:c r="AA519" s="334"/>
      <x:c r="AB519" s="334"/>
      <x:c r="AC519" s="334"/>
      <x:c r="AD519" s="334"/>
      <x:c r="AE519" s="334"/>
      <x:c r="AF519" s="334"/>
      <x:c r="AG519" s="334"/>
      <x:c r="AH519" s="334"/>
      <x:c r="AI519" s="334"/>
      <x:c r="AJ519" s="312"/>
      <x:c r="AK519" s="312"/>
      <x:c r="AL519" s="312"/>
      <x:c r="AM519" s="312"/>
      <x:c r="AN519" s="312"/>
      <x:c r="AO519" s="315" t="n">
        <x:f>COUNT(AB519,AD519,AF519,AH519,AJ519)</x:f>
        <x:v>0</x:v>
      </x:c>
      <x:c r="AP519" s="315" t="n">
        <x:f>SUM(AB519,AD519,AF519,AH519,AJ519)</x:f>
        <x:v>0</x:v>
      </x:c>
      <x:c r="AQ519" s="333" t="n">
        <x:f>AA519*AB519+AC519*AD519+AE519*AF519+AG519*AH519+AI519*AJ519</x:f>
        <x:v>0</x:v>
      </x:c>
      <x:c r="AR519" s="333" t="n">
        <x:f>IF(OR(J519="Strength",J519="Hypertrophy"),MAX(IF(AB519&gt;0,AA519*(1+AB519/30),0),IF(AD519&gt;0,AC519*(1+AD519/30),0),IF(AF519&gt;0,AE519*(1+AF519/30),0),IF(AH519&gt;0,AG519*(1+AH519/30),0),IF(AJ519&gt;0,AI519*(1+AJ519/30),0)),0)</x:f>
        <x:v>0</x:v>
      </x:c>
      <x:c r="AS519" s="315" t="str">
        <x:f>IF(AN519&lt;&gt;"Yes","Not logged",IF(AL519&gt;='Setup'!$B$14,"STOP / MODIFY",IF(Z519=0,"Complete",IF(OR(AO519=0,AK519=""),"Add set data + RIR",IF(AND(MAX(AB519,AD519,AF519,AH519,AJ519)&gt;=P519,AK519&gt;=Q519+1),"Progress",IF(OR(MAX(AB519,AD519,AF519,AH519,AJ519)&lt;O519,AK519&lt;Q519-1),"Regress","Hold"))))))</x:f>
        <x:v>Not logged</x:v>
      </x:c>
      <x:c r="AT519" s="335" t="n">
        <x:f>IF(OR(Z519=0,AN519&lt;&gt;"Yes",AO519=0,AK519=""),0,IF(AL519&gt;='Setup'!$B$14,-2*'Setup'!$B$11,IF(AND(MAX(AB519,AD519,AF519,AH519,AJ519)&gt;=P519,AK519&gt;=Q519+1),'Setup'!$B$10,IF(OR(MAX(AB519,AD519,AF519,AH519,AJ519)&lt;O519,AK519&lt;Q519-1),-'Setup'!$B$11,0))))</x:f>
        <x:v>0</x:v>
      </x:c>
      <x:c r="AU519" s="333" t="n">
        <x:f>IF(Z519=0,0,IF(AN519&lt;&gt;"Yes",Z519,IF(COUNT(AA519,AC519,AE519,AG519,AI519)=0,Z519,ROUND((MAX(AA519,AC519,AE519,AG519,AI519)*(1+AT519))/'Setup'!$B$9,0)*'Setup'!$B$9)))</x:f>
        <x:v>0</x:v>
      </x:c>
      <x:c r="AV519" s="336"/>
    </x:row>
    <x:row r="520">
      <x:c r="A520" s="310" t="n">
        <x:f>'Setup'!$B$3+(C520-1)*7+(D520-1)</x:f>
        <x:v>46308</x:v>
      </x:c>
      <x:c r="B520" s="311" t="str">
        <x:v>10|2|10</x:v>
      </x:c>
      <x:c r="C520" s="311" t="n">
        <x:v>10</x:v>
      </x:c>
      <x:c r="D520" s="311" t="n">
        <x:v>2</x:v>
      </x:c>
      <x:c r="E520" s="311" t="str">
        <x:v>Realization</x:v>
      </x:c>
      <x:c r="F520" s="311" t="str">
        <x:v>Back + Triceps</x:v>
      </x:c>
      <x:c r="G520" s="311" t="str">
        <x:v>High-volume back with triceps isolation</x:v>
      </x:c>
      <x:c r="H520" s="311" t="n">
        <x:v>10</x:v>
      </x:c>
      <x:c r="I520" s="311" t="str">
        <x:v>Open-Book Thoracic Rotation</x:v>
      </x:c>
      <x:c r="J520" s="311" t="str">
        <x:v>Mobility</x:v>
      </x:c>
      <x:c r="K520" s="311" t="str">
        <x:v>Thoracic</x:v>
      </x:c>
      <x:c r="L520" s="311" t="str">
        <x:v>Controlled mobility</x:v>
      </x:c>
      <x:c r="M520" s="311" t="str"/>
      <x:c r="N520" s="311" t="n">
        <x:v>2</x:v>
      </x:c>
      <x:c r="O520" s="311" t="n">
        <x:v>6</x:v>
      </x:c>
      <x:c r="P520" s="311" t="n">
        <x:v>10</x:v>
      </x:c>
      <x:c r="Q520" s="311" t="str"/>
      <x:c r="R520" s="311" t="n">
        <x:v>20</x:v>
      </x:c>
      <x:c r="S520" s="311" t="str">
        <x:v>Slow</x:v>
      </x:c>
      <x:c r="T520" s="330" t="n">
        <x:v>1</x:v>
      </x:c>
      <x:c r="U520" s="330" t="n">
        <x:v>0</x:v>
      </x:c>
      <x:c r="V520" s="331" t="str">
        <x:v>reps</x:v>
      </x:c>
      <x:c r="W520" s="332" t="str">
        <x:f>'Readiness'!K62</x:f>
      </x:c>
      <x:c r="X520" s="314" t="n">
        <x:f>'Readiness'!L62</x:f>
        <x:v>1</x:v>
      </x:c>
      <x:c r="Y520" s="315" t="n">
        <x:f>IF(J520="Mobility",N520,MAX(1,ROUND(N520*X520,0)))</x:f>
        <x:v>2</x:v>
      </x:c>
      <x:c r="Z520" s="333" t="n">
        <x:f>0</x:f>
        <x:v>0</x:v>
      </x:c>
      <x:c r="AA520" s="334"/>
      <x:c r="AB520" s="334"/>
      <x:c r="AC520" s="334"/>
      <x:c r="AD520" s="334"/>
      <x:c r="AE520" s="334"/>
      <x:c r="AF520" s="334"/>
      <x:c r="AG520" s="334"/>
      <x:c r="AH520" s="334"/>
      <x:c r="AI520" s="334"/>
      <x:c r="AJ520" s="312"/>
      <x:c r="AK520" s="312"/>
      <x:c r="AL520" s="312"/>
      <x:c r="AM520" s="312"/>
      <x:c r="AN520" s="312"/>
      <x:c r="AO520" s="315" t="n">
        <x:f>COUNT(AB520,AD520,AF520,AH520,AJ520)</x:f>
        <x:v>0</x:v>
      </x:c>
      <x:c r="AP520" s="315" t="n">
        <x:f>SUM(AB520,AD520,AF520,AH520,AJ520)</x:f>
        <x:v>0</x:v>
      </x:c>
      <x:c r="AQ520" s="333" t="n">
        <x:f>AA520*AB520+AC520*AD520+AE520*AF520+AG520*AH520+AI520*AJ520</x:f>
        <x:v>0</x:v>
      </x:c>
      <x:c r="AR520" s="333" t="n">
        <x:f>IF(OR(J520="Strength",J520="Hypertrophy"),MAX(IF(AB520&gt;0,AA520*(1+AB520/30),0),IF(AD520&gt;0,AC520*(1+AD520/30),0),IF(AF520&gt;0,AE520*(1+AF520/30),0),IF(AH520&gt;0,AG520*(1+AH520/30),0),IF(AJ520&gt;0,AI520*(1+AJ520/30),0)),0)</x:f>
        <x:v>0</x:v>
      </x:c>
      <x:c r="AS520" s="315" t="str">
        <x:f>IF(AN520&lt;&gt;"Yes","Not logged",IF(AL520&gt;='Setup'!$B$14,"STOP / MODIFY",IF(Z520=0,"Complete",IF(OR(AO520=0,AK520=""),"Add set data + RIR",IF(AND(MAX(AB520,AD520,AF520,AH520,AJ520)&gt;=P520,AK520&gt;=Q520+1),"Progress",IF(OR(MAX(AB520,AD520,AF520,AH520,AJ520)&lt;O520,AK520&lt;Q520-1),"Regress","Hold"))))))</x:f>
        <x:v>Not logged</x:v>
      </x:c>
      <x:c r="AT520" s="335" t="n">
        <x:f>IF(OR(Z520=0,AN520&lt;&gt;"Yes",AO520=0,AK520=""),0,IF(AL520&gt;='Setup'!$B$14,-2*'Setup'!$B$11,IF(AND(MAX(AB520,AD520,AF520,AH520,AJ520)&gt;=P520,AK520&gt;=Q520+1),'Setup'!$B$10,IF(OR(MAX(AB520,AD520,AF520,AH520,AJ520)&lt;O520,AK520&lt;Q520-1),-'Setup'!$B$11,0))))</x:f>
        <x:v>0</x:v>
      </x:c>
      <x:c r="AU520" s="333" t="n">
        <x:f>IF(Z520=0,0,IF(AN520&lt;&gt;"Yes",Z520,IF(COUNT(AA520,AC520,AE520,AG520,AI520)=0,Z520,ROUND((MAX(AA520,AC520,AE520,AG520,AI520)*(1+AT520))/'Setup'!$B$9,0)*'Setup'!$B$9)))</x:f>
        <x:v>0</x:v>
      </x:c>
      <x:c r="AV520" s="336"/>
    </x:row>
    <x:row r="521">
      <x:c r="A521" s="310" t="n">
        <x:f>'Setup'!$B$3+(C521-1)*7+(D521-1)</x:f>
        <x:v>46309</x:v>
      </x:c>
      <x:c r="B521" s="311" t="str">
        <x:v>10|3|1</x:v>
      </x:c>
      <x:c r="C521" s="311" t="n">
        <x:v>10</x:v>
      </x:c>
      <x:c r="D521" s="311" t="n">
        <x:v>3</x:v>
      </x:c>
      <x:c r="E521" s="311" t="str">
        <x:v>Realization</x:v>
      </x:c>
      <x:c r="F521" s="311" t="str">
        <x:v>Upper Power + Bench</x:v>
      </x:c>
      <x:c r="G521" s="311" t="str">
        <x:v>Bench strength and upper-body power</x:v>
      </x:c>
      <x:c r="H521" s="311" t="n">
        <x:v>1</x:v>
      </x:c>
      <x:c r="I521" s="311" t="str">
        <x:v>Medicine Ball Chest Pass</x:v>
      </x:c>
      <x:c r="J521" s="311" t="str">
        <x:v>Power</x:v>
      </x:c>
      <x:c r="K521" s="311" t="str">
        <x:v>Chest</x:v>
      </x:c>
      <x:c r="L521" s="311" t="str">
        <x:v>Max intent, full reset</x:v>
      </x:c>
      <x:c r="M521" s="311" t="str"/>
      <x:c r="N521" s="311" t="n">
        <x:v>4</x:v>
      </x:c>
      <x:c r="O521" s="311" t="n">
        <x:v>3</x:v>
      </x:c>
      <x:c r="P521" s="311" t="n">
        <x:v>3</x:v>
      </x:c>
      <x:c r="Q521" s="311" t="n">
        <x:v>2</x:v>
      </x:c>
      <x:c r="R521" s="311" t="n">
        <x:v>60</x:v>
      </x:c>
      <x:c r="S521" s="311" t="str">
        <x:v>Explosive</x:v>
      </x:c>
      <x:c r="T521" s="330" t="n">
        <x:v>1</x:v>
      </x:c>
      <x:c r="U521" s="330" t="n">
        <x:v>0</x:v>
      </x:c>
      <x:c r="V521" s="331" t="str">
        <x:v>throw quality</x:v>
      </x:c>
      <x:c r="W521" s="332" t="str">
        <x:f>'Readiness'!K63</x:f>
      </x:c>
      <x:c r="X521" s="314" t="n">
        <x:f>'Readiness'!L63</x:f>
        <x:v>1</x:v>
      </x:c>
      <x:c r="Y521" s="315" t="n">
        <x:f>IF(J521="Mobility",N521,MAX(1,ROUND(N521*X521,0)))</x:f>
        <x:v>4</x:v>
      </x:c>
      <x:c r="Z521" s="333" t="n">
        <x:f>0</x:f>
        <x:v>0</x:v>
      </x:c>
      <x:c r="AA521" s="334"/>
      <x:c r="AB521" s="334"/>
      <x:c r="AC521" s="334"/>
      <x:c r="AD521" s="334"/>
      <x:c r="AE521" s="334"/>
      <x:c r="AF521" s="334"/>
      <x:c r="AG521" s="334"/>
      <x:c r="AH521" s="334"/>
      <x:c r="AI521" s="334"/>
      <x:c r="AJ521" s="312"/>
      <x:c r="AK521" s="312"/>
      <x:c r="AL521" s="312"/>
      <x:c r="AM521" s="312"/>
      <x:c r="AN521" s="312"/>
      <x:c r="AO521" s="315" t="n">
        <x:f>COUNT(AB521,AD521,AF521,AH521,AJ521)</x:f>
        <x:v>0</x:v>
      </x:c>
      <x:c r="AP521" s="315" t="n">
        <x:f>SUM(AB521,AD521,AF521,AH521,AJ521)</x:f>
        <x:v>0</x:v>
      </x:c>
      <x:c r="AQ521" s="333" t="n">
        <x:f>AA521*AB521+AC521*AD521+AE521*AF521+AG521*AH521+AI521*AJ521</x:f>
        <x:v>0</x:v>
      </x:c>
      <x:c r="AR521" s="333" t="n">
        <x:f>IF(OR(J521="Strength",J521="Hypertrophy"),MAX(IF(AB521&gt;0,AA521*(1+AB521/30),0),IF(AD521&gt;0,AC521*(1+AD521/30),0),IF(AF521&gt;0,AE521*(1+AF521/30),0),IF(AH521&gt;0,AG521*(1+AH521/30),0),IF(AJ521&gt;0,AI521*(1+AJ521/30),0)),0)</x:f>
        <x:v>0</x:v>
      </x:c>
      <x:c r="AS521" s="315" t="str">
        <x:f>IF(AN521&lt;&gt;"Yes","Not logged",IF(AL521&gt;='Setup'!$B$14,"STOP / MODIFY",IF(Z521=0,"Complete",IF(OR(AO521=0,AK521=""),"Add set data + RIR",IF(AND(MAX(AB521,AD521,AF521,AH521,AJ521)&gt;=P521,AK521&gt;=Q521+1),"Progress",IF(OR(MAX(AB521,AD521,AF521,AH521,AJ521)&lt;O521,AK521&lt;Q521-1),"Regress","Hold"))))))</x:f>
        <x:v>Not logged</x:v>
      </x:c>
      <x:c r="AT521" s="335" t="n">
        <x:f>IF(OR(Z521=0,AN521&lt;&gt;"Yes",AO521=0,AK521=""),0,IF(AL521&gt;='Setup'!$B$14,-2*'Setup'!$B$11,IF(AND(MAX(AB521,AD521,AF521,AH521,AJ521)&gt;=P521,AK521&gt;=Q521+1),'Setup'!$B$10,IF(OR(MAX(AB521,AD521,AF521,AH521,AJ521)&lt;O521,AK521&lt;Q521-1),-'Setup'!$B$11,0))))</x:f>
        <x:v>0</x:v>
      </x:c>
      <x:c r="AU521" s="333" t="n">
        <x:f>IF(Z521=0,0,IF(AN521&lt;&gt;"Yes",Z521,IF(COUNT(AA521,AC521,AE521,AG521,AI521)=0,Z521,ROUND((MAX(AA521,AC521,AE521,AG521,AI521)*(1+AT521))/'Setup'!$B$9,0)*'Setup'!$B$9)))</x:f>
        <x:v>0</x:v>
      </x:c>
      <x:c r="AV521" s="336"/>
    </x:row>
    <x:row r="522">
      <x:c r="A522" s="310" t="n">
        <x:f>'Setup'!$B$3+(C522-1)*7+(D522-1)</x:f>
        <x:v>46309</x:v>
      </x:c>
      <x:c r="B522" s="311" t="str">
        <x:v>10|3|2</x:v>
      </x:c>
      <x:c r="C522" s="311" t="n">
        <x:v>10</x:v>
      </x:c>
      <x:c r="D522" s="311" t="n">
        <x:v>3</x:v>
      </x:c>
      <x:c r="E522" s="311" t="str">
        <x:v>Realization</x:v>
      </x:c>
      <x:c r="F522" s="311" t="str">
        <x:v>Upper Power + Bench</x:v>
      </x:c>
      <x:c r="G522" s="311" t="str">
        <x:v>Bench strength and upper-body power</x:v>
      </x:c>
      <x:c r="H522" s="311" t="n">
        <x:v>2</x:v>
      </x:c>
      <x:c r="I522" s="311" t="str">
        <x:v>Bench Press</x:v>
      </x:c>
      <x:c r="J522" s="311" t="str">
        <x:v>Strength</x:v>
      </x:c>
      <x:c r="K522" s="311" t="str">
        <x:v>Chest</x:v>
      </x:c>
      <x:c r="L522" s="311" t="str">
        <x:v>Top set + back-offs</x:v>
      </x:c>
      <x:c r="M522" s="311" t="str"/>
      <x:c r="N522" s="311" t="n">
        <x:v>4</x:v>
      </x:c>
      <x:c r="O522" s="311" t="n">
        <x:v>3</x:v>
      </x:c>
      <x:c r="P522" s="311" t="n">
        <x:v>5</x:v>
      </x:c>
      <x:c r="Q522" s="311" t="n">
        <x:v>2</x:v>
      </x:c>
      <x:c r="R522" s="311" t="n">
        <x:v>180</x:v>
      </x:c>
      <x:c r="S522" s="311" t="str">
        <x:v>2-0-X</x:v>
      </x:c>
      <x:c r="T522" s="330" t="n">
        <x:v>1</x:v>
      </x:c>
      <x:c r="U522" s="330" t="n">
        <x:v>0.82</x:v>
      </x:c>
      <x:c r="V522" s="331" t="str">
        <x:v>load × reps</x:v>
      </x:c>
      <x:c r="W522" s="332" t="str">
        <x:f>'Readiness'!K63</x:f>
      </x:c>
      <x:c r="X522" s="314" t="n">
        <x:f>'Readiness'!L63</x:f>
        <x:v>1</x:v>
      </x:c>
      <x:c r="Y522" s="315" t="n">
        <x:f>IF(J522="Mobility",N522,MAX(1,ROUND(N522*X522,0)))</x:f>
        <x:v>4</x:v>
      </x:c>
      <x:c r="Z522" s="333" t="n">
        <x:f>ROUND((IF(AU466&gt;0,AU466,IF(Z466&gt;0,Z466,'Setup'!$D$27))*T522)/'Setup'!$B$9,0)*'Setup'!$B$9</x:f>
        <x:v>0</x:v>
      </x:c>
      <x:c r="AA522" s="334"/>
      <x:c r="AB522" s="334"/>
      <x:c r="AC522" s="334"/>
      <x:c r="AD522" s="334"/>
      <x:c r="AE522" s="334"/>
      <x:c r="AF522" s="334"/>
      <x:c r="AG522" s="334"/>
      <x:c r="AH522" s="334"/>
      <x:c r="AI522" s="334"/>
      <x:c r="AJ522" s="312"/>
      <x:c r="AK522" s="312"/>
      <x:c r="AL522" s="312"/>
      <x:c r="AM522" s="312"/>
      <x:c r="AN522" s="312"/>
      <x:c r="AO522" s="315" t="n">
        <x:f>COUNT(AB522,AD522,AF522,AH522,AJ522)</x:f>
        <x:v>0</x:v>
      </x:c>
      <x:c r="AP522" s="315" t="n">
        <x:f>SUM(AB522,AD522,AF522,AH522,AJ522)</x:f>
        <x:v>0</x:v>
      </x:c>
      <x:c r="AQ522" s="333" t="n">
        <x:f>AA522*AB522+AC522*AD522+AE522*AF522+AG522*AH522+AI522*AJ522</x:f>
        <x:v>0</x:v>
      </x:c>
      <x:c r="AR522" s="333" t="n">
        <x:f>IF(OR(J522="Strength",J522="Hypertrophy"),MAX(IF(AB522&gt;0,AA522*(1+AB522/30),0),IF(AD522&gt;0,AC522*(1+AD522/30),0),IF(AF522&gt;0,AE522*(1+AF522/30),0),IF(AH522&gt;0,AG522*(1+AH522/30),0),IF(AJ522&gt;0,AI522*(1+AJ522/30),0)),0)</x:f>
        <x:v>0</x:v>
      </x:c>
      <x:c r="AS522" s="315" t="str">
        <x:f>IF(AN522&lt;&gt;"Yes","Not logged",IF(AL522&gt;='Setup'!$B$14,"STOP / MODIFY",IF(Z522=0,"Complete",IF(OR(AO522=0,AK522=""),"Add set data + RIR",IF(AND(MAX(AB522,AD522,AF522,AH522,AJ522)&gt;=P522,AK522&gt;=Q522+1),"Progress",IF(OR(MAX(AB522,AD522,AF522,AH522,AJ522)&lt;O522,AK522&lt;Q522-1),"Regress","Hold"))))))</x:f>
        <x:v>Not logged</x:v>
      </x:c>
      <x:c r="AT522" s="335" t="n">
        <x:f>IF(OR(Z522=0,AN522&lt;&gt;"Yes",AO522=0,AK522=""),0,IF(AL522&gt;='Setup'!$B$14,-2*'Setup'!$B$11,IF(AND(MAX(AB522,AD522,AF522,AH522,AJ522)&gt;=P522,AK522&gt;=Q522+1),'Setup'!$B$10,IF(OR(MAX(AB522,AD522,AF522,AH522,AJ522)&lt;O522,AK522&lt;Q522-1),-'Setup'!$B$11,0))))</x:f>
        <x:v>0</x:v>
      </x:c>
      <x:c r="AU522" s="333" t="n">
        <x:f>IF(Z522=0,0,IF(AN522&lt;&gt;"Yes",Z522,IF(COUNT(AA522,AC522,AE522,AG522,AI522)=0,Z522,ROUND((MAX(AA522,AC522,AE522,AG522,AI522)*(1+AT522))/'Setup'!$B$9,0)*'Setup'!$B$9)))</x:f>
        <x:v>0</x:v>
      </x:c>
      <x:c r="AV522" s="336"/>
    </x:row>
    <x:row r="523">
      <x:c r="A523" s="310" t="n">
        <x:f>'Setup'!$B$3+(C523-1)*7+(D523-1)</x:f>
        <x:v>46309</x:v>
      </x:c>
      <x:c r="B523" s="311" t="str">
        <x:v>10|3|3</x:v>
      </x:c>
      <x:c r="C523" s="311" t="n">
        <x:v>10</x:v>
      </x:c>
      <x:c r="D523" s="311" t="n">
        <x:v>3</x:v>
      </x:c>
      <x:c r="E523" s="311" t="str">
        <x:v>Realization</x:v>
      </x:c>
      <x:c r="F523" s="311" t="str">
        <x:v>Upper Power + Bench</x:v>
      </x:c>
      <x:c r="G523" s="311" t="str">
        <x:v>Bench strength and upper-body power</x:v>
      </x:c>
      <x:c r="H523" s="311" t="n">
        <x:v>3</x:v>
      </x:c>
      <x:c r="I523" s="311" t="str">
        <x:v>Speed Bench Press</x:v>
      </x:c>
      <x:c r="J523" s="311" t="str">
        <x:v>Power</x:v>
      </x:c>
      <x:c r="K523" s="311" t="str">
        <x:v>Chest</x:v>
      </x:c>
      <x:c r="L523" s="311" t="str">
        <x:v>Speed sets, stop if bar slows</x:v>
      </x:c>
      <x:c r="M523" s="311" t="str"/>
      <x:c r="N523" s="311" t="n">
        <x:v>5</x:v>
      </x:c>
      <x:c r="O523" s="311" t="n">
        <x:v>3</x:v>
      </x:c>
      <x:c r="P523" s="311" t="n">
        <x:v>3</x:v>
      </x:c>
      <x:c r="Q523" s="311" t="n">
        <x:v>2</x:v>
      </x:c>
      <x:c r="R523" s="311" t="n">
        <x:v>60</x:v>
      </x:c>
      <x:c r="S523" s="311" t="str">
        <x:v>1-0-X</x:v>
      </x:c>
      <x:c r="T523" s="330" t="n">
        <x:v>1</x:v>
      </x:c>
      <x:c r="U523" s="330" t="n">
        <x:v>0.55</x:v>
      </x:c>
      <x:c r="V523" s="331" t="str">
        <x:v>load × reps</x:v>
      </x:c>
      <x:c r="W523" s="332" t="str">
        <x:f>'Readiness'!K63</x:f>
      </x:c>
      <x:c r="X523" s="314" t="n">
        <x:f>'Readiness'!L63</x:f>
        <x:v>1</x:v>
      </x:c>
      <x:c r="Y523" s="315" t="n">
        <x:f>IF(J523="Mobility",N523,MAX(1,ROUND(N523*X523,0)))</x:f>
        <x:v>5</x:v>
      </x:c>
      <x:c r="Z523" s="333" t="n">
        <x:f>ROUND((IF(AU467&gt;0,AU467,IF(Z467&gt;0,Z467,'Setup'!$D$89))*T523)/'Setup'!$B$9,0)*'Setup'!$B$9</x:f>
        <x:v>0</x:v>
      </x:c>
      <x:c r="AA523" s="334"/>
      <x:c r="AB523" s="334"/>
      <x:c r="AC523" s="334"/>
      <x:c r="AD523" s="334"/>
      <x:c r="AE523" s="334"/>
      <x:c r="AF523" s="334"/>
      <x:c r="AG523" s="334"/>
      <x:c r="AH523" s="334"/>
      <x:c r="AI523" s="334"/>
      <x:c r="AJ523" s="312"/>
      <x:c r="AK523" s="312"/>
      <x:c r="AL523" s="312"/>
      <x:c r="AM523" s="312"/>
      <x:c r="AN523" s="312"/>
      <x:c r="AO523" s="315" t="n">
        <x:f>COUNT(AB523,AD523,AF523,AH523,AJ523)</x:f>
        <x:v>0</x:v>
      </x:c>
      <x:c r="AP523" s="315" t="n">
        <x:f>SUM(AB523,AD523,AF523,AH523,AJ523)</x:f>
        <x:v>0</x:v>
      </x:c>
      <x:c r="AQ523" s="333" t="n">
        <x:f>AA523*AB523+AC523*AD523+AE523*AF523+AG523*AH523+AI523*AJ523</x:f>
        <x:v>0</x:v>
      </x:c>
      <x:c r="AR523" s="333" t="n">
        <x:f>IF(OR(J523="Strength",J523="Hypertrophy"),MAX(IF(AB523&gt;0,AA523*(1+AB523/30),0),IF(AD523&gt;0,AC523*(1+AD523/30),0),IF(AF523&gt;0,AE523*(1+AF523/30),0),IF(AH523&gt;0,AG523*(1+AH523/30),0),IF(AJ523&gt;0,AI523*(1+AJ523/30),0)),0)</x:f>
        <x:v>0</x:v>
      </x:c>
      <x:c r="AS523" s="315" t="str">
        <x:f>IF(AN523&lt;&gt;"Yes","Not logged",IF(AL523&gt;='Setup'!$B$14,"STOP / MODIFY",IF(Z523=0,"Complete",IF(OR(AO523=0,AK523=""),"Add set data + RIR",IF(AND(MAX(AB523,AD523,AF523,AH523,AJ523)&gt;=P523,AK523&gt;=Q523+1),"Progress",IF(OR(MAX(AB523,AD523,AF523,AH523,AJ523)&lt;O523,AK523&lt;Q523-1),"Regress","Hold"))))))</x:f>
        <x:v>Not logged</x:v>
      </x:c>
      <x:c r="AT523" s="335" t="n">
        <x:f>IF(OR(Z523=0,AN523&lt;&gt;"Yes",AO523=0,AK523=""),0,IF(AL523&gt;='Setup'!$B$14,-2*'Setup'!$B$11,IF(AND(MAX(AB523,AD523,AF523,AH523,AJ523)&gt;=P523,AK523&gt;=Q523+1),'Setup'!$B$10,IF(OR(MAX(AB523,AD523,AF523,AH523,AJ523)&lt;O523,AK523&lt;Q523-1),-'Setup'!$B$11,0))))</x:f>
        <x:v>0</x:v>
      </x:c>
      <x:c r="AU523" s="333" t="n">
        <x:f>IF(Z523=0,0,IF(AN523&lt;&gt;"Yes",Z523,IF(COUNT(AA523,AC523,AE523,AG523,AI523)=0,Z523,ROUND((MAX(AA523,AC523,AE523,AG523,AI523)*(1+AT523))/'Setup'!$B$9,0)*'Setup'!$B$9)))</x:f>
        <x:v>0</x:v>
      </x:c>
      <x:c r="AV523" s="336"/>
    </x:row>
    <x:row r="524">
      <x:c r="A524" s="310" t="n">
        <x:f>'Setup'!$B$3+(C524-1)*7+(D524-1)</x:f>
        <x:v>46309</x:v>
      </x:c>
      <x:c r="B524" s="311" t="str">
        <x:v>10|3|4</x:v>
      </x:c>
      <x:c r="C524" s="311" t="n">
        <x:v>10</x:v>
      </x:c>
      <x:c r="D524" s="311" t="n">
        <x:v>3</x:v>
      </x:c>
      <x:c r="E524" s="311" t="str">
        <x:v>Realization</x:v>
      </x:c>
      <x:c r="F524" s="311" t="str">
        <x:v>Upper Power + Bench</x:v>
      </x:c>
      <x:c r="G524" s="311" t="str">
        <x:v>Bench strength and upper-body power</x:v>
      </x:c>
      <x:c r="H524" s="311" t="n">
        <x:v>4</x:v>
      </x:c>
      <x:c r="I524" s="311" t="str">
        <x:v>Weighted Pull-Up</x:v>
      </x:c>
      <x:c r="J524" s="311" t="str">
        <x:v>Strength</x:v>
      </x:c>
      <x:c r="K524" s="311" t="str">
        <x:v>Back</x:v>
      </x:c>
      <x:c r="L524" s="311" t="str">
        <x:v>Straight sets</x:v>
      </x:c>
      <x:c r="M524" s="311" t="str"/>
      <x:c r="N524" s="311" t="n">
        <x:v>4</x:v>
      </x:c>
      <x:c r="O524" s="311" t="n">
        <x:v>4</x:v>
      </x:c>
      <x:c r="P524" s="311" t="n">
        <x:v>6</x:v>
      </x:c>
      <x:c r="Q524" s="311" t="n">
        <x:v>2</x:v>
      </x:c>
      <x:c r="R524" s="311" t="n">
        <x:v>150</x:v>
      </x:c>
      <x:c r="S524" s="311" t="str">
        <x:v>2-1-X</x:v>
      </x:c>
      <x:c r="T524" s="330" t="n">
        <x:v>1</x:v>
      </x:c>
      <x:c r="U524" s="330" t="n">
        <x:v>0</x:v>
      </x:c>
      <x:c r="V524" s="331" t="str">
        <x:v>load × reps</x:v>
      </x:c>
      <x:c r="W524" s="332" t="str">
        <x:f>'Readiness'!K63</x:f>
      </x:c>
      <x:c r="X524" s="314" t="n">
        <x:f>'Readiness'!L63</x:f>
        <x:v>1</x:v>
      </x:c>
      <x:c r="Y524" s="315" t="n">
        <x:f>IF(J524="Mobility",N524,MAX(1,ROUND(N524*X524,0)))</x:f>
        <x:v>4</x:v>
      </x:c>
      <x:c r="Z524" s="333" t="n">
        <x:f>ROUND((IF(AU468&gt;0,AU468,IF(Z468&gt;0,Z468,'Setup'!$D$94))*T524)/'Setup'!$B$9,0)*'Setup'!$B$9</x:f>
        <x:v>0</x:v>
      </x:c>
      <x:c r="AA524" s="334"/>
      <x:c r="AB524" s="334"/>
      <x:c r="AC524" s="334"/>
      <x:c r="AD524" s="334"/>
      <x:c r="AE524" s="334"/>
      <x:c r="AF524" s="334"/>
      <x:c r="AG524" s="334"/>
      <x:c r="AH524" s="334"/>
      <x:c r="AI524" s="334"/>
      <x:c r="AJ524" s="312"/>
      <x:c r="AK524" s="312"/>
      <x:c r="AL524" s="312"/>
      <x:c r="AM524" s="312"/>
      <x:c r="AN524" s="312"/>
      <x:c r="AO524" s="315" t="n">
        <x:f>COUNT(AB524,AD524,AF524,AH524,AJ524)</x:f>
        <x:v>0</x:v>
      </x:c>
      <x:c r="AP524" s="315" t="n">
        <x:f>SUM(AB524,AD524,AF524,AH524,AJ524)</x:f>
        <x:v>0</x:v>
      </x:c>
      <x:c r="AQ524" s="333" t="n">
        <x:f>AA524*AB524+AC524*AD524+AE524*AF524+AG524*AH524+AI524*AJ524</x:f>
        <x:v>0</x:v>
      </x:c>
      <x:c r="AR524" s="333" t="n">
        <x:f>IF(OR(J524="Strength",J524="Hypertrophy"),MAX(IF(AB524&gt;0,AA524*(1+AB524/30),0),IF(AD524&gt;0,AC524*(1+AD524/30),0),IF(AF524&gt;0,AE524*(1+AF524/30),0),IF(AH524&gt;0,AG524*(1+AH524/30),0),IF(AJ524&gt;0,AI524*(1+AJ524/30),0)),0)</x:f>
        <x:v>0</x:v>
      </x:c>
      <x:c r="AS524" s="315" t="str">
        <x:f>IF(AN524&lt;&gt;"Yes","Not logged",IF(AL524&gt;='Setup'!$B$14,"STOP / MODIFY",IF(Z524=0,"Complete",IF(OR(AO524=0,AK524=""),"Add set data + RIR",IF(AND(MAX(AB524,AD524,AF524,AH524,AJ524)&gt;=P524,AK524&gt;=Q524+1),"Progress",IF(OR(MAX(AB524,AD524,AF524,AH524,AJ524)&lt;O524,AK524&lt;Q524-1),"Regress","Hold"))))))</x:f>
        <x:v>Not logged</x:v>
      </x:c>
      <x:c r="AT524" s="335" t="n">
        <x:f>IF(OR(Z524=0,AN524&lt;&gt;"Yes",AO524=0,AK524=""),0,IF(AL524&gt;='Setup'!$B$14,-2*'Setup'!$B$11,IF(AND(MAX(AB524,AD524,AF524,AH524,AJ524)&gt;=P524,AK524&gt;=Q524+1),'Setup'!$B$10,IF(OR(MAX(AB524,AD524,AF524,AH524,AJ524)&lt;O524,AK524&lt;Q524-1),-'Setup'!$B$11,0))))</x:f>
        <x:v>0</x:v>
      </x:c>
      <x:c r="AU524" s="333" t="n">
        <x:f>IF(Z524=0,0,IF(AN524&lt;&gt;"Yes",Z524,IF(COUNT(AA524,AC524,AE524,AG524,AI524)=0,Z524,ROUND((MAX(AA524,AC524,AE524,AG524,AI524)*(1+AT524))/'Setup'!$B$9,0)*'Setup'!$B$9)))</x:f>
        <x:v>0</x:v>
      </x:c>
      <x:c r="AV524" s="336"/>
    </x:row>
    <x:row r="525">
      <x:c r="A525" s="310" t="n">
        <x:f>'Setup'!$B$3+(C525-1)*7+(D525-1)</x:f>
        <x:v>46309</x:v>
      </x:c>
      <x:c r="B525" s="311" t="str">
        <x:v>10|3|5</x:v>
      </x:c>
      <x:c r="C525" s="311" t="n">
        <x:v>10</x:v>
      </x:c>
      <x:c r="D525" s="311" t="n">
        <x:v>3</x:v>
      </x:c>
      <x:c r="E525" s="311" t="str">
        <x:v>Realization</x:v>
      </x:c>
      <x:c r="F525" s="311" t="str">
        <x:v>Upper Power + Bench</x:v>
      </x:c>
      <x:c r="G525" s="311" t="str">
        <x:v>Bench strength and upper-body power</x:v>
      </x:c>
      <x:c r="H525" s="311" t="n">
        <x:v>5</x:v>
      </x:c>
      <x:c r="I525" s="311" t="str">
        <x:v>Push Press</x:v>
      </x:c>
      <x:c r="J525" s="311" t="str">
        <x:v>Power</x:v>
      </x:c>
      <x:c r="K525" s="311" t="str">
        <x:v>Shoulders</x:v>
      </x:c>
      <x:c r="L525" s="311" t="str">
        <x:v>Cluster 2+2 with 15 s intra-set</x:v>
      </x:c>
      <x:c r="M525" s="311" t="str"/>
      <x:c r="N525" s="311" t="n">
        <x:v>4</x:v>
      </x:c>
      <x:c r="O525" s="311" t="n">
        <x:v>3</x:v>
      </x:c>
      <x:c r="P525" s="311" t="n">
        <x:v>5</x:v>
      </x:c>
      <x:c r="Q525" s="311" t="n">
        <x:v>2</x:v>
      </x:c>
      <x:c r="R525" s="311" t="n">
        <x:v>120</x:v>
      </x:c>
      <x:c r="S525" s="311" t="str">
        <x:v>Dip-X</x:v>
      </x:c>
      <x:c r="T525" s="330" t="n">
        <x:v>1</x:v>
      </x:c>
      <x:c r="U525" s="330" t="n">
        <x:v>0.68</x:v>
      </x:c>
      <x:c r="V525" s="331" t="str">
        <x:v>load × reps</x:v>
      </x:c>
      <x:c r="W525" s="332" t="str">
        <x:f>'Readiness'!K63</x:f>
      </x:c>
      <x:c r="X525" s="314" t="n">
        <x:f>'Readiness'!L63</x:f>
        <x:v>1</x:v>
      </x:c>
      <x:c r="Y525" s="315" t="n">
        <x:f>IF(J525="Mobility",N525,MAX(1,ROUND(N525*X525,0)))</x:f>
        <x:v>4</x:v>
      </x:c>
      <x:c r="Z525" s="333" t="n">
        <x:f>ROUND((IF(AU469&gt;0,AU469,IF(Z469&gt;0,Z469,'Setup'!$D$77))*T525)/'Setup'!$B$9,0)*'Setup'!$B$9</x:f>
        <x:v>0</x:v>
      </x:c>
      <x:c r="AA525" s="334"/>
      <x:c r="AB525" s="334"/>
      <x:c r="AC525" s="334"/>
      <x:c r="AD525" s="334"/>
      <x:c r="AE525" s="334"/>
      <x:c r="AF525" s="334"/>
      <x:c r="AG525" s="334"/>
      <x:c r="AH525" s="334"/>
      <x:c r="AI525" s="334"/>
      <x:c r="AJ525" s="312"/>
      <x:c r="AK525" s="312"/>
      <x:c r="AL525" s="312"/>
      <x:c r="AM525" s="312"/>
      <x:c r="AN525" s="312"/>
      <x:c r="AO525" s="315" t="n">
        <x:f>COUNT(AB525,AD525,AF525,AH525,AJ525)</x:f>
        <x:v>0</x:v>
      </x:c>
      <x:c r="AP525" s="315" t="n">
        <x:f>SUM(AB525,AD525,AF525,AH525,AJ525)</x:f>
        <x:v>0</x:v>
      </x:c>
      <x:c r="AQ525" s="333" t="n">
        <x:f>AA525*AB525+AC525*AD525+AE525*AF525+AG525*AH525+AI525*AJ525</x:f>
        <x:v>0</x:v>
      </x:c>
      <x:c r="AR525" s="333" t="n">
        <x:f>IF(OR(J525="Strength",J525="Hypertrophy"),MAX(IF(AB525&gt;0,AA525*(1+AB525/30),0),IF(AD525&gt;0,AC525*(1+AD525/30),0),IF(AF525&gt;0,AE525*(1+AF525/30),0),IF(AH525&gt;0,AG525*(1+AH525/30),0),IF(AJ525&gt;0,AI525*(1+AJ525/30),0)),0)</x:f>
        <x:v>0</x:v>
      </x:c>
      <x:c r="AS525" s="315" t="str">
        <x:f>IF(AN525&lt;&gt;"Yes","Not logged",IF(AL525&gt;='Setup'!$B$14,"STOP / MODIFY",IF(Z525=0,"Complete",IF(OR(AO525=0,AK525=""),"Add set data + RIR",IF(AND(MAX(AB525,AD525,AF525,AH525,AJ525)&gt;=P525,AK525&gt;=Q525+1),"Progress",IF(OR(MAX(AB525,AD525,AF525,AH525,AJ525)&lt;O525,AK525&lt;Q525-1),"Regress","Hold"))))))</x:f>
        <x:v>Not logged</x:v>
      </x:c>
      <x:c r="AT525" s="335" t="n">
        <x:f>IF(OR(Z525=0,AN525&lt;&gt;"Yes",AO525=0,AK525=""),0,IF(AL525&gt;='Setup'!$B$14,-2*'Setup'!$B$11,IF(AND(MAX(AB525,AD525,AF525,AH525,AJ525)&gt;=P525,AK525&gt;=Q525+1),'Setup'!$B$10,IF(OR(MAX(AB525,AD525,AF525,AH525,AJ525)&lt;O525,AK525&lt;Q525-1),-'Setup'!$B$11,0))))</x:f>
        <x:v>0</x:v>
      </x:c>
      <x:c r="AU525" s="333" t="n">
        <x:f>IF(Z525=0,0,IF(AN525&lt;&gt;"Yes",Z525,IF(COUNT(AA525,AC525,AE525,AG525,AI525)=0,Z525,ROUND((MAX(AA525,AC525,AE525,AG525,AI525)*(1+AT525))/'Setup'!$B$9,0)*'Setup'!$B$9)))</x:f>
        <x:v>0</x:v>
      </x:c>
      <x:c r="AV525" s="336"/>
    </x:row>
    <x:row r="526">
      <x:c r="A526" s="310" t="n">
        <x:f>'Setup'!$B$3+(C526-1)*7+(D526-1)</x:f>
        <x:v>46309</x:v>
      </x:c>
      <x:c r="B526" s="311" t="str">
        <x:v>10|3|6</x:v>
      </x:c>
      <x:c r="C526" s="311" t="n">
        <x:v>10</x:v>
      </x:c>
      <x:c r="D526" s="311" t="n">
        <x:v>3</x:v>
      </x:c>
      <x:c r="E526" s="311" t="str">
        <x:v>Realization</x:v>
      </x:c>
      <x:c r="F526" s="311" t="str">
        <x:v>Upper Power + Bench</x:v>
      </x:c>
      <x:c r="G526" s="311" t="str">
        <x:v>Bench strength and upper-body power</x:v>
      </x:c>
      <x:c r="H526" s="311" t="n">
        <x:v>6</x:v>
      </x:c>
      <x:c r="I526" s="311" t="str">
        <x:v>Chest-Supported Dumbbell Row</x:v>
      </x:c>
      <x:c r="J526" s="311" t="str">
        <x:v>Strength</x:v>
      </x:c>
      <x:c r="K526" s="311" t="str">
        <x:v>Back</x:v>
      </x:c>
      <x:c r="L526" s="311" t="str">
        <x:v>Straight sets</x:v>
      </x:c>
      <x:c r="M526" s="311" t="str"/>
      <x:c r="N526" s="311" t="n">
        <x:v>3</x:v>
      </x:c>
      <x:c r="O526" s="311" t="n">
        <x:v>6</x:v>
      </x:c>
      <x:c r="P526" s="311" t="n">
        <x:v>8</x:v>
      </x:c>
      <x:c r="Q526" s="311" t="n">
        <x:v>2</x:v>
      </x:c>
      <x:c r="R526" s="311" t="n">
        <x:v>90</x:v>
      </x:c>
      <x:c r="S526" s="311" t="str">
        <x:v>2-1-1</x:v>
      </x:c>
      <x:c r="T526" s="330" t="n">
        <x:v>1</x:v>
      </x:c>
      <x:c r="U526" s="330" t="n">
        <x:v>0</x:v>
      </x:c>
      <x:c r="V526" s="331" t="str">
        <x:v>load × reps</x:v>
      </x:c>
      <x:c r="W526" s="332" t="str">
        <x:f>'Readiness'!K63</x:f>
      </x:c>
      <x:c r="X526" s="314" t="n">
        <x:f>'Readiness'!L63</x:f>
        <x:v>1</x:v>
      </x:c>
      <x:c r="Y526" s="315" t="n">
        <x:f>IF(J526="Mobility",N526,MAX(1,ROUND(N526*X526,0)))</x:f>
        <x:v>3</x:v>
      </x:c>
      <x:c r="Z526" s="333" t="n">
        <x:f>ROUND((IF(AU470&gt;0,AU470,IF(Z470&gt;0,Z470,'Setup'!$D$34))*T526)/'Setup'!$B$9,0)*'Setup'!$B$9</x:f>
        <x:v>0</x:v>
      </x:c>
      <x:c r="AA526" s="334"/>
      <x:c r="AB526" s="334"/>
      <x:c r="AC526" s="334"/>
      <x:c r="AD526" s="334"/>
      <x:c r="AE526" s="334"/>
      <x:c r="AF526" s="334"/>
      <x:c r="AG526" s="334"/>
      <x:c r="AH526" s="334"/>
      <x:c r="AI526" s="334"/>
      <x:c r="AJ526" s="312"/>
      <x:c r="AK526" s="312"/>
      <x:c r="AL526" s="312"/>
      <x:c r="AM526" s="312"/>
      <x:c r="AN526" s="312"/>
      <x:c r="AO526" s="315" t="n">
        <x:f>COUNT(AB526,AD526,AF526,AH526,AJ526)</x:f>
        <x:v>0</x:v>
      </x:c>
      <x:c r="AP526" s="315" t="n">
        <x:f>SUM(AB526,AD526,AF526,AH526,AJ526)</x:f>
        <x:v>0</x:v>
      </x:c>
      <x:c r="AQ526" s="333" t="n">
        <x:f>AA526*AB526+AC526*AD526+AE526*AF526+AG526*AH526+AI526*AJ526</x:f>
        <x:v>0</x:v>
      </x:c>
      <x:c r="AR526" s="333" t="n">
        <x:f>IF(OR(J526="Strength",J526="Hypertrophy"),MAX(IF(AB526&gt;0,AA526*(1+AB526/30),0),IF(AD526&gt;0,AC526*(1+AD526/30),0),IF(AF526&gt;0,AE526*(1+AF526/30),0),IF(AH526&gt;0,AG526*(1+AH526/30),0),IF(AJ526&gt;0,AI526*(1+AJ526/30),0)),0)</x:f>
        <x:v>0</x:v>
      </x:c>
      <x:c r="AS526" s="315" t="str">
        <x:f>IF(AN526&lt;&gt;"Yes","Not logged",IF(AL526&gt;='Setup'!$B$14,"STOP / MODIFY",IF(Z526=0,"Complete",IF(OR(AO526=0,AK526=""),"Add set data + RIR",IF(AND(MAX(AB526,AD526,AF526,AH526,AJ526)&gt;=P526,AK526&gt;=Q526+1),"Progress",IF(OR(MAX(AB526,AD526,AF526,AH526,AJ526)&lt;O526,AK526&lt;Q526-1),"Regress","Hold"))))))</x:f>
        <x:v>Not logged</x:v>
      </x:c>
      <x:c r="AT526" s="335" t="n">
        <x:f>IF(OR(Z526=0,AN526&lt;&gt;"Yes",AO526=0,AK526=""),0,IF(AL526&gt;='Setup'!$B$14,-2*'Setup'!$B$11,IF(AND(MAX(AB526,AD526,AF526,AH526,AJ526)&gt;=P526,AK526&gt;=Q526+1),'Setup'!$B$10,IF(OR(MAX(AB526,AD526,AF526,AH526,AJ526)&lt;O526,AK526&lt;Q526-1),-'Setup'!$B$11,0))))</x:f>
        <x:v>0</x:v>
      </x:c>
      <x:c r="AU526" s="333" t="n">
        <x:f>IF(Z526=0,0,IF(AN526&lt;&gt;"Yes",Z526,IF(COUNT(AA526,AC526,AE526,AG526,AI526)=0,Z526,ROUND((MAX(AA526,AC526,AE526,AG526,AI526)*(1+AT526))/'Setup'!$B$9,0)*'Setup'!$B$9)))</x:f>
        <x:v>0</x:v>
      </x:c>
      <x:c r="AV526" s="336"/>
    </x:row>
    <x:row r="527">
      <x:c r="A527" s="310" t="n">
        <x:f>'Setup'!$B$3+(C527-1)*7+(D527-1)</x:f>
        <x:v>46309</x:v>
      </x:c>
      <x:c r="B527" s="311" t="str">
        <x:v>10|3|7</x:v>
      </x:c>
      <x:c r="C527" s="311" t="n">
        <x:v>10</x:v>
      </x:c>
      <x:c r="D527" s="311" t="n">
        <x:v>3</x:v>
      </x:c>
      <x:c r="E527" s="311" t="str">
        <x:v>Realization</x:v>
      </x:c>
      <x:c r="F527" s="311" t="str">
        <x:v>Upper Power + Bench</x:v>
      </x:c>
      <x:c r="G527" s="311" t="str">
        <x:v>Bench strength and upper-body power</x:v>
      </x:c>
      <x:c r="H527" s="311" t="n">
        <x:v>7</x:v>
      </x:c>
      <x:c r="I527" s="311" t="str">
        <x:v>Cable Lateral Raise</x:v>
      </x:c>
      <x:c r="J527" s="311" t="str">
        <x:v>Hypertrophy</x:v>
      </x:c>
      <x:c r="K527" s="311" t="str">
        <x:v>Shoulders</x:v>
      </x:c>
      <x:c r="L527" s="311" t="str">
        <x:v>Straight sets</x:v>
      </x:c>
      <x:c r="M527" s="311" t="str"/>
      <x:c r="N527" s="311" t="n">
        <x:v>4</x:v>
      </x:c>
      <x:c r="O527" s="311" t="n">
        <x:v>12</x:v>
      </x:c>
      <x:c r="P527" s="311" t="n">
        <x:v>20</x:v>
      </x:c>
      <x:c r="Q527" s="311" t="n">
        <x:v>2</x:v>
      </x:c>
      <x:c r="R527" s="311" t="n">
        <x:v>45</x:v>
      </x:c>
      <x:c r="S527" s="311" t="str">
        <x:v>2-1-2</x:v>
      </x:c>
      <x:c r="T527" s="330" t="n">
        <x:v>1</x:v>
      </x:c>
      <x:c r="U527" s="330" t="n">
        <x:v>0</x:v>
      </x:c>
      <x:c r="V527" s="331" t="str">
        <x:v>load × reps</x:v>
      </x:c>
      <x:c r="W527" s="332" t="str">
        <x:f>'Readiness'!K63</x:f>
      </x:c>
      <x:c r="X527" s="314" t="n">
        <x:f>'Readiness'!L63</x:f>
        <x:v>1</x:v>
      </x:c>
      <x:c r="Y527" s="315" t="n">
        <x:f>IF(J527="Mobility",N527,MAX(1,ROUND(N527*X527,0)))</x:f>
        <x:v>4</x:v>
      </x:c>
      <x:c r="Z527" s="333" t="n">
        <x:f>ROUND((IF(AU487&gt;0,AU487,IF(Z487&gt;0,Z487,'Setup'!$D$33))*T527)/'Setup'!$B$9,0)*'Setup'!$B$9</x:f>
        <x:v>0</x:v>
      </x:c>
      <x:c r="AA527" s="334"/>
      <x:c r="AB527" s="334"/>
      <x:c r="AC527" s="334"/>
      <x:c r="AD527" s="334"/>
      <x:c r="AE527" s="334"/>
      <x:c r="AF527" s="334"/>
      <x:c r="AG527" s="334"/>
      <x:c r="AH527" s="334"/>
      <x:c r="AI527" s="334"/>
      <x:c r="AJ527" s="312"/>
      <x:c r="AK527" s="312"/>
      <x:c r="AL527" s="312"/>
      <x:c r="AM527" s="312"/>
      <x:c r="AN527" s="312"/>
      <x:c r="AO527" s="315" t="n">
        <x:f>COUNT(AB527,AD527,AF527,AH527,AJ527)</x:f>
        <x:v>0</x:v>
      </x:c>
      <x:c r="AP527" s="315" t="n">
        <x:f>SUM(AB527,AD527,AF527,AH527,AJ527)</x:f>
        <x:v>0</x:v>
      </x:c>
      <x:c r="AQ527" s="333" t="n">
        <x:f>AA527*AB527+AC527*AD527+AE527*AF527+AG527*AH527+AI527*AJ527</x:f>
        <x:v>0</x:v>
      </x:c>
      <x:c r="AR527" s="333" t="n">
        <x:f>IF(OR(J527="Strength",J527="Hypertrophy"),MAX(IF(AB527&gt;0,AA527*(1+AB527/30),0),IF(AD527&gt;0,AC527*(1+AD527/30),0),IF(AF527&gt;0,AE527*(1+AF527/30),0),IF(AH527&gt;0,AG527*(1+AH527/30),0),IF(AJ527&gt;0,AI527*(1+AJ527/30),0)),0)</x:f>
        <x:v>0</x:v>
      </x:c>
      <x:c r="AS527" s="315" t="str">
        <x:f>IF(AN527&lt;&gt;"Yes","Not logged",IF(AL527&gt;='Setup'!$B$14,"STOP / MODIFY",IF(Z527=0,"Complete",IF(OR(AO527=0,AK527=""),"Add set data + RIR",IF(AND(MAX(AB527,AD527,AF527,AH527,AJ527)&gt;=P527,AK527&gt;=Q527+1),"Progress",IF(OR(MAX(AB527,AD527,AF527,AH527,AJ527)&lt;O527,AK527&lt;Q527-1),"Regress","Hold"))))))</x:f>
        <x:v>Not logged</x:v>
      </x:c>
      <x:c r="AT527" s="335" t="n">
        <x:f>IF(OR(Z527=0,AN527&lt;&gt;"Yes",AO527=0,AK527=""),0,IF(AL527&gt;='Setup'!$B$14,-2*'Setup'!$B$11,IF(AND(MAX(AB527,AD527,AF527,AH527,AJ527)&gt;=P527,AK527&gt;=Q527+1),'Setup'!$B$10,IF(OR(MAX(AB527,AD527,AF527,AH527,AJ527)&lt;O527,AK527&lt;Q527-1),-'Setup'!$B$11,0))))</x:f>
        <x:v>0</x:v>
      </x:c>
      <x:c r="AU527" s="333" t="n">
        <x:f>IF(Z527=0,0,IF(AN527&lt;&gt;"Yes",Z527,IF(COUNT(AA527,AC527,AE527,AG527,AI527)=0,Z527,ROUND((MAX(AA527,AC527,AE527,AG527,AI527)*(1+AT527))/'Setup'!$B$9,0)*'Setup'!$B$9)))</x:f>
        <x:v>0</x:v>
      </x:c>
      <x:c r="AV527" s="336"/>
    </x:row>
    <x:row r="528">
      <x:c r="A528" s="310" t="n">
        <x:f>'Setup'!$B$3+(C528-1)*7+(D528-1)</x:f>
        <x:v>46309</x:v>
      </x:c>
      <x:c r="B528" s="311" t="str">
        <x:v>10|3|8</x:v>
      </x:c>
      <x:c r="C528" s="311" t="n">
        <x:v>10</x:v>
      </x:c>
      <x:c r="D528" s="311" t="n">
        <x:v>3</x:v>
      </x:c>
      <x:c r="E528" s="311" t="str">
        <x:v>Realization</x:v>
      </x:c>
      <x:c r="F528" s="311" t="str">
        <x:v>Upper Power + Bench</x:v>
      </x:c>
      <x:c r="G528" s="311" t="str">
        <x:v>Bench strength and upper-body power</x:v>
      </x:c>
      <x:c r="H528" s="311" t="n">
        <x:v>8</x:v>
      </x:c>
      <x:c r="I528" s="311" t="str">
        <x:v>Kettlebell Bottom-Up Carry</x:v>
      </x:c>
      <x:c r="J528" s="311" t="str">
        <x:v>Athletic</x:v>
      </x:c>
      <x:c r="K528" s="311" t="str">
        <x:v>Shoulders</x:v>
      </x:c>
      <x:c r="L528" s="311" t="str">
        <x:v>Stable wrist and stacked ribs</x:v>
      </x:c>
      <x:c r="M528" s="311" t="str"/>
      <x:c r="N528" s="311" t="n">
        <x:v>3</x:v>
      </x:c>
      <x:c r="O528" s="311" t="n">
        <x:v>20</x:v>
      </x:c>
      <x:c r="P528" s="311" t="n">
        <x:v>30</x:v>
      </x:c>
      <x:c r="Q528" s="311" t="n">
        <x:v>2</x:v>
      </x:c>
      <x:c r="R528" s="311" t="n">
        <x:v>60</x:v>
      </x:c>
      <x:c r="S528" s="311" t="str">
        <x:v>Controlled</x:v>
      </x:c>
      <x:c r="T528" s="330" t="n">
        <x:v>1</x:v>
      </x:c>
      <x:c r="U528" s="330" t="n">
        <x:v>0</x:v>
      </x:c>
      <x:c r="V528" s="331" t="str">
        <x:v>load + meters</x:v>
      </x:c>
      <x:c r="W528" s="332" t="str">
        <x:f>'Readiness'!K63</x:f>
      </x:c>
      <x:c r="X528" s="314" t="n">
        <x:f>'Readiness'!L63</x:f>
        <x:v>1</x:v>
      </x:c>
      <x:c r="Y528" s="315" t="n">
        <x:f>IF(J528="Mobility",N528,MAX(1,ROUND(N528*X528,0)))</x:f>
        <x:v>3</x:v>
      </x:c>
      <x:c r="Z528" s="333" t="n">
        <x:f>0</x:f>
        <x:v>0</x:v>
      </x:c>
      <x:c r="AA528" s="334"/>
      <x:c r="AB528" s="334"/>
      <x:c r="AC528" s="334"/>
      <x:c r="AD528" s="334"/>
      <x:c r="AE528" s="334"/>
      <x:c r="AF528" s="334"/>
      <x:c r="AG528" s="334"/>
      <x:c r="AH528" s="334"/>
      <x:c r="AI528" s="334"/>
      <x:c r="AJ528" s="312"/>
      <x:c r="AK528" s="312"/>
      <x:c r="AL528" s="312"/>
      <x:c r="AM528" s="312"/>
      <x:c r="AN528" s="312"/>
      <x:c r="AO528" s="315" t="n">
        <x:f>COUNT(AB528,AD528,AF528,AH528,AJ528)</x:f>
        <x:v>0</x:v>
      </x:c>
      <x:c r="AP528" s="315" t="n">
        <x:f>SUM(AB528,AD528,AF528,AH528,AJ528)</x:f>
        <x:v>0</x:v>
      </x:c>
      <x:c r="AQ528" s="333" t="n">
        <x:f>AA528*AB528+AC528*AD528+AE528*AF528+AG528*AH528+AI528*AJ528</x:f>
        <x:v>0</x:v>
      </x:c>
      <x:c r="AR528" s="333" t="n">
        <x:f>IF(OR(J528="Strength",J528="Hypertrophy"),MAX(IF(AB528&gt;0,AA528*(1+AB528/30),0),IF(AD528&gt;0,AC528*(1+AD528/30),0),IF(AF528&gt;0,AE528*(1+AF528/30),0),IF(AH528&gt;0,AG528*(1+AH528/30),0),IF(AJ528&gt;0,AI528*(1+AJ528/30),0)),0)</x:f>
        <x:v>0</x:v>
      </x:c>
      <x:c r="AS528" s="315" t="str">
        <x:f>IF(AN528&lt;&gt;"Yes","Not logged",IF(AL528&gt;='Setup'!$B$14,"STOP / MODIFY",IF(Z528=0,"Complete",IF(OR(AO528=0,AK528=""),"Add set data + RIR",IF(AND(MAX(AB528,AD528,AF528,AH528,AJ528)&gt;=P528,AK528&gt;=Q528+1),"Progress",IF(OR(MAX(AB528,AD528,AF528,AH528,AJ528)&lt;O528,AK528&lt;Q528-1),"Regress","Hold"))))))</x:f>
        <x:v>Not logged</x:v>
      </x:c>
      <x:c r="AT528" s="335" t="n">
        <x:f>IF(OR(Z528=0,AN528&lt;&gt;"Yes",AO528=0,AK528=""),0,IF(AL528&gt;='Setup'!$B$14,-2*'Setup'!$B$11,IF(AND(MAX(AB528,AD528,AF528,AH528,AJ528)&gt;=P528,AK528&gt;=Q528+1),'Setup'!$B$10,IF(OR(MAX(AB528,AD528,AF528,AH528,AJ528)&lt;O528,AK528&lt;Q528-1),-'Setup'!$B$11,0))))</x:f>
        <x:v>0</x:v>
      </x:c>
      <x:c r="AU528" s="333" t="n">
        <x:f>IF(Z528=0,0,IF(AN528&lt;&gt;"Yes",Z528,IF(COUNT(AA528,AC528,AE528,AG528,AI528)=0,Z528,ROUND((MAX(AA528,AC528,AE528,AG528,AI528)*(1+AT528))/'Setup'!$B$9,0)*'Setup'!$B$9)))</x:f>
        <x:v>0</x:v>
      </x:c>
      <x:c r="AV528" s="336"/>
    </x:row>
    <x:row r="529">
      <x:c r="A529" s="310" t="n">
        <x:f>'Setup'!$B$3+(C529-1)*7+(D529-1)</x:f>
        <x:v>46309</x:v>
      </x:c>
      <x:c r="B529" s="311" t="str">
        <x:v>10|3|9</x:v>
      </x:c>
      <x:c r="C529" s="311" t="n">
        <x:v>10</x:v>
      </x:c>
      <x:c r="D529" s="311" t="n">
        <x:v>3</x:v>
      </x:c>
      <x:c r="E529" s="311" t="str">
        <x:v>Realization</x:v>
      </x:c>
      <x:c r="F529" s="311" t="str">
        <x:v>Upper Power + Bench</x:v>
      </x:c>
      <x:c r="G529" s="311" t="str">
        <x:v>Bench strength and upper-body power</x:v>
      </x:c>
      <x:c r="H529" s="311" t="n">
        <x:v>9</x:v>
      </x:c>
      <x:c r="I529" s="311" t="str">
        <x:v>Shoulder CARs</x:v>
      </x:c>
      <x:c r="J529" s="311" t="str">
        <x:v>Mobility</x:v>
      </x:c>
      <x:c r="K529" s="311" t="str">
        <x:v>Shoulders</x:v>
      </x:c>
      <x:c r="L529" s="311" t="str">
        <x:v>Controlled articular rotation</x:v>
      </x:c>
      <x:c r="M529" s="311" t="str"/>
      <x:c r="N529" s="311" t="n">
        <x:v>2</x:v>
      </x:c>
      <x:c r="O529" s="311" t="n">
        <x:v>3</x:v>
      </x:c>
      <x:c r="P529" s="311" t="n">
        <x:v>5</x:v>
      </x:c>
      <x:c r="Q529" s="311" t="str"/>
      <x:c r="R529" s="311" t="n">
        <x:v>20</x:v>
      </x:c>
      <x:c r="S529" s="311" t="str">
        <x:v>Slow</x:v>
      </x:c>
      <x:c r="T529" s="330" t="n">
        <x:v>1</x:v>
      </x:c>
      <x:c r="U529" s="330" t="n">
        <x:v>0</x:v>
      </x:c>
      <x:c r="V529" s="331" t="str">
        <x:v>reps</x:v>
      </x:c>
      <x:c r="W529" s="332" t="str">
        <x:f>'Readiness'!K63</x:f>
      </x:c>
      <x:c r="X529" s="314" t="n">
        <x:f>'Readiness'!L63</x:f>
        <x:v>1</x:v>
      </x:c>
      <x:c r="Y529" s="315" t="n">
        <x:f>IF(J529="Mobility",N529,MAX(1,ROUND(N529*X529,0)))</x:f>
        <x:v>2</x:v>
      </x:c>
      <x:c r="Z529" s="333" t="n">
        <x:f>0</x:f>
        <x:v>0</x:v>
      </x:c>
      <x:c r="AA529" s="334"/>
      <x:c r="AB529" s="334"/>
      <x:c r="AC529" s="334"/>
      <x:c r="AD529" s="334"/>
      <x:c r="AE529" s="334"/>
      <x:c r="AF529" s="334"/>
      <x:c r="AG529" s="334"/>
      <x:c r="AH529" s="334"/>
      <x:c r="AI529" s="334"/>
      <x:c r="AJ529" s="312"/>
      <x:c r="AK529" s="312"/>
      <x:c r="AL529" s="312"/>
      <x:c r="AM529" s="312"/>
      <x:c r="AN529" s="312"/>
      <x:c r="AO529" s="315" t="n">
        <x:f>COUNT(AB529,AD529,AF529,AH529,AJ529)</x:f>
        <x:v>0</x:v>
      </x:c>
      <x:c r="AP529" s="315" t="n">
        <x:f>SUM(AB529,AD529,AF529,AH529,AJ529)</x:f>
        <x:v>0</x:v>
      </x:c>
      <x:c r="AQ529" s="333" t="n">
        <x:f>AA529*AB529+AC529*AD529+AE529*AF529+AG529*AH529+AI529*AJ529</x:f>
        <x:v>0</x:v>
      </x:c>
      <x:c r="AR529" s="333" t="n">
        <x:f>IF(OR(J529="Strength",J529="Hypertrophy"),MAX(IF(AB529&gt;0,AA529*(1+AB529/30),0),IF(AD529&gt;0,AC529*(1+AD529/30),0),IF(AF529&gt;0,AE529*(1+AF529/30),0),IF(AH529&gt;0,AG529*(1+AH529/30),0),IF(AJ529&gt;0,AI529*(1+AJ529/30),0)),0)</x:f>
        <x:v>0</x:v>
      </x:c>
      <x:c r="AS529" s="315" t="str">
        <x:f>IF(AN529&lt;&gt;"Yes","Not logged",IF(AL529&gt;='Setup'!$B$14,"STOP / MODIFY",IF(Z529=0,"Complete",IF(OR(AO529=0,AK529=""),"Add set data + RIR",IF(AND(MAX(AB529,AD529,AF529,AH529,AJ529)&gt;=P529,AK529&gt;=Q529+1),"Progress",IF(OR(MAX(AB529,AD529,AF529,AH529,AJ529)&lt;O529,AK529&lt;Q529-1),"Regress","Hold"))))))</x:f>
        <x:v>Not logged</x:v>
      </x:c>
      <x:c r="AT529" s="335" t="n">
        <x:f>IF(OR(Z529=0,AN529&lt;&gt;"Yes",AO529=0,AK529=""),0,IF(AL529&gt;='Setup'!$B$14,-2*'Setup'!$B$11,IF(AND(MAX(AB529,AD529,AF529,AH529,AJ529)&gt;=P529,AK529&gt;=Q529+1),'Setup'!$B$10,IF(OR(MAX(AB529,AD529,AF529,AH529,AJ529)&lt;O529,AK529&lt;Q529-1),-'Setup'!$B$11,0))))</x:f>
        <x:v>0</x:v>
      </x:c>
      <x:c r="AU529" s="333" t="n">
        <x:f>IF(Z529=0,0,IF(AN529&lt;&gt;"Yes",Z529,IF(COUNT(AA529,AC529,AE529,AG529,AI529)=0,Z529,ROUND((MAX(AA529,AC529,AE529,AG529,AI529)*(1+AT529))/'Setup'!$B$9,0)*'Setup'!$B$9)))</x:f>
        <x:v>0</x:v>
      </x:c>
      <x:c r="AV529" s="336"/>
    </x:row>
    <x:row r="530">
      <x:c r="A530" s="310" t="n">
        <x:f>'Setup'!$B$3+(C530-1)*7+(D530-1)</x:f>
        <x:v>46310</x:v>
      </x:c>
      <x:c r="B530" s="311" t="str">
        <x:v>10|4|1</x:v>
      </x:c>
      <x:c r="C530" s="311" t="n">
        <x:v>10</x:v>
      </x:c>
      <x:c r="D530" s="311" t="n">
        <x:v>4</x:v>
      </x:c>
      <x:c r="E530" s="311" t="str">
        <x:v>Realization</x:v>
      </x:c>
      <x:c r="F530" s="311" t="str">
        <x:v>Posterior Strength</x:v>
      </x:c>
      <x:c r="G530" s="311" t="str">
        <x:v>Deadlift strength + posterior chain</x:v>
      </x:c>
      <x:c r="H530" s="311" t="n">
        <x:v>1</x:v>
      </x:c>
      <x:c r="I530" s="311" t="str">
        <x:v>Broad Jump</x:v>
      </x:c>
      <x:c r="J530" s="311" t="str">
        <x:v>Power</x:v>
      </x:c>
      <x:c r="K530" s="311" t="str">
        <x:v>Quads</x:v>
      </x:c>
      <x:c r="L530" s="311" t="str">
        <x:v>Full reset, stick landing</x:v>
      </x:c>
      <x:c r="M530" s="311" t="str"/>
      <x:c r="N530" s="311" t="n">
        <x:v>4</x:v>
      </x:c>
      <x:c r="O530" s="311" t="n">
        <x:v>3</x:v>
      </x:c>
      <x:c r="P530" s="311" t="n">
        <x:v>3</x:v>
      </x:c>
      <x:c r="Q530" s="311" t="n">
        <x:v>2</x:v>
      </x:c>
      <x:c r="R530" s="311" t="n">
        <x:v>75</x:v>
      </x:c>
      <x:c r="S530" s="311" t="str">
        <x:v>Explosive</x:v>
      </x:c>
      <x:c r="T530" s="330" t="n">
        <x:v>1</x:v>
      </x:c>
      <x:c r="U530" s="330" t="n">
        <x:v>0</x:v>
      </x:c>
      <x:c r="V530" s="331" t="str">
        <x:v>distance</x:v>
      </x:c>
      <x:c r="W530" s="332" t="str">
        <x:f>'Readiness'!K64</x:f>
      </x:c>
      <x:c r="X530" s="314" t="n">
        <x:f>'Readiness'!L64</x:f>
        <x:v>1</x:v>
      </x:c>
      <x:c r="Y530" s="315" t="n">
        <x:f>IF(J530="Mobility",N530,MAX(1,ROUND(N530*X530,0)))</x:f>
        <x:v>4</x:v>
      </x:c>
      <x:c r="Z530" s="333" t="n">
        <x:f>0</x:f>
        <x:v>0</x:v>
      </x:c>
      <x:c r="AA530" s="334"/>
      <x:c r="AB530" s="334"/>
      <x:c r="AC530" s="334"/>
      <x:c r="AD530" s="334"/>
      <x:c r="AE530" s="334"/>
      <x:c r="AF530" s="334"/>
      <x:c r="AG530" s="334"/>
      <x:c r="AH530" s="334"/>
      <x:c r="AI530" s="334"/>
      <x:c r="AJ530" s="312"/>
      <x:c r="AK530" s="312"/>
      <x:c r="AL530" s="312"/>
      <x:c r="AM530" s="312"/>
      <x:c r="AN530" s="312"/>
      <x:c r="AO530" s="315" t="n">
        <x:f>COUNT(AB530,AD530,AF530,AH530,AJ530)</x:f>
        <x:v>0</x:v>
      </x:c>
      <x:c r="AP530" s="315" t="n">
        <x:f>SUM(AB530,AD530,AF530,AH530,AJ530)</x:f>
        <x:v>0</x:v>
      </x:c>
      <x:c r="AQ530" s="333" t="n">
        <x:f>AA530*AB530+AC530*AD530+AE530*AF530+AG530*AH530+AI530*AJ530</x:f>
        <x:v>0</x:v>
      </x:c>
      <x:c r="AR530" s="333" t="n">
        <x:f>IF(OR(J530="Strength",J530="Hypertrophy"),MAX(IF(AB530&gt;0,AA530*(1+AB530/30),0),IF(AD530&gt;0,AC530*(1+AD530/30),0),IF(AF530&gt;0,AE530*(1+AF530/30),0),IF(AH530&gt;0,AG530*(1+AH530/30),0),IF(AJ530&gt;0,AI530*(1+AJ530/30),0)),0)</x:f>
        <x:v>0</x:v>
      </x:c>
      <x:c r="AS530" s="315" t="str">
        <x:f>IF(AN530&lt;&gt;"Yes","Not logged",IF(AL530&gt;='Setup'!$B$14,"STOP / MODIFY",IF(Z530=0,"Complete",IF(OR(AO530=0,AK530=""),"Add set data + RIR",IF(AND(MAX(AB530,AD530,AF530,AH530,AJ530)&gt;=P530,AK530&gt;=Q530+1),"Progress",IF(OR(MAX(AB530,AD530,AF530,AH530,AJ530)&lt;O530,AK530&lt;Q530-1),"Regress","Hold"))))))</x:f>
        <x:v>Not logged</x:v>
      </x:c>
      <x:c r="AT530" s="335" t="n">
        <x:f>IF(OR(Z530=0,AN530&lt;&gt;"Yes",AO530=0,AK530=""),0,IF(AL530&gt;='Setup'!$B$14,-2*'Setup'!$B$11,IF(AND(MAX(AB530,AD530,AF530,AH530,AJ530)&gt;=P530,AK530&gt;=Q530+1),'Setup'!$B$10,IF(OR(MAX(AB530,AD530,AF530,AH530,AJ530)&lt;O530,AK530&lt;Q530-1),-'Setup'!$B$11,0))))</x:f>
        <x:v>0</x:v>
      </x:c>
      <x:c r="AU530" s="333" t="n">
        <x:f>IF(Z530=0,0,IF(AN530&lt;&gt;"Yes",Z530,IF(COUNT(AA530,AC530,AE530,AG530,AI530)=0,Z530,ROUND((MAX(AA530,AC530,AE530,AG530,AI530)*(1+AT530))/'Setup'!$B$9,0)*'Setup'!$B$9)))</x:f>
        <x:v>0</x:v>
      </x:c>
      <x:c r="AV530" s="336"/>
    </x:row>
    <x:row r="531">
      <x:c r="A531" s="310" t="n">
        <x:f>'Setup'!$B$3+(C531-1)*7+(D531-1)</x:f>
        <x:v>46310</x:v>
      </x:c>
      <x:c r="B531" s="311" t="str">
        <x:v>10|4|2</x:v>
      </x:c>
      <x:c r="C531" s="311" t="n">
        <x:v>10</x:v>
      </x:c>
      <x:c r="D531" s="311" t="n">
        <x:v>4</x:v>
      </x:c>
      <x:c r="E531" s="311" t="str">
        <x:v>Realization</x:v>
      </x:c>
      <x:c r="F531" s="311" t="str">
        <x:v>Posterior Strength</x:v>
      </x:c>
      <x:c r="G531" s="311" t="str">
        <x:v>Deadlift strength + posterior chain</x:v>
      </x:c>
      <x:c r="H531" s="311" t="n">
        <x:v>2</x:v>
      </x:c>
      <x:c r="I531" s="311" t="str">
        <x:v>Conventional Deadlift</x:v>
      </x:c>
      <x:c r="J531" s="311" t="str">
        <x:v>Strength</x:v>
      </x:c>
      <x:c r="K531" s="311" t="str">
        <x:v>Hamstrings</x:v>
      </x:c>
      <x:c r="L531" s="311" t="str">
        <x:v>Top set + back-offs</x:v>
      </x:c>
      <x:c r="M531" s="311" t="str"/>
      <x:c r="N531" s="311" t="n">
        <x:v>4</x:v>
      </x:c>
      <x:c r="O531" s="311" t="n">
        <x:v>3</x:v>
      </x:c>
      <x:c r="P531" s="311" t="n">
        <x:v>5</x:v>
      </x:c>
      <x:c r="Q531" s="311" t="n">
        <x:v>2</x:v>
      </x:c>
      <x:c r="R531" s="311" t="n">
        <x:v>210</x:v>
      </x:c>
      <x:c r="S531" s="311" t="str">
        <x:v>2-1-X</x:v>
      </x:c>
      <x:c r="T531" s="330" t="n">
        <x:v>1</x:v>
      </x:c>
      <x:c r="U531" s="330" t="n">
        <x:v>0.82</x:v>
      </x:c>
      <x:c r="V531" s="331" t="str">
        <x:v>load × reps</x:v>
      </x:c>
      <x:c r="W531" s="332" t="str">
        <x:f>'Readiness'!K64</x:f>
      </x:c>
      <x:c r="X531" s="314" t="n">
        <x:f>'Readiness'!L64</x:f>
        <x:v>1</x:v>
      </x:c>
      <x:c r="Y531" s="315" t="n">
        <x:f>IF(J531="Mobility",N531,MAX(1,ROUND(N531*X531,0)))</x:f>
        <x:v>4</x:v>
      </x:c>
      <x:c r="Z531" s="333" t="n">
        <x:f>ROUND((IF(AU475&gt;0,AU475,IF(Z475&gt;0,Z475,'Setup'!$D$35))*T531)/'Setup'!$B$9,0)*'Setup'!$B$9</x:f>
        <x:v>0</x:v>
      </x:c>
      <x:c r="AA531" s="334"/>
      <x:c r="AB531" s="334"/>
      <x:c r="AC531" s="334"/>
      <x:c r="AD531" s="334"/>
      <x:c r="AE531" s="334"/>
      <x:c r="AF531" s="334"/>
      <x:c r="AG531" s="334"/>
      <x:c r="AH531" s="334"/>
      <x:c r="AI531" s="334"/>
      <x:c r="AJ531" s="312"/>
      <x:c r="AK531" s="312"/>
      <x:c r="AL531" s="312"/>
      <x:c r="AM531" s="312"/>
      <x:c r="AN531" s="312"/>
      <x:c r="AO531" s="315" t="n">
        <x:f>COUNT(AB531,AD531,AF531,AH531,AJ531)</x:f>
        <x:v>0</x:v>
      </x:c>
      <x:c r="AP531" s="315" t="n">
        <x:f>SUM(AB531,AD531,AF531,AH531,AJ531)</x:f>
        <x:v>0</x:v>
      </x:c>
      <x:c r="AQ531" s="333" t="n">
        <x:f>AA531*AB531+AC531*AD531+AE531*AF531+AG531*AH531+AI531*AJ531</x:f>
        <x:v>0</x:v>
      </x:c>
      <x:c r="AR531" s="333" t="n">
        <x:f>IF(OR(J531="Strength",J531="Hypertrophy"),MAX(IF(AB531&gt;0,AA531*(1+AB531/30),0),IF(AD531&gt;0,AC531*(1+AD531/30),0),IF(AF531&gt;0,AE531*(1+AF531/30),0),IF(AH531&gt;0,AG531*(1+AH531/30),0),IF(AJ531&gt;0,AI531*(1+AJ531/30),0)),0)</x:f>
        <x:v>0</x:v>
      </x:c>
      <x:c r="AS531" s="315" t="str">
        <x:f>IF(AN531&lt;&gt;"Yes","Not logged",IF(AL531&gt;='Setup'!$B$14,"STOP / MODIFY",IF(Z531=0,"Complete",IF(OR(AO531=0,AK531=""),"Add set data + RIR",IF(AND(MAX(AB531,AD531,AF531,AH531,AJ531)&gt;=P531,AK531&gt;=Q531+1),"Progress",IF(OR(MAX(AB531,AD531,AF531,AH531,AJ531)&lt;O531,AK531&lt;Q531-1),"Regress","Hold"))))))</x:f>
        <x:v>Not logged</x:v>
      </x:c>
      <x:c r="AT531" s="335" t="n">
        <x:f>IF(OR(Z531=0,AN531&lt;&gt;"Yes",AO531=0,AK531=""),0,IF(AL531&gt;='Setup'!$B$14,-2*'Setup'!$B$11,IF(AND(MAX(AB531,AD531,AF531,AH531,AJ531)&gt;=P531,AK531&gt;=Q531+1),'Setup'!$B$10,IF(OR(MAX(AB531,AD531,AF531,AH531,AJ531)&lt;O531,AK531&lt;Q531-1),-'Setup'!$B$11,0))))</x:f>
        <x:v>0</x:v>
      </x:c>
      <x:c r="AU531" s="333" t="n">
        <x:f>IF(Z531=0,0,IF(AN531&lt;&gt;"Yes",Z531,IF(COUNT(AA531,AC531,AE531,AG531,AI531)=0,Z531,ROUND((MAX(AA531,AC531,AE531,AG531,AI531)*(1+AT531))/'Setup'!$B$9,0)*'Setup'!$B$9)))</x:f>
        <x:v>0</x:v>
      </x:c>
      <x:c r="AV531" s="336"/>
    </x:row>
    <x:row r="532">
      <x:c r="A532" s="310" t="n">
        <x:f>'Setup'!$B$3+(C532-1)*7+(D532-1)</x:f>
        <x:v>46310</x:v>
      </x:c>
      <x:c r="B532" s="311" t="str">
        <x:v>10|4|3</x:v>
      </x:c>
      <x:c r="C532" s="311" t="n">
        <x:v>10</x:v>
      </x:c>
      <x:c r="D532" s="311" t="n">
        <x:v>4</x:v>
      </x:c>
      <x:c r="E532" s="311" t="str">
        <x:v>Realization</x:v>
      </x:c>
      <x:c r="F532" s="311" t="str">
        <x:v>Posterior Strength</x:v>
      </x:c>
      <x:c r="G532" s="311" t="str">
        <x:v>Deadlift strength + posterior chain</x:v>
      </x:c>
      <x:c r="H532" s="311" t="n">
        <x:v>3</x:v>
      </x:c>
      <x:c r="I532" s="311" t="str">
        <x:v>Front Squat</x:v>
      </x:c>
      <x:c r="J532" s="311" t="str">
        <x:v>Strength</x:v>
      </x:c>
      <x:c r="K532" s="311" t="str">
        <x:v>Quads</x:v>
      </x:c>
      <x:c r="L532" s="311" t="str">
        <x:v>Straight sets</x:v>
      </x:c>
      <x:c r="M532" s="311" t="str"/>
      <x:c r="N532" s="311" t="n">
        <x:v>3</x:v>
      </x:c>
      <x:c r="O532" s="311" t="n">
        <x:v>5</x:v>
      </x:c>
      <x:c r="P532" s="311" t="n">
        <x:v>7</x:v>
      </x:c>
      <x:c r="Q532" s="311" t="n">
        <x:v>2</x:v>
      </x:c>
      <x:c r="R532" s="311" t="n">
        <x:v>150</x:v>
      </x:c>
      <x:c r="S532" s="311" t="str">
        <x:v>3-1-X</x:v>
      </x:c>
      <x:c r="T532" s="330" t="n">
        <x:v>1</x:v>
      </x:c>
      <x:c r="U532" s="330" t="n">
        <x:v>0.7</x:v>
      </x:c>
      <x:c r="V532" s="331" t="str">
        <x:v>load × reps</x:v>
      </x:c>
      <x:c r="W532" s="332" t="str">
        <x:f>'Readiness'!K64</x:f>
      </x:c>
      <x:c r="X532" s="314" t="n">
        <x:f>'Readiness'!L64</x:f>
        <x:v>1</x:v>
      </x:c>
      <x:c r="Y532" s="315" t="n">
        <x:f>IF(J532="Mobility",N532,MAX(1,ROUND(N532*X532,0)))</x:f>
        <x:v>3</x:v>
      </x:c>
      <x:c r="Z532" s="333" t="n">
        <x:f>ROUND((IF(AU476&gt;0,AU476,IF(Z476&gt;0,Z476,'Setup'!$D$43))*T532)/'Setup'!$B$9,0)*'Setup'!$B$9</x:f>
        <x:v>0</x:v>
      </x:c>
      <x:c r="AA532" s="334"/>
      <x:c r="AB532" s="334"/>
      <x:c r="AC532" s="334"/>
      <x:c r="AD532" s="334"/>
      <x:c r="AE532" s="334"/>
      <x:c r="AF532" s="334"/>
      <x:c r="AG532" s="334"/>
      <x:c r="AH532" s="334"/>
      <x:c r="AI532" s="334"/>
      <x:c r="AJ532" s="312"/>
      <x:c r="AK532" s="312"/>
      <x:c r="AL532" s="312"/>
      <x:c r="AM532" s="312"/>
      <x:c r="AN532" s="312"/>
      <x:c r="AO532" s="315" t="n">
        <x:f>COUNT(AB532,AD532,AF532,AH532,AJ532)</x:f>
        <x:v>0</x:v>
      </x:c>
      <x:c r="AP532" s="315" t="n">
        <x:f>SUM(AB532,AD532,AF532,AH532,AJ532)</x:f>
        <x:v>0</x:v>
      </x:c>
      <x:c r="AQ532" s="333" t="n">
        <x:f>AA532*AB532+AC532*AD532+AE532*AF532+AG532*AH532+AI532*AJ532</x:f>
        <x:v>0</x:v>
      </x:c>
      <x:c r="AR532" s="333" t="n">
        <x:f>IF(OR(J532="Strength",J532="Hypertrophy"),MAX(IF(AB532&gt;0,AA532*(1+AB532/30),0),IF(AD532&gt;0,AC532*(1+AD532/30),0),IF(AF532&gt;0,AE532*(1+AF532/30),0),IF(AH532&gt;0,AG532*(1+AH532/30),0),IF(AJ532&gt;0,AI532*(1+AJ532/30),0)),0)</x:f>
        <x:v>0</x:v>
      </x:c>
      <x:c r="AS532" s="315" t="str">
        <x:f>IF(AN532&lt;&gt;"Yes","Not logged",IF(AL532&gt;='Setup'!$B$14,"STOP / MODIFY",IF(Z532=0,"Complete",IF(OR(AO532=0,AK532=""),"Add set data + RIR",IF(AND(MAX(AB532,AD532,AF532,AH532,AJ532)&gt;=P532,AK532&gt;=Q532+1),"Progress",IF(OR(MAX(AB532,AD532,AF532,AH532,AJ532)&lt;O532,AK532&lt;Q532-1),"Regress","Hold"))))))</x:f>
        <x:v>Not logged</x:v>
      </x:c>
      <x:c r="AT532" s="335" t="n">
        <x:f>IF(OR(Z532=0,AN532&lt;&gt;"Yes",AO532=0,AK532=""),0,IF(AL532&gt;='Setup'!$B$14,-2*'Setup'!$B$11,IF(AND(MAX(AB532,AD532,AF532,AH532,AJ532)&gt;=P532,AK532&gt;=Q532+1),'Setup'!$B$10,IF(OR(MAX(AB532,AD532,AF532,AH532,AJ532)&lt;O532,AK532&lt;Q532-1),-'Setup'!$B$11,0))))</x:f>
        <x:v>0</x:v>
      </x:c>
      <x:c r="AU532" s="333" t="n">
        <x:f>IF(Z532=0,0,IF(AN532&lt;&gt;"Yes",Z532,IF(COUNT(AA532,AC532,AE532,AG532,AI532)=0,Z532,ROUND((MAX(AA532,AC532,AE532,AG532,AI532)*(1+AT532))/'Setup'!$B$9,0)*'Setup'!$B$9)))</x:f>
        <x:v>0</x:v>
      </x:c>
      <x:c r="AV532" s="336"/>
    </x:row>
    <x:row r="533">
      <x:c r="A533" s="310" t="n">
        <x:f>'Setup'!$B$3+(C533-1)*7+(D533-1)</x:f>
        <x:v>46310</x:v>
      </x:c>
      <x:c r="B533" s="311" t="str">
        <x:v>10|4|4</x:v>
      </x:c>
      <x:c r="C533" s="311" t="n">
        <x:v>10</x:v>
      </x:c>
      <x:c r="D533" s="311" t="n">
        <x:v>4</x:v>
      </x:c>
      <x:c r="E533" s="311" t="str">
        <x:v>Realization</x:v>
      </x:c>
      <x:c r="F533" s="311" t="str">
        <x:v>Posterior Strength</x:v>
      </x:c>
      <x:c r="G533" s="311" t="str">
        <x:v>Deadlift strength + posterior chain</x:v>
      </x:c>
      <x:c r="H533" s="311" t="n">
        <x:v>4</x:v>
      </x:c>
      <x:c r="I533" s="311" t="str">
        <x:v>Barbell Hip Thrust</x:v>
      </x:c>
      <x:c r="J533" s="311" t="str">
        <x:v>Strength</x:v>
      </x:c>
      <x:c r="K533" s="311" t="str">
        <x:v>Glutes</x:v>
      </x:c>
      <x:c r="L533" s="311" t="str">
        <x:v>Straight sets</x:v>
      </x:c>
      <x:c r="M533" s="311" t="str"/>
      <x:c r="N533" s="311" t="n">
        <x:v>3</x:v>
      </x:c>
      <x:c r="O533" s="311" t="n">
        <x:v>6</x:v>
      </x:c>
      <x:c r="P533" s="311" t="n">
        <x:v>8</x:v>
      </x:c>
      <x:c r="Q533" s="311" t="n">
        <x:v>2</x:v>
      </x:c>
      <x:c r="R533" s="311" t="n">
        <x:v>120</x:v>
      </x:c>
      <x:c r="S533" s="311" t="str">
        <x:v>2-1-1</x:v>
      </x:c>
      <x:c r="T533" s="330" t="n">
        <x:v>1</x:v>
      </x:c>
      <x:c r="U533" s="330" t="n">
        <x:v>0</x:v>
      </x:c>
      <x:c r="V533" s="331" t="str">
        <x:v>load × reps</x:v>
      </x:c>
      <x:c r="W533" s="332" t="str">
        <x:f>'Readiness'!K64</x:f>
      </x:c>
      <x:c r="X533" s="314" t="n">
        <x:f>'Readiness'!L64</x:f>
        <x:v>1</x:v>
      </x:c>
      <x:c r="Y533" s="315" t="n">
        <x:f>IF(J533="Mobility",N533,MAX(1,ROUND(N533*X533,0)))</x:f>
        <x:v>3</x:v>
      </x:c>
      <x:c r="Z533" s="333" t="n">
        <x:f>ROUND((IF(AU477&gt;0,AU477,IF(Z477&gt;0,Z477,'Setup'!$D$25))*T533)/'Setup'!$B$9,0)*'Setup'!$B$9</x:f>
        <x:v>0</x:v>
      </x:c>
      <x:c r="AA533" s="334"/>
      <x:c r="AB533" s="334"/>
      <x:c r="AC533" s="334"/>
      <x:c r="AD533" s="334"/>
      <x:c r="AE533" s="334"/>
      <x:c r="AF533" s="334"/>
      <x:c r="AG533" s="334"/>
      <x:c r="AH533" s="334"/>
      <x:c r="AI533" s="334"/>
      <x:c r="AJ533" s="312"/>
      <x:c r="AK533" s="312"/>
      <x:c r="AL533" s="312"/>
      <x:c r="AM533" s="312"/>
      <x:c r="AN533" s="312"/>
      <x:c r="AO533" s="315" t="n">
        <x:f>COUNT(AB533,AD533,AF533,AH533,AJ533)</x:f>
        <x:v>0</x:v>
      </x:c>
      <x:c r="AP533" s="315" t="n">
        <x:f>SUM(AB533,AD533,AF533,AH533,AJ533)</x:f>
        <x:v>0</x:v>
      </x:c>
      <x:c r="AQ533" s="333" t="n">
        <x:f>AA533*AB533+AC533*AD533+AE533*AF533+AG533*AH533+AI533*AJ533</x:f>
        <x:v>0</x:v>
      </x:c>
      <x:c r="AR533" s="333" t="n">
        <x:f>IF(OR(J533="Strength",J533="Hypertrophy"),MAX(IF(AB533&gt;0,AA533*(1+AB533/30),0),IF(AD533&gt;0,AC533*(1+AD533/30),0),IF(AF533&gt;0,AE533*(1+AF533/30),0),IF(AH533&gt;0,AG533*(1+AH533/30),0),IF(AJ533&gt;0,AI533*(1+AJ533/30),0)),0)</x:f>
        <x:v>0</x:v>
      </x:c>
      <x:c r="AS533" s="315" t="str">
        <x:f>IF(AN533&lt;&gt;"Yes","Not logged",IF(AL533&gt;='Setup'!$B$14,"STOP / MODIFY",IF(Z533=0,"Complete",IF(OR(AO533=0,AK533=""),"Add set data + RIR",IF(AND(MAX(AB533,AD533,AF533,AH533,AJ533)&gt;=P533,AK533&gt;=Q533+1),"Progress",IF(OR(MAX(AB533,AD533,AF533,AH533,AJ533)&lt;O533,AK533&lt;Q533-1),"Regress","Hold"))))))</x:f>
        <x:v>Not logged</x:v>
      </x:c>
      <x:c r="AT533" s="335" t="n">
        <x:f>IF(OR(Z533=0,AN533&lt;&gt;"Yes",AO533=0,AK533=""),0,IF(AL533&gt;='Setup'!$B$14,-2*'Setup'!$B$11,IF(AND(MAX(AB533,AD533,AF533,AH533,AJ533)&gt;=P533,AK533&gt;=Q533+1),'Setup'!$B$10,IF(OR(MAX(AB533,AD533,AF533,AH533,AJ533)&lt;O533,AK533&lt;Q533-1),-'Setup'!$B$11,0))))</x:f>
        <x:v>0</x:v>
      </x:c>
      <x:c r="AU533" s="333" t="n">
        <x:f>IF(Z533=0,0,IF(AN533&lt;&gt;"Yes",Z533,IF(COUNT(AA533,AC533,AE533,AG533,AI533)=0,Z533,ROUND((MAX(AA533,AC533,AE533,AG533,AI533)*(1+AT533))/'Setup'!$B$9,0)*'Setup'!$B$9)))</x:f>
        <x:v>0</x:v>
      </x:c>
      <x:c r="AV533" s="336"/>
    </x:row>
    <x:row r="534">
      <x:c r="A534" s="310" t="n">
        <x:f>'Setup'!$B$3+(C534-1)*7+(D534-1)</x:f>
        <x:v>46310</x:v>
      </x:c>
      <x:c r="B534" s="311" t="str">
        <x:v>10|4|5</x:v>
      </x:c>
      <x:c r="C534" s="311" t="n">
        <x:v>10</x:v>
      </x:c>
      <x:c r="D534" s="311" t="n">
        <x:v>4</x:v>
      </x:c>
      <x:c r="E534" s="311" t="str">
        <x:v>Realization</x:v>
      </x:c>
      <x:c r="F534" s="311" t="str">
        <x:v>Posterior Strength</x:v>
      </x:c>
      <x:c r="G534" s="311" t="str">
        <x:v>Deadlift strength + posterior chain</x:v>
      </x:c>
      <x:c r="H534" s="311" t="n">
        <x:v>5</x:v>
      </x:c>
      <x:c r="I534" s="311" t="str">
        <x:v>Nordic Hamstring Curl</x:v>
      </x:c>
      <x:c r="J534" s="311" t="str">
        <x:v>Strength</x:v>
      </x:c>
      <x:c r="K534" s="311" t="str">
        <x:v>Hamstrings</x:v>
      </x:c>
      <x:c r="L534" s="311" t="str">
        <x:v>Controlled eccentric</x:v>
      </x:c>
      <x:c r="M534" s="311" t="str"/>
      <x:c r="N534" s="311" t="n">
        <x:v>3</x:v>
      </x:c>
      <x:c r="O534" s="311" t="n">
        <x:v>5</x:v>
      </x:c>
      <x:c r="P534" s="311" t="n">
        <x:v>8</x:v>
      </x:c>
      <x:c r="Q534" s="311" t="n">
        <x:v>2</x:v>
      </x:c>
      <x:c r="R534" s="311" t="n">
        <x:v>90</x:v>
      </x:c>
      <x:c r="S534" s="311" t="str">
        <x:v>5-0-X</x:v>
      </x:c>
      <x:c r="T534" s="330" t="n">
        <x:v>1</x:v>
      </x:c>
      <x:c r="U534" s="330" t="n">
        <x:v>0</x:v>
      </x:c>
      <x:c r="V534" s="331" t="str">
        <x:v>reps</x:v>
      </x:c>
      <x:c r="W534" s="332" t="str">
        <x:f>'Readiness'!K64</x:f>
      </x:c>
      <x:c r="X534" s="314" t="n">
        <x:f>'Readiness'!L64</x:f>
        <x:v>1</x:v>
      </x:c>
      <x:c r="Y534" s="315" t="n">
        <x:f>IF(J534="Mobility",N534,MAX(1,ROUND(N534*X534,0)))</x:f>
        <x:v>3</x:v>
      </x:c>
      <x:c r="Z534" s="333" t="n">
        <x:f>0</x:f>
        <x:v>0</x:v>
      </x:c>
      <x:c r="AA534" s="334"/>
      <x:c r="AB534" s="334"/>
      <x:c r="AC534" s="334"/>
      <x:c r="AD534" s="334"/>
      <x:c r="AE534" s="334"/>
      <x:c r="AF534" s="334"/>
      <x:c r="AG534" s="334"/>
      <x:c r="AH534" s="334"/>
      <x:c r="AI534" s="334"/>
      <x:c r="AJ534" s="312"/>
      <x:c r="AK534" s="312"/>
      <x:c r="AL534" s="312"/>
      <x:c r="AM534" s="312"/>
      <x:c r="AN534" s="312"/>
      <x:c r="AO534" s="315" t="n">
        <x:f>COUNT(AB534,AD534,AF534,AH534,AJ534)</x:f>
        <x:v>0</x:v>
      </x:c>
      <x:c r="AP534" s="315" t="n">
        <x:f>SUM(AB534,AD534,AF534,AH534,AJ534)</x:f>
        <x:v>0</x:v>
      </x:c>
      <x:c r="AQ534" s="333" t="n">
        <x:f>AA534*AB534+AC534*AD534+AE534*AF534+AG534*AH534+AI534*AJ534</x:f>
        <x:v>0</x:v>
      </x:c>
      <x:c r="AR534" s="333" t="n">
        <x:f>IF(OR(J534="Strength",J534="Hypertrophy"),MAX(IF(AB534&gt;0,AA534*(1+AB534/30),0),IF(AD534&gt;0,AC534*(1+AD534/30),0),IF(AF534&gt;0,AE534*(1+AF534/30),0),IF(AH534&gt;0,AG534*(1+AH534/30),0),IF(AJ534&gt;0,AI534*(1+AJ534/30),0)),0)</x:f>
        <x:v>0</x:v>
      </x:c>
      <x:c r="AS534" s="315" t="str">
        <x:f>IF(AN534&lt;&gt;"Yes","Not logged",IF(AL534&gt;='Setup'!$B$14,"STOP / MODIFY",IF(Z534=0,"Complete",IF(OR(AO534=0,AK534=""),"Add set data + RIR",IF(AND(MAX(AB534,AD534,AF534,AH534,AJ534)&gt;=P534,AK534&gt;=Q534+1),"Progress",IF(OR(MAX(AB534,AD534,AF534,AH534,AJ534)&lt;O534,AK534&lt;Q534-1),"Regress","Hold"))))))</x:f>
        <x:v>Not logged</x:v>
      </x:c>
      <x:c r="AT534" s="335" t="n">
        <x:f>IF(OR(Z534=0,AN534&lt;&gt;"Yes",AO534=0,AK534=""),0,IF(AL534&gt;='Setup'!$B$14,-2*'Setup'!$B$11,IF(AND(MAX(AB534,AD534,AF534,AH534,AJ534)&gt;=P534,AK534&gt;=Q534+1),'Setup'!$B$10,IF(OR(MAX(AB534,AD534,AF534,AH534,AJ534)&lt;O534,AK534&lt;Q534-1),-'Setup'!$B$11,0))))</x:f>
        <x:v>0</x:v>
      </x:c>
      <x:c r="AU534" s="333" t="n">
        <x:f>IF(Z534=0,0,IF(AN534&lt;&gt;"Yes",Z534,IF(COUNT(AA534,AC534,AE534,AG534,AI534)=0,Z534,ROUND((MAX(AA534,AC534,AE534,AG534,AI534)*(1+AT534))/'Setup'!$B$9,0)*'Setup'!$B$9)))</x:f>
        <x:v>0</x:v>
      </x:c>
      <x:c r="AV534" s="336"/>
    </x:row>
    <x:row r="535">
      <x:c r="A535" s="310" t="n">
        <x:f>'Setup'!$B$3+(C535-1)*7+(D535-1)</x:f>
        <x:v>46310</x:v>
      </x:c>
      <x:c r="B535" s="311" t="str">
        <x:v>10|4|6</x:v>
      </x:c>
      <x:c r="C535" s="311" t="n">
        <x:v>10</x:v>
      </x:c>
      <x:c r="D535" s="311" t="n">
        <x:v>4</x:v>
      </x:c>
      <x:c r="E535" s="311" t="str">
        <x:v>Realization</x:v>
      </x:c>
      <x:c r="F535" s="311" t="str">
        <x:v>Posterior Strength</x:v>
      </x:c>
      <x:c r="G535" s="311" t="str">
        <x:v>Deadlift strength + posterior chain</x:v>
      </x:c>
      <x:c r="H535" s="311" t="n">
        <x:v>6</x:v>
      </x:c>
      <x:c r="I535" s="311" t="str">
        <x:v>45-Degree Back Extension</x:v>
      </x:c>
      <x:c r="J535" s="311" t="str">
        <x:v>Hypertrophy</x:v>
      </x:c>
      <x:c r="K535" s="311" t="str">
        <x:v>Hamstrings</x:v>
      </x:c>
      <x:c r="L535" s="311" t="str">
        <x:v>Straight sets</x:v>
      </x:c>
      <x:c r="M535" s="311" t="str"/>
      <x:c r="N535" s="311" t="n">
        <x:v>4</x:v>
      </x:c>
      <x:c r="O535" s="311" t="n">
        <x:v>10</x:v>
      </x:c>
      <x:c r="P535" s="311" t="n">
        <x:v>15</x:v>
      </x:c>
      <x:c r="Q535" s="311" t="n">
        <x:v>2</x:v>
      </x:c>
      <x:c r="R535" s="311" t="n">
        <x:v>60</x:v>
      </x:c>
      <x:c r="S535" s="311" t="str">
        <x:v>3-1-1</x:v>
      </x:c>
      <x:c r="T535" s="330" t="n">
        <x:v>1</x:v>
      </x:c>
      <x:c r="U535" s="330" t="n">
        <x:v>0</x:v>
      </x:c>
      <x:c r="V535" s="331" t="str">
        <x:v>load × reps</x:v>
      </x:c>
      <x:c r="W535" s="332" t="str">
        <x:f>'Readiness'!K64</x:f>
      </x:c>
      <x:c r="X535" s="314" t="n">
        <x:f>'Readiness'!L64</x:f>
        <x:v>1</x:v>
      </x:c>
      <x:c r="Y535" s="315" t="n">
        <x:f>IF(J535="Mobility",N535,MAX(1,ROUND(N535*X535,0)))</x:f>
        <x:v>4</x:v>
      </x:c>
      <x:c r="Z535" s="333" t="n">
        <x:f>ROUND((IF(AU479&gt;0,AU479,IF(Z479&gt;0,Z479,'Setup'!$D$18))*T535)/'Setup'!$B$9,0)*'Setup'!$B$9</x:f>
        <x:v>0</x:v>
      </x:c>
      <x:c r="AA535" s="334"/>
      <x:c r="AB535" s="334"/>
      <x:c r="AC535" s="334"/>
      <x:c r="AD535" s="334"/>
      <x:c r="AE535" s="334"/>
      <x:c r="AF535" s="334"/>
      <x:c r="AG535" s="334"/>
      <x:c r="AH535" s="334"/>
      <x:c r="AI535" s="334"/>
      <x:c r="AJ535" s="312"/>
      <x:c r="AK535" s="312"/>
      <x:c r="AL535" s="312"/>
      <x:c r="AM535" s="312"/>
      <x:c r="AN535" s="312"/>
      <x:c r="AO535" s="315" t="n">
        <x:f>COUNT(AB535,AD535,AF535,AH535,AJ535)</x:f>
        <x:v>0</x:v>
      </x:c>
      <x:c r="AP535" s="315" t="n">
        <x:f>SUM(AB535,AD535,AF535,AH535,AJ535)</x:f>
        <x:v>0</x:v>
      </x:c>
      <x:c r="AQ535" s="333" t="n">
        <x:f>AA535*AB535+AC535*AD535+AE535*AF535+AG535*AH535+AI535*AJ535</x:f>
        <x:v>0</x:v>
      </x:c>
      <x:c r="AR535" s="333" t="n">
        <x:f>IF(OR(J535="Strength",J535="Hypertrophy"),MAX(IF(AB535&gt;0,AA535*(1+AB535/30),0),IF(AD535&gt;0,AC535*(1+AD535/30),0),IF(AF535&gt;0,AE535*(1+AF535/30),0),IF(AH535&gt;0,AG535*(1+AH535/30),0),IF(AJ535&gt;0,AI535*(1+AJ535/30),0)),0)</x:f>
        <x:v>0</x:v>
      </x:c>
      <x:c r="AS535" s="315" t="str">
        <x:f>IF(AN535&lt;&gt;"Yes","Not logged",IF(AL535&gt;='Setup'!$B$14,"STOP / MODIFY",IF(Z535=0,"Complete",IF(OR(AO535=0,AK535=""),"Add set data + RIR",IF(AND(MAX(AB535,AD535,AF535,AH535,AJ535)&gt;=P535,AK535&gt;=Q535+1),"Progress",IF(OR(MAX(AB535,AD535,AF535,AH535,AJ535)&lt;O535,AK535&lt;Q535-1),"Regress","Hold"))))))</x:f>
        <x:v>Not logged</x:v>
      </x:c>
      <x:c r="AT535" s="335" t="n">
        <x:f>IF(OR(Z535=0,AN535&lt;&gt;"Yes",AO535=0,AK535=""),0,IF(AL535&gt;='Setup'!$B$14,-2*'Setup'!$B$11,IF(AND(MAX(AB535,AD535,AF535,AH535,AJ535)&gt;=P535,AK535&gt;=Q535+1),'Setup'!$B$10,IF(OR(MAX(AB535,AD535,AF535,AH535,AJ535)&lt;O535,AK535&lt;Q535-1),-'Setup'!$B$11,0))))</x:f>
        <x:v>0</x:v>
      </x:c>
      <x:c r="AU535" s="333" t="n">
        <x:f>IF(Z535=0,0,IF(AN535&lt;&gt;"Yes",Z535,IF(COUNT(AA535,AC535,AE535,AG535,AI535)=0,Z535,ROUND((MAX(AA535,AC535,AE535,AG535,AI535)*(1+AT535))/'Setup'!$B$9,0)*'Setup'!$B$9)))</x:f>
        <x:v>0</x:v>
      </x:c>
      <x:c r="AV535" s="336"/>
    </x:row>
    <x:row r="536">
      <x:c r="A536" s="310" t="n">
        <x:f>'Setup'!$B$3+(C536-1)*7+(D536-1)</x:f>
        <x:v>46310</x:v>
      </x:c>
      <x:c r="B536" s="311" t="str">
        <x:v>10|4|7</x:v>
      </x:c>
      <x:c r="C536" s="311" t="n">
        <x:v>10</x:v>
      </x:c>
      <x:c r="D536" s="311" t="n">
        <x:v>4</x:v>
      </x:c>
      <x:c r="E536" s="311" t="str">
        <x:v>Realization</x:v>
      </x:c>
      <x:c r="F536" s="311" t="str">
        <x:v>Posterior Strength</x:v>
      </x:c>
      <x:c r="G536" s="311" t="str">
        <x:v>Deadlift strength + posterior chain</x:v>
      </x:c>
      <x:c r="H536" s="311" t="n">
        <x:v>7</x:v>
      </x:c>
      <x:c r="I536" s="311" t="str">
        <x:v>Farmer Carry</x:v>
      </x:c>
      <x:c r="J536" s="311" t="str">
        <x:v>Athletic</x:v>
      </x:c>
      <x:c r="K536" s="311" t="str">
        <x:v>Full Body</x:v>
      </x:c>
      <x:c r="L536" s="311" t="str">
        <x:v>Tall posture, fast feet</x:v>
      </x:c>
      <x:c r="M536" s="311" t="str"/>
      <x:c r="N536" s="311" t="n">
        <x:v>4</x:v>
      </x:c>
      <x:c r="O536" s="311" t="n">
        <x:v>30</x:v>
      </x:c>
      <x:c r="P536" s="311" t="n">
        <x:v>40</x:v>
      </x:c>
      <x:c r="Q536" s="311" t="n">
        <x:v>2</x:v>
      </x:c>
      <x:c r="R536" s="311" t="n">
        <x:v>75</x:v>
      </x:c>
      <x:c r="S536" s="311" t="str">
        <x:v>Controlled</x:v>
      </x:c>
      <x:c r="T536" s="330" t="n">
        <x:v>1</x:v>
      </x:c>
      <x:c r="U536" s="330" t="n">
        <x:v>0</x:v>
      </x:c>
      <x:c r="V536" s="331" t="str">
        <x:v>load + meters</x:v>
      </x:c>
      <x:c r="W536" s="332" t="str">
        <x:f>'Readiness'!K64</x:f>
      </x:c>
      <x:c r="X536" s="314" t="n">
        <x:f>'Readiness'!L64</x:f>
        <x:v>1</x:v>
      </x:c>
      <x:c r="Y536" s="315" t="n">
        <x:f>IF(J536="Mobility",N536,MAX(1,ROUND(N536*X536,0)))</x:f>
        <x:v>4</x:v>
      </x:c>
      <x:c r="Z536" s="333" t="n">
        <x:f>0</x:f>
        <x:v>0</x:v>
      </x:c>
      <x:c r="AA536" s="334"/>
      <x:c r="AB536" s="334"/>
      <x:c r="AC536" s="334"/>
      <x:c r="AD536" s="334"/>
      <x:c r="AE536" s="334"/>
      <x:c r="AF536" s="334"/>
      <x:c r="AG536" s="334"/>
      <x:c r="AH536" s="334"/>
      <x:c r="AI536" s="334"/>
      <x:c r="AJ536" s="312"/>
      <x:c r="AK536" s="312"/>
      <x:c r="AL536" s="312"/>
      <x:c r="AM536" s="312"/>
      <x:c r="AN536" s="312"/>
      <x:c r="AO536" s="315" t="n">
        <x:f>COUNT(AB536,AD536,AF536,AH536,AJ536)</x:f>
        <x:v>0</x:v>
      </x:c>
      <x:c r="AP536" s="315" t="n">
        <x:f>SUM(AB536,AD536,AF536,AH536,AJ536)</x:f>
        <x:v>0</x:v>
      </x:c>
      <x:c r="AQ536" s="333" t="n">
        <x:f>AA536*AB536+AC536*AD536+AE536*AF536+AG536*AH536+AI536*AJ536</x:f>
        <x:v>0</x:v>
      </x:c>
      <x:c r="AR536" s="333" t="n">
        <x:f>IF(OR(J536="Strength",J536="Hypertrophy"),MAX(IF(AB536&gt;0,AA536*(1+AB536/30),0),IF(AD536&gt;0,AC536*(1+AD536/30),0),IF(AF536&gt;0,AE536*(1+AF536/30),0),IF(AH536&gt;0,AG536*(1+AH536/30),0),IF(AJ536&gt;0,AI536*(1+AJ536/30),0)),0)</x:f>
        <x:v>0</x:v>
      </x:c>
      <x:c r="AS536" s="315" t="str">
        <x:f>IF(AN536&lt;&gt;"Yes","Not logged",IF(AL536&gt;='Setup'!$B$14,"STOP / MODIFY",IF(Z536=0,"Complete",IF(OR(AO536=0,AK536=""),"Add set data + RIR",IF(AND(MAX(AB536,AD536,AF536,AH536,AJ536)&gt;=P536,AK536&gt;=Q536+1),"Progress",IF(OR(MAX(AB536,AD536,AF536,AH536,AJ536)&lt;O536,AK536&lt;Q536-1),"Regress","Hold"))))))</x:f>
        <x:v>Not logged</x:v>
      </x:c>
      <x:c r="AT536" s="335" t="n">
        <x:f>IF(OR(Z536=0,AN536&lt;&gt;"Yes",AO536=0,AK536=""),0,IF(AL536&gt;='Setup'!$B$14,-2*'Setup'!$B$11,IF(AND(MAX(AB536,AD536,AF536,AH536,AJ536)&gt;=P536,AK536&gt;=Q536+1),'Setup'!$B$10,IF(OR(MAX(AB536,AD536,AF536,AH536,AJ536)&lt;O536,AK536&lt;Q536-1),-'Setup'!$B$11,0))))</x:f>
        <x:v>0</x:v>
      </x:c>
      <x:c r="AU536" s="333" t="n">
        <x:f>IF(Z536=0,0,IF(AN536&lt;&gt;"Yes",Z536,IF(COUNT(AA536,AC536,AE536,AG536,AI536)=0,Z536,ROUND((MAX(AA536,AC536,AE536,AG536,AI536)*(1+AT536))/'Setup'!$B$9,0)*'Setup'!$B$9)))</x:f>
        <x:v>0</x:v>
      </x:c>
      <x:c r="AV536" s="336"/>
    </x:row>
    <x:row r="537">
      <x:c r="A537" s="310" t="n">
        <x:f>'Setup'!$B$3+(C537-1)*7+(D537-1)</x:f>
        <x:v>46310</x:v>
      </x:c>
      <x:c r="B537" s="311" t="str">
        <x:v>10|4|8</x:v>
      </x:c>
      <x:c r="C537" s="311" t="n">
        <x:v>10</x:v>
      </x:c>
      <x:c r="D537" s="311" t="n">
        <x:v>4</x:v>
      </x:c>
      <x:c r="E537" s="311" t="str">
        <x:v>Realization</x:v>
      </x:c>
      <x:c r="F537" s="311" t="str">
        <x:v>Posterior Strength</x:v>
      </x:c>
      <x:c r="G537" s="311" t="str">
        <x:v>Deadlift strength + posterior chain</x:v>
      </x:c>
      <x:c r="H537" s="311" t="n">
        <x:v>8</x:v>
      </x:c>
      <x:c r="I537" s="311" t="str">
        <x:v>Copenhagen Plank</x:v>
      </x:c>
      <x:c r="J537" s="311" t="str">
        <x:v>Mobility</x:v>
      </x:c>
      <x:c r="K537" s="311" t="str">
        <x:v>Core</x:v>
      </x:c>
      <x:c r="L537" s="311" t="str">
        <x:v>Isometric control</x:v>
      </x:c>
      <x:c r="M537" s="311" t="str"/>
      <x:c r="N537" s="311" t="n">
        <x:v>2</x:v>
      </x:c>
      <x:c r="O537" s="311" t="n">
        <x:v>20</x:v>
      </x:c>
      <x:c r="P537" s="311" t="n">
        <x:v>30</x:v>
      </x:c>
      <x:c r="Q537" s="311" t="str"/>
      <x:c r="R537" s="311" t="n">
        <x:v>30</x:v>
      </x:c>
      <x:c r="S537" s="311" t="str">
        <x:v>Hold</x:v>
      </x:c>
      <x:c r="T537" s="330" t="n">
        <x:v>1</x:v>
      </x:c>
      <x:c r="U537" s="330" t="n">
        <x:v>0</x:v>
      </x:c>
      <x:c r="V537" s="331" t="str">
        <x:v>seconds</x:v>
      </x:c>
      <x:c r="W537" s="332" t="str">
        <x:f>'Readiness'!K64</x:f>
      </x:c>
      <x:c r="X537" s="314" t="n">
        <x:f>'Readiness'!L64</x:f>
        <x:v>1</x:v>
      </x:c>
      <x:c r="Y537" s="315" t="n">
        <x:f>IF(J537="Mobility",N537,MAX(1,ROUND(N537*X537,0)))</x:f>
        <x:v>2</x:v>
      </x:c>
      <x:c r="Z537" s="333" t="n">
        <x:f>0</x:f>
        <x:v>0</x:v>
      </x:c>
      <x:c r="AA537" s="334"/>
      <x:c r="AB537" s="334"/>
      <x:c r="AC537" s="334"/>
      <x:c r="AD537" s="334"/>
      <x:c r="AE537" s="334"/>
      <x:c r="AF537" s="334"/>
      <x:c r="AG537" s="334"/>
      <x:c r="AH537" s="334"/>
      <x:c r="AI537" s="334"/>
      <x:c r="AJ537" s="312"/>
      <x:c r="AK537" s="312"/>
      <x:c r="AL537" s="312"/>
      <x:c r="AM537" s="312"/>
      <x:c r="AN537" s="312"/>
      <x:c r="AO537" s="315" t="n">
        <x:f>COUNT(AB537,AD537,AF537,AH537,AJ537)</x:f>
        <x:v>0</x:v>
      </x:c>
      <x:c r="AP537" s="315" t="n">
        <x:f>SUM(AB537,AD537,AF537,AH537,AJ537)</x:f>
        <x:v>0</x:v>
      </x:c>
      <x:c r="AQ537" s="333" t="n">
        <x:f>AA537*AB537+AC537*AD537+AE537*AF537+AG537*AH537+AI537*AJ537</x:f>
        <x:v>0</x:v>
      </x:c>
      <x:c r="AR537" s="333" t="n">
        <x:f>IF(OR(J537="Strength",J537="Hypertrophy"),MAX(IF(AB537&gt;0,AA537*(1+AB537/30),0),IF(AD537&gt;0,AC537*(1+AD537/30),0),IF(AF537&gt;0,AE537*(1+AF537/30),0),IF(AH537&gt;0,AG537*(1+AH537/30),0),IF(AJ537&gt;0,AI537*(1+AJ537/30),0)),0)</x:f>
        <x:v>0</x:v>
      </x:c>
      <x:c r="AS537" s="315" t="str">
        <x:f>IF(AN537&lt;&gt;"Yes","Not logged",IF(AL537&gt;='Setup'!$B$14,"STOP / MODIFY",IF(Z537=0,"Complete",IF(OR(AO537=0,AK537=""),"Add set data + RIR",IF(AND(MAX(AB537,AD537,AF537,AH537,AJ537)&gt;=P537,AK537&gt;=Q537+1),"Progress",IF(OR(MAX(AB537,AD537,AF537,AH537,AJ537)&lt;O537,AK537&lt;Q537-1),"Regress","Hold"))))))</x:f>
        <x:v>Not logged</x:v>
      </x:c>
      <x:c r="AT537" s="335" t="n">
        <x:f>IF(OR(Z537=0,AN537&lt;&gt;"Yes",AO537=0,AK537=""),0,IF(AL537&gt;='Setup'!$B$14,-2*'Setup'!$B$11,IF(AND(MAX(AB537,AD537,AF537,AH537,AJ537)&gt;=P537,AK537&gt;=Q537+1),'Setup'!$B$10,IF(OR(MAX(AB537,AD537,AF537,AH537,AJ537)&lt;O537,AK537&lt;Q537-1),-'Setup'!$B$11,0))))</x:f>
        <x:v>0</x:v>
      </x:c>
      <x:c r="AU537" s="333" t="n">
        <x:f>IF(Z537=0,0,IF(AN537&lt;&gt;"Yes",Z537,IF(COUNT(AA537,AC537,AE537,AG537,AI537)=0,Z537,ROUND((MAX(AA537,AC537,AE537,AG537,AI537)*(1+AT537))/'Setup'!$B$9,0)*'Setup'!$B$9)))</x:f>
        <x:v>0</x:v>
      </x:c>
      <x:c r="AV537" s="336"/>
    </x:row>
    <x:row r="538">
      <x:c r="A538" s="310" t="n">
        <x:f>'Setup'!$B$3+(C538-1)*7+(D538-1)</x:f>
        <x:v>46310</x:v>
      </x:c>
      <x:c r="B538" s="311" t="str">
        <x:v>10|4|9</x:v>
      </x:c>
      <x:c r="C538" s="311" t="n">
        <x:v>10</x:v>
      </x:c>
      <x:c r="D538" s="311" t="n">
        <x:v>4</x:v>
      </x:c>
      <x:c r="E538" s="311" t="str">
        <x:v>Realization</x:v>
      </x:c>
      <x:c r="F538" s="311" t="str">
        <x:v>Posterior Strength</x:v>
      </x:c>
      <x:c r="G538" s="311" t="str">
        <x:v>Deadlift strength + posterior chain</x:v>
      </x:c>
      <x:c r="H538" s="311" t="n">
        <x:v>9</x:v>
      </x:c>
      <x:c r="I538" s="311" t="str">
        <x:v>Couch Stretch</x:v>
      </x:c>
      <x:c r="J538" s="311" t="str">
        <x:v>Mobility</x:v>
      </x:c>
      <x:c r="K538" s="311" t="str">
        <x:v>Hips</x:v>
      </x:c>
      <x:c r="L538" s="311" t="str">
        <x:v>Relaxed breathing</x:v>
      </x:c>
      <x:c r="M538" s="311" t="str"/>
      <x:c r="N538" s="311" t="n">
        <x:v>2</x:v>
      </x:c>
      <x:c r="O538" s="311" t="n">
        <x:v>30</x:v>
      </x:c>
      <x:c r="P538" s="311" t="n">
        <x:v>45</x:v>
      </x:c>
      <x:c r="Q538" s="311" t="str"/>
      <x:c r="R538" s="311" t="n">
        <x:v>20</x:v>
      </x:c>
      <x:c r="S538" s="311" t="str">
        <x:v>Hold</x:v>
      </x:c>
      <x:c r="T538" s="330" t="n">
        <x:v>1</x:v>
      </x:c>
      <x:c r="U538" s="330" t="n">
        <x:v>0</x:v>
      </x:c>
      <x:c r="V538" s="331" t="str">
        <x:v>seconds</x:v>
      </x:c>
      <x:c r="W538" s="332" t="str">
        <x:f>'Readiness'!K64</x:f>
      </x:c>
      <x:c r="X538" s="314" t="n">
        <x:f>'Readiness'!L64</x:f>
        <x:v>1</x:v>
      </x:c>
      <x:c r="Y538" s="315" t="n">
        <x:f>IF(J538="Mobility",N538,MAX(1,ROUND(N538*X538,0)))</x:f>
        <x:v>2</x:v>
      </x:c>
      <x:c r="Z538" s="333" t="n">
        <x:f>0</x:f>
        <x:v>0</x:v>
      </x:c>
      <x:c r="AA538" s="334"/>
      <x:c r="AB538" s="334"/>
      <x:c r="AC538" s="334"/>
      <x:c r="AD538" s="334"/>
      <x:c r="AE538" s="334"/>
      <x:c r="AF538" s="334"/>
      <x:c r="AG538" s="334"/>
      <x:c r="AH538" s="334"/>
      <x:c r="AI538" s="334"/>
      <x:c r="AJ538" s="312"/>
      <x:c r="AK538" s="312"/>
      <x:c r="AL538" s="312"/>
      <x:c r="AM538" s="312"/>
      <x:c r="AN538" s="312"/>
      <x:c r="AO538" s="315" t="n">
        <x:f>COUNT(AB538,AD538,AF538,AH538,AJ538)</x:f>
        <x:v>0</x:v>
      </x:c>
      <x:c r="AP538" s="315" t="n">
        <x:f>SUM(AB538,AD538,AF538,AH538,AJ538)</x:f>
        <x:v>0</x:v>
      </x:c>
      <x:c r="AQ538" s="333" t="n">
        <x:f>AA538*AB538+AC538*AD538+AE538*AF538+AG538*AH538+AI538*AJ538</x:f>
        <x:v>0</x:v>
      </x:c>
      <x:c r="AR538" s="333" t="n">
        <x:f>IF(OR(J538="Strength",J538="Hypertrophy"),MAX(IF(AB538&gt;0,AA538*(1+AB538/30),0),IF(AD538&gt;0,AC538*(1+AD538/30),0),IF(AF538&gt;0,AE538*(1+AF538/30),0),IF(AH538&gt;0,AG538*(1+AH538/30),0),IF(AJ538&gt;0,AI538*(1+AJ538/30),0)),0)</x:f>
        <x:v>0</x:v>
      </x:c>
      <x:c r="AS538" s="315" t="str">
        <x:f>IF(AN538&lt;&gt;"Yes","Not logged",IF(AL538&gt;='Setup'!$B$14,"STOP / MODIFY",IF(Z538=0,"Complete",IF(OR(AO538=0,AK538=""),"Add set data + RIR",IF(AND(MAX(AB538,AD538,AF538,AH538,AJ538)&gt;=P538,AK538&gt;=Q538+1),"Progress",IF(OR(MAX(AB538,AD538,AF538,AH538,AJ538)&lt;O538,AK538&lt;Q538-1),"Regress","Hold"))))))</x:f>
        <x:v>Not logged</x:v>
      </x:c>
      <x:c r="AT538" s="335" t="n">
        <x:f>IF(OR(Z538=0,AN538&lt;&gt;"Yes",AO538=0,AK538=""),0,IF(AL538&gt;='Setup'!$B$14,-2*'Setup'!$B$11,IF(AND(MAX(AB538,AD538,AF538,AH538,AJ538)&gt;=P538,AK538&gt;=Q538+1),'Setup'!$B$10,IF(OR(MAX(AB538,AD538,AF538,AH538,AJ538)&lt;O538,AK538&lt;Q538-1),-'Setup'!$B$11,0))))</x:f>
        <x:v>0</x:v>
      </x:c>
      <x:c r="AU538" s="333" t="n">
        <x:f>IF(Z538=0,0,IF(AN538&lt;&gt;"Yes",Z538,IF(COUNT(AA538,AC538,AE538,AG538,AI538)=0,Z538,ROUND((MAX(AA538,AC538,AE538,AG538,AI538)*(1+AT538))/'Setup'!$B$9,0)*'Setup'!$B$9)))</x:f>
        <x:v>0</x:v>
      </x:c>
      <x:c r="AV538" s="336"/>
    </x:row>
    <x:row r="539">
      <x:c r="A539" s="310" t="n">
        <x:f>'Setup'!$B$3+(C539-1)*7+(D539-1)</x:f>
        <x:v>46311</x:v>
      </x:c>
      <x:c r="B539" s="311" t="str">
        <x:v>10|5|1</x:v>
      </x:c>
      <x:c r="C539" s="311" t="n">
        <x:v>10</x:v>
      </x:c>
      <x:c r="D539" s="311" t="n">
        <x:v>5</x:v>
      </x:c>
      <x:c r="E539" s="311" t="str">
        <x:v>Realization</x:v>
      </x:c>
      <x:c r="F539" s="311" t="str">
        <x:v>Chest + Biceps</x:v>
      </x:c>
      <x:c r="G539" s="311" t="str">
        <x:v>Chest and biceps hypertrophy specialization</x:v>
      </x:c>
      <x:c r="H539" s="311" t="n">
        <x:v>1</x:v>
      </x:c>
      <x:c r="I539" s="311" t="str">
        <x:v>Incline Barbell Bench Press</x:v>
      </x:c>
      <x:c r="J539" s="311" t="str">
        <x:v>Hypertrophy</x:v>
      </x:c>
      <x:c r="K539" s="311" t="str">
        <x:v>Chest</x:v>
      </x:c>
      <x:c r="L539" s="311" t="str">
        <x:v>Straight sets</x:v>
      </x:c>
      <x:c r="M539" s="311" t="str"/>
      <x:c r="N539" s="311" t="n">
        <x:v>5</x:v>
      </x:c>
      <x:c r="O539" s="311" t="n">
        <x:v>6</x:v>
      </x:c>
      <x:c r="P539" s="311" t="n">
        <x:v>10</x:v>
      </x:c>
      <x:c r="Q539" s="311" t="n">
        <x:v>2</x:v>
      </x:c>
      <x:c r="R539" s="311" t="n">
        <x:v>120</x:v>
      </x:c>
      <x:c r="S539" s="311" t="str">
        <x:v>3-0-1</x:v>
      </x:c>
      <x:c r="T539" s="330" t="n">
        <x:v>1</x:v>
      </x:c>
      <x:c r="U539" s="330" t="n">
        <x:v>0.64</x:v>
      </x:c>
      <x:c r="V539" s="331" t="str">
        <x:v>load × reps</x:v>
      </x:c>
      <x:c r="W539" s="332" t="str">
        <x:f>'Readiness'!K65</x:f>
      </x:c>
      <x:c r="X539" s="314" t="n">
        <x:f>'Readiness'!L65</x:f>
        <x:v>1</x:v>
      </x:c>
      <x:c r="Y539" s="315" t="n">
        <x:f>IF(J539="Mobility",N539,MAX(1,ROUND(N539*X539,0)))</x:f>
        <x:v>5</x:v>
      </x:c>
      <x:c r="Z539" s="333" t="n">
        <x:f>ROUND((IF(AU483&gt;0,AU483,IF(Z483&gt;0,Z483,'Setup'!$D$49))*T539)/'Setup'!$B$9,0)*'Setup'!$B$9</x:f>
        <x:v>0</x:v>
      </x:c>
      <x:c r="AA539" s="334"/>
      <x:c r="AB539" s="334"/>
      <x:c r="AC539" s="334"/>
      <x:c r="AD539" s="334"/>
      <x:c r="AE539" s="334"/>
      <x:c r="AF539" s="334"/>
      <x:c r="AG539" s="334"/>
      <x:c r="AH539" s="334"/>
      <x:c r="AI539" s="334"/>
      <x:c r="AJ539" s="312"/>
      <x:c r="AK539" s="312"/>
      <x:c r="AL539" s="312"/>
      <x:c r="AM539" s="312"/>
      <x:c r="AN539" s="312"/>
      <x:c r="AO539" s="315" t="n">
        <x:f>COUNT(AB539,AD539,AF539,AH539,AJ539)</x:f>
        <x:v>0</x:v>
      </x:c>
      <x:c r="AP539" s="315" t="n">
        <x:f>SUM(AB539,AD539,AF539,AH539,AJ539)</x:f>
        <x:v>0</x:v>
      </x:c>
      <x:c r="AQ539" s="333" t="n">
        <x:f>AA539*AB539+AC539*AD539+AE539*AF539+AG539*AH539+AI539*AJ539</x:f>
        <x:v>0</x:v>
      </x:c>
      <x:c r="AR539" s="333" t="n">
        <x:f>IF(OR(J539="Strength",J539="Hypertrophy"),MAX(IF(AB539&gt;0,AA539*(1+AB539/30),0),IF(AD539&gt;0,AC539*(1+AD539/30),0),IF(AF539&gt;0,AE539*(1+AF539/30),0),IF(AH539&gt;0,AG539*(1+AH539/30),0),IF(AJ539&gt;0,AI539*(1+AJ539/30),0)),0)</x:f>
        <x:v>0</x:v>
      </x:c>
      <x:c r="AS539" s="315" t="str">
        <x:f>IF(AN539&lt;&gt;"Yes","Not logged",IF(AL539&gt;='Setup'!$B$14,"STOP / MODIFY",IF(Z539=0,"Complete",IF(OR(AO539=0,AK539=""),"Add set data + RIR",IF(AND(MAX(AB539,AD539,AF539,AH539,AJ539)&gt;=P539,AK539&gt;=Q539+1),"Progress",IF(OR(MAX(AB539,AD539,AF539,AH539,AJ539)&lt;O539,AK539&lt;Q539-1),"Regress","Hold"))))))</x:f>
        <x:v>Not logged</x:v>
      </x:c>
      <x:c r="AT539" s="335" t="n">
        <x:f>IF(OR(Z539=0,AN539&lt;&gt;"Yes",AO539=0,AK539=""),0,IF(AL539&gt;='Setup'!$B$14,-2*'Setup'!$B$11,IF(AND(MAX(AB539,AD539,AF539,AH539,AJ539)&gt;=P539,AK539&gt;=Q539+1),'Setup'!$B$10,IF(OR(MAX(AB539,AD539,AF539,AH539,AJ539)&lt;O539,AK539&lt;Q539-1),-'Setup'!$B$11,0))))</x:f>
        <x:v>0</x:v>
      </x:c>
      <x:c r="AU539" s="333" t="n">
        <x:f>IF(Z539=0,0,IF(AN539&lt;&gt;"Yes",Z539,IF(COUNT(AA539,AC539,AE539,AG539,AI539)=0,Z539,ROUND((MAX(AA539,AC539,AE539,AG539,AI539)*(1+AT539))/'Setup'!$B$9,0)*'Setup'!$B$9)))</x:f>
        <x:v>0</x:v>
      </x:c>
      <x:c r="AV539" s="336"/>
    </x:row>
    <x:row r="540">
      <x:c r="A540" s="310" t="n">
        <x:f>'Setup'!$B$3+(C540-1)*7+(D540-1)</x:f>
        <x:v>46311</x:v>
      </x:c>
      <x:c r="B540" s="311" t="str">
        <x:v>10|5|2</x:v>
      </x:c>
      <x:c r="C540" s="311" t="n">
        <x:v>10</x:v>
      </x:c>
      <x:c r="D540" s="311" t="n">
        <x:v>5</x:v>
      </x:c>
      <x:c r="E540" s="311" t="str">
        <x:v>Realization</x:v>
      </x:c>
      <x:c r="F540" s="311" t="str">
        <x:v>Chest + Biceps</x:v>
      </x:c>
      <x:c r="G540" s="311" t="str">
        <x:v>Chest and biceps hypertrophy specialization</x:v>
      </x:c>
      <x:c r="H540" s="311" t="n">
        <x:v>2</x:v>
      </x:c>
      <x:c r="I540" s="311" t="str">
        <x:v>Incline Dumbbell Bench Press</x:v>
      </x:c>
      <x:c r="J540" s="311" t="str">
        <x:v>Hypertrophy</x:v>
      </x:c>
      <x:c r="K540" s="311" t="str">
        <x:v>Chest</x:v>
      </x:c>
      <x:c r="L540" s="311" t="str">
        <x:v>Straight sets</x:v>
      </x:c>
      <x:c r="M540" s="311" t="str"/>
      <x:c r="N540" s="311" t="n">
        <x:v>4</x:v>
      </x:c>
      <x:c r="O540" s="311" t="n">
        <x:v>8</x:v>
      </x:c>
      <x:c r="P540" s="311" t="n">
        <x:v>12</x:v>
      </x:c>
      <x:c r="Q540" s="311" t="n">
        <x:v>2</x:v>
      </x:c>
      <x:c r="R540" s="311" t="n">
        <x:v>90</x:v>
      </x:c>
      <x:c r="S540" s="311" t="str">
        <x:v>3-0-1</x:v>
      </x:c>
      <x:c r="T540" s="330" t="n">
        <x:v>1</x:v>
      </x:c>
      <x:c r="U540" s="330" t="n">
        <x:v>0</x:v>
      </x:c>
      <x:c r="V540" s="331" t="str">
        <x:v>load × reps</x:v>
      </x:c>
      <x:c r="W540" s="332" t="str">
        <x:f>'Readiness'!K65</x:f>
      </x:c>
      <x:c r="X540" s="314" t="n">
        <x:f>'Readiness'!L65</x:f>
        <x:v>1</x:v>
      </x:c>
      <x:c r="Y540" s="315" t="n">
        <x:f>IF(J540="Mobility",N540,MAX(1,ROUND(N540*X540,0)))</x:f>
        <x:v>4</x:v>
      </x:c>
      <x:c r="Z540" s="333" t="n">
        <x:f>ROUND((IF(AU484&gt;0,AU484,IF(Z484&gt;0,Z484,'Setup'!$D$50))*T540)/'Setup'!$B$9,0)*'Setup'!$B$9</x:f>
        <x:v>0</x:v>
      </x:c>
      <x:c r="AA540" s="334"/>
      <x:c r="AB540" s="334"/>
      <x:c r="AC540" s="334"/>
      <x:c r="AD540" s="334"/>
      <x:c r="AE540" s="334"/>
      <x:c r="AF540" s="334"/>
      <x:c r="AG540" s="334"/>
      <x:c r="AH540" s="334"/>
      <x:c r="AI540" s="334"/>
      <x:c r="AJ540" s="312"/>
      <x:c r="AK540" s="312"/>
      <x:c r="AL540" s="312"/>
      <x:c r="AM540" s="312"/>
      <x:c r="AN540" s="312"/>
      <x:c r="AO540" s="315" t="n">
        <x:f>COUNT(AB540,AD540,AF540,AH540,AJ540)</x:f>
        <x:v>0</x:v>
      </x:c>
      <x:c r="AP540" s="315" t="n">
        <x:f>SUM(AB540,AD540,AF540,AH540,AJ540)</x:f>
        <x:v>0</x:v>
      </x:c>
      <x:c r="AQ540" s="333" t="n">
        <x:f>AA540*AB540+AC540*AD540+AE540*AF540+AG540*AH540+AI540*AJ540</x:f>
        <x:v>0</x:v>
      </x:c>
      <x:c r="AR540" s="333" t="n">
        <x:f>IF(OR(J540="Strength",J540="Hypertrophy"),MAX(IF(AB540&gt;0,AA540*(1+AB540/30),0),IF(AD540&gt;0,AC540*(1+AD540/30),0),IF(AF540&gt;0,AE540*(1+AF540/30),0),IF(AH540&gt;0,AG540*(1+AH540/30),0),IF(AJ540&gt;0,AI540*(1+AJ540/30),0)),0)</x:f>
        <x:v>0</x:v>
      </x:c>
      <x:c r="AS540" s="315" t="str">
        <x:f>IF(AN540&lt;&gt;"Yes","Not logged",IF(AL540&gt;='Setup'!$B$14,"STOP / MODIFY",IF(Z540=0,"Complete",IF(OR(AO540=0,AK540=""),"Add set data + RIR",IF(AND(MAX(AB540,AD540,AF540,AH540,AJ540)&gt;=P540,AK540&gt;=Q540+1),"Progress",IF(OR(MAX(AB540,AD540,AF540,AH540,AJ540)&lt;O540,AK540&lt;Q540-1),"Regress","Hold"))))))</x:f>
        <x:v>Not logged</x:v>
      </x:c>
      <x:c r="AT540" s="335" t="n">
        <x:f>IF(OR(Z540=0,AN540&lt;&gt;"Yes",AO540=0,AK540=""),0,IF(AL540&gt;='Setup'!$B$14,-2*'Setup'!$B$11,IF(AND(MAX(AB540,AD540,AF540,AH540,AJ540)&gt;=P540,AK540&gt;=Q540+1),'Setup'!$B$10,IF(OR(MAX(AB540,AD540,AF540,AH540,AJ540)&lt;O540,AK540&lt;Q540-1),-'Setup'!$B$11,0))))</x:f>
        <x:v>0</x:v>
      </x:c>
      <x:c r="AU540" s="333" t="n">
        <x:f>IF(Z540=0,0,IF(AN540&lt;&gt;"Yes",Z540,IF(COUNT(AA540,AC540,AE540,AG540,AI540)=0,Z540,ROUND((MAX(AA540,AC540,AE540,AG540,AI540)*(1+AT540))/'Setup'!$B$9,0)*'Setup'!$B$9)))</x:f>
        <x:v>0</x:v>
      </x:c>
      <x:c r="AV540" s="336"/>
    </x:row>
    <x:row r="541">
      <x:c r="A541" s="310" t="n">
        <x:f>'Setup'!$B$3+(C541-1)*7+(D541-1)</x:f>
        <x:v>46311</x:v>
      </x:c>
      <x:c r="B541" s="311" t="str">
        <x:v>10|5|3</x:v>
      </x:c>
      <x:c r="C541" s="311" t="n">
        <x:v>10</x:v>
      </x:c>
      <x:c r="D541" s="311" t="n">
        <x:v>5</x:v>
      </x:c>
      <x:c r="E541" s="311" t="str">
        <x:v>Realization</x:v>
      </x:c>
      <x:c r="F541" s="311" t="str">
        <x:v>Chest + Biceps</x:v>
      </x:c>
      <x:c r="G541" s="311" t="str">
        <x:v>Chest and biceps hypertrophy specialization</x:v>
      </x:c>
      <x:c r="H541" s="311" t="n">
        <x:v>3</x:v>
      </x:c>
      <x:c r="I541" s="311" t="str">
        <x:v>Cable Fly</x:v>
      </x:c>
      <x:c r="J541" s="311" t="str">
        <x:v>Hypertrophy</x:v>
      </x:c>
      <x:c r="K541" s="311" t="str">
        <x:v>Chest</x:v>
      </x:c>
      <x:c r="L541" s="311" t="str">
        <x:v>Straight sets</x:v>
      </x:c>
      <x:c r="M541" s="311" t="str"/>
      <x:c r="N541" s="311" t="n">
        <x:v>4</x:v>
      </x:c>
      <x:c r="O541" s="311" t="n">
        <x:v>12</x:v>
      </x:c>
      <x:c r="P541" s="311" t="n">
        <x:v>15</x:v>
      </x:c>
      <x:c r="Q541" s="311" t="n">
        <x:v>2</x:v>
      </x:c>
      <x:c r="R541" s="311" t="n">
        <x:v>60</x:v>
      </x:c>
      <x:c r="S541" s="311" t="str">
        <x:v>2-1-2</x:v>
      </x:c>
      <x:c r="T541" s="330" t="n">
        <x:v>1</x:v>
      </x:c>
      <x:c r="U541" s="330" t="n">
        <x:v>0</x:v>
      </x:c>
      <x:c r="V541" s="331" t="str">
        <x:v>load × reps</x:v>
      </x:c>
      <x:c r="W541" s="332" t="str">
        <x:f>'Readiness'!K65</x:f>
      </x:c>
      <x:c r="X541" s="314" t="n">
        <x:f>'Readiness'!L65</x:f>
        <x:v>1</x:v>
      </x:c>
      <x:c r="Y541" s="315" t="n">
        <x:f>IF(J541="Mobility",N541,MAX(1,ROUND(N541*X541,0)))</x:f>
        <x:v>4</x:v>
      </x:c>
      <x:c r="Z541" s="333" t="n">
        <x:f>ROUND((IF(AU485&gt;0,AU485,IF(Z485&gt;0,Z485,'Setup'!$D$31))*T541)/'Setup'!$B$9,0)*'Setup'!$B$9</x:f>
        <x:v>0</x:v>
      </x:c>
      <x:c r="AA541" s="334"/>
      <x:c r="AB541" s="334"/>
      <x:c r="AC541" s="334"/>
      <x:c r="AD541" s="334"/>
      <x:c r="AE541" s="334"/>
      <x:c r="AF541" s="334"/>
      <x:c r="AG541" s="334"/>
      <x:c r="AH541" s="334"/>
      <x:c r="AI541" s="334"/>
      <x:c r="AJ541" s="312"/>
      <x:c r="AK541" s="312"/>
      <x:c r="AL541" s="312"/>
      <x:c r="AM541" s="312"/>
      <x:c r="AN541" s="312"/>
      <x:c r="AO541" s="315" t="n">
        <x:f>COUNT(AB541,AD541,AF541,AH541,AJ541)</x:f>
        <x:v>0</x:v>
      </x:c>
      <x:c r="AP541" s="315" t="n">
        <x:f>SUM(AB541,AD541,AF541,AH541,AJ541)</x:f>
        <x:v>0</x:v>
      </x:c>
      <x:c r="AQ541" s="333" t="n">
        <x:f>AA541*AB541+AC541*AD541+AE541*AF541+AG541*AH541+AI541*AJ541</x:f>
        <x:v>0</x:v>
      </x:c>
      <x:c r="AR541" s="333" t="n">
        <x:f>IF(OR(J541="Strength",J541="Hypertrophy"),MAX(IF(AB541&gt;0,AA541*(1+AB541/30),0),IF(AD541&gt;0,AC541*(1+AD541/30),0),IF(AF541&gt;0,AE541*(1+AF541/30),0),IF(AH541&gt;0,AG541*(1+AH541/30),0),IF(AJ541&gt;0,AI541*(1+AJ541/30),0)),0)</x:f>
        <x:v>0</x:v>
      </x:c>
      <x:c r="AS541" s="315" t="str">
        <x:f>IF(AN541&lt;&gt;"Yes","Not logged",IF(AL541&gt;='Setup'!$B$14,"STOP / MODIFY",IF(Z541=0,"Complete",IF(OR(AO541=0,AK541=""),"Add set data + RIR",IF(AND(MAX(AB541,AD541,AF541,AH541,AJ541)&gt;=P541,AK541&gt;=Q541+1),"Progress",IF(OR(MAX(AB541,AD541,AF541,AH541,AJ541)&lt;O541,AK541&lt;Q541-1),"Regress","Hold"))))))</x:f>
        <x:v>Not logged</x:v>
      </x:c>
      <x:c r="AT541" s="335" t="n">
        <x:f>IF(OR(Z541=0,AN541&lt;&gt;"Yes",AO541=0,AK541=""),0,IF(AL541&gt;='Setup'!$B$14,-2*'Setup'!$B$11,IF(AND(MAX(AB541,AD541,AF541,AH541,AJ541)&gt;=P541,AK541&gt;=Q541+1),'Setup'!$B$10,IF(OR(MAX(AB541,AD541,AF541,AH541,AJ541)&lt;O541,AK541&lt;Q541-1),-'Setup'!$B$11,0))))</x:f>
        <x:v>0</x:v>
      </x:c>
      <x:c r="AU541" s="333" t="n">
        <x:f>IF(Z541=0,0,IF(AN541&lt;&gt;"Yes",Z541,IF(COUNT(AA541,AC541,AE541,AG541,AI541)=0,Z541,ROUND((MAX(AA541,AC541,AE541,AG541,AI541)*(1+AT541))/'Setup'!$B$9,0)*'Setup'!$B$9)))</x:f>
        <x:v>0</x:v>
      </x:c>
      <x:c r="AV541" s="336"/>
    </x:row>
    <x:row r="542">
      <x:c r="A542" s="310" t="n">
        <x:f>'Setup'!$B$3+(C542-1)*7+(D542-1)</x:f>
        <x:v>46311</x:v>
      </x:c>
      <x:c r="B542" s="311" t="str">
        <x:v>10|5|4</x:v>
      </x:c>
      <x:c r="C542" s="311" t="n">
        <x:v>10</x:v>
      </x:c>
      <x:c r="D542" s="311" t="n">
        <x:v>5</x:v>
      </x:c>
      <x:c r="E542" s="311" t="str">
        <x:v>Realization</x:v>
      </x:c>
      <x:c r="F542" s="311" t="str">
        <x:v>Chest + Biceps</x:v>
      </x:c>
      <x:c r="G542" s="311" t="str">
        <x:v>Chest and biceps hypertrophy specialization</x:v>
      </x:c>
      <x:c r="H542" s="311" t="n">
        <x:v>4</x:v>
      </x:c>
      <x:c r="I542" s="311" t="str">
        <x:v>Half-Kneeling Landmine Press</x:v>
      </x:c>
      <x:c r="J542" s="311" t="str">
        <x:v>Hypertrophy</x:v>
      </x:c>
      <x:c r="K542" s="311" t="str">
        <x:v>Shoulders</x:v>
      </x:c>
      <x:c r="L542" s="311" t="str">
        <x:v>Straight sets</x:v>
      </x:c>
      <x:c r="M542" s="311" t="str"/>
      <x:c r="N542" s="311" t="n">
        <x:v>4</x:v>
      </x:c>
      <x:c r="O542" s="311" t="n">
        <x:v>8</x:v>
      </x:c>
      <x:c r="P542" s="311" t="n">
        <x:v>12</x:v>
      </x:c>
      <x:c r="Q542" s="311" t="n">
        <x:v>2</x:v>
      </x:c>
      <x:c r="R542" s="311" t="n">
        <x:v>75</x:v>
      </x:c>
      <x:c r="S542" s="311" t="str">
        <x:v>2-0-1</x:v>
      </x:c>
      <x:c r="T542" s="330" t="n">
        <x:v>1</x:v>
      </x:c>
      <x:c r="U542" s="330" t="n">
        <x:v>0</x:v>
      </x:c>
      <x:c r="V542" s="331" t="str">
        <x:v>load × reps</x:v>
      </x:c>
      <x:c r="W542" s="332" t="str">
        <x:f>'Readiness'!K65</x:f>
      </x:c>
      <x:c r="X542" s="314" t="n">
        <x:f>'Readiness'!L65</x:f>
        <x:v>1</x:v>
      </x:c>
      <x:c r="Y542" s="315" t="n">
        <x:f>IF(J542="Mobility",N542,MAX(1,ROUND(N542*X542,0)))</x:f>
        <x:v>4</x:v>
      </x:c>
      <x:c r="Z542" s="333" t="n">
        <x:f>ROUND((IF(AU486&gt;0,AU486,IF(Z486&gt;0,Z486,'Setup'!$D$47))*T542)/'Setup'!$B$9,0)*'Setup'!$B$9</x:f>
        <x:v>0</x:v>
      </x:c>
      <x:c r="AA542" s="334"/>
      <x:c r="AB542" s="334"/>
      <x:c r="AC542" s="334"/>
      <x:c r="AD542" s="334"/>
      <x:c r="AE542" s="334"/>
      <x:c r="AF542" s="334"/>
      <x:c r="AG542" s="334"/>
      <x:c r="AH542" s="334"/>
      <x:c r="AI542" s="334"/>
      <x:c r="AJ542" s="312"/>
      <x:c r="AK542" s="312"/>
      <x:c r="AL542" s="312"/>
      <x:c r="AM542" s="312"/>
      <x:c r="AN542" s="312"/>
      <x:c r="AO542" s="315" t="n">
        <x:f>COUNT(AB542,AD542,AF542,AH542,AJ542)</x:f>
        <x:v>0</x:v>
      </x:c>
      <x:c r="AP542" s="315" t="n">
        <x:f>SUM(AB542,AD542,AF542,AH542,AJ542)</x:f>
        <x:v>0</x:v>
      </x:c>
      <x:c r="AQ542" s="333" t="n">
        <x:f>AA542*AB542+AC542*AD542+AE542*AF542+AG542*AH542+AI542*AJ542</x:f>
        <x:v>0</x:v>
      </x:c>
      <x:c r="AR542" s="333" t="n">
        <x:f>IF(OR(J542="Strength",J542="Hypertrophy"),MAX(IF(AB542&gt;0,AA542*(1+AB542/30),0),IF(AD542&gt;0,AC542*(1+AD542/30),0),IF(AF542&gt;0,AE542*(1+AF542/30),0),IF(AH542&gt;0,AG542*(1+AH542/30),0),IF(AJ542&gt;0,AI542*(1+AJ542/30),0)),0)</x:f>
        <x:v>0</x:v>
      </x:c>
      <x:c r="AS542" s="315" t="str">
        <x:f>IF(AN542&lt;&gt;"Yes","Not logged",IF(AL542&gt;='Setup'!$B$14,"STOP / MODIFY",IF(Z542=0,"Complete",IF(OR(AO542=0,AK542=""),"Add set data + RIR",IF(AND(MAX(AB542,AD542,AF542,AH542,AJ542)&gt;=P542,AK542&gt;=Q542+1),"Progress",IF(OR(MAX(AB542,AD542,AF542,AH542,AJ542)&lt;O542,AK542&lt;Q542-1),"Regress","Hold"))))))</x:f>
        <x:v>Not logged</x:v>
      </x:c>
      <x:c r="AT542" s="335" t="n">
        <x:f>IF(OR(Z542=0,AN542&lt;&gt;"Yes",AO542=0,AK542=""),0,IF(AL542&gt;='Setup'!$B$14,-2*'Setup'!$B$11,IF(AND(MAX(AB542,AD542,AF542,AH542,AJ542)&gt;=P542,AK542&gt;=Q542+1),'Setup'!$B$10,IF(OR(MAX(AB542,AD542,AF542,AH542,AJ542)&lt;O542,AK542&lt;Q542-1),-'Setup'!$B$11,0))))</x:f>
        <x:v>0</x:v>
      </x:c>
      <x:c r="AU542" s="333" t="n">
        <x:f>IF(Z542=0,0,IF(AN542&lt;&gt;"Yes",Z542,IF(COUNT(AA542,AC542,AE542,AG542,AI542)=0,Z542,ROUND((MAX(AA542,AC542,AE542,AG542,AI542)*(1+AT542))/'Setup'!$B$9,0)*'Setup'!$B$9)))</x:f>
        <x:v>0</x:v>
      </x:c>
      <x:c r="AV542" s="336"/>
    </x:row>
    <x:row r="543">
      <x:c r="A543" s="310" t="n">
        <x:f>'Setup'!$B$3+(C543-1)*7+(D543-1)</x:f>
        <x:v>46311</x:v>
      </x:c>
      <x:c r="B543" s="311" t="str">
        <x:v>10|5|5</x:v>
      </x:c>
      <x:c r="C543" s="311" t="n">
        <x:v>10</x:v>
      </x:c>
      <x:c r="D543" s="311" t="n">
        <x:v>5</x:v>
      </x:c>
      <x:c r="E543" s="311" t="str">
        <x:v>Realization</x:v>
      </x:c>
      <x:c r="F543" s="311" t="str">
        <x:v>Chest + Biceps</x:v>
      </x:c>
      <x:c r="G543" s="311" t="str">
        <x:v>Chest and biceps hypertrophy specialization</x:v>
      </x:c>
      <x:c r="H543" s="311" t="n">
        <x:v>5</x:v>
      </x:c>
      <x:c r="I543" s="311" t="str">
        <x:v>Cable Lateral Raise</x:v>
      </x:c>
      <x:c r="J543" s="311" t="str">
        <x:v>Hypertrophy</x:v>
      </x:c>
      <x:c r="K543" s="311" t="str">
        <x:v>Shoulders</x:v>
      </x:c>
      <x:c r="L543" s="311" t="str">
        <x:v>Optional mechanical drop on final set</x:v>
      </x:c>
      <x:c r="M543" s="311" t="str"/>
      <x:c r="N543" s="311" t="n">
        <x:v>4</x:v>
      </x:c>
      <x:c r="O543" s="311" t="n">
        <x:v>12</x:v>
      </x:c>
      <x:c r="P543" s="311" t="n">
        <x:v>20</x:v>
      </x:c>
      <x:c r="Q543" s="311" t="n">
        <x:v>2</x:v>
      </x:c>
      <x:c r="R543" s="311" t="n">
        <x:v>45</x:v>
      </x:c>
      <x:c r="S543" s="311" t="str">
        <x:v>2-1-2</x:v>
      </x:c>
      <x:c r="T543" s="330" t="n">
        <x:v>1</x:v>
      </x:c>
      <x:c r="U543" s="330" t="n">
        <x:v>0</x:v>
      </x:c>
      <x:c r="V543" s="331" t="str">
        <x:v>load × reps</x:v>
      </x:c>
      <x:c r="W543" s="332" t="str">
        <x:f>'Readiness'!K65</x:f>
      </x:c>
      <x:c r="X543" s="314" t="n">
        <x:f>'Readiness'!L65</x:f>
        <x:v>1</x:v>
      </x:c>
      <x:c r="Y543" s="315" t="n">
        <x:f>IF(J543="Mobility",N543,MAX(1,ROUND(N543*X543,0)))</x:f>
        <x:v>4</x:v>
      </x:c>
      <x:c r="Z543" s="333" t="n">
        <x:f>ROUND((IF(AU527&gt;0,AU527,IF(Z527&gt;0,Z527,'Setup'!$D$33))*T543)/'Setup'!$B$9,0)*'Setup'!$B$9</x:f>
        <x:v>0</x:v>
      </x:c>
      <x:c r="AA543" s="334"/>
      <x:c r="AB543" s="334"/>
      <x:c r="AC543" s="334"/>
      <x:c r="AD543" s="334"/>
      <x:c r="AE543" s="334"/>
      <x:c r="AF543" s="334"/>
      <x:c r="AG543" s="334"/>
      <x:c r="AH543" s="334"/>
      <x:c r="AI543" s="334"/>
      <x:c r="AJ543" s="312"/>
      <x:c r="AK543" s="312"/>
      <x:c r="AL543" s="312"/>
      <x:c r="AM543" s="312"/>
      <x:c r="AN543" s="312"/>
      <x:c r="AO543" s="315" t="n">
        <x:f>COUNT(AB543,AD543,AF543,AH543,AJ543)</x:f>
        <x:v>0</x:v>
      </x:c>
      <x:c r="AP543" s="315" t="n">
        <x:f>SUM(AB543,AD543,AF543,AH543,AJ543)</x:f>
        <x:v>0</x:v>
      </x:c>
      <x:c r="AQ543" s="333" t="n">
        <x:f>AA543*AB543+AC543*AD543+AE543*AF543+AG543*AH543+AI543*AJ543</x:f>
        <x:v>0</x:v>
      </x:c>
      <x:c r="AR543" s="333" t="n">
        <x:f>IF(OR(J543="Strength",J543="Hypertrophy"),MAX(IF(AB543&gt;0,AA543*(1+AB543/30),0),IF(AD543&gt;0,AC543*(1+AD543/30),0),IF(AF543&gt;0,AE543*(1+AF543/30),0),IF(AH543&gt;0,AG543*(1+AH543/30),0),IF(AJ543&gt;0,AI543*(1+AJ543/30),0)),0)</x:f>
        <x:v>0</x:v>
      </x:c>
      <x:c r="AS543" s="315" t="str">
        <x:f>IF(AN543&lt;&gt;"Yes","Not logged",IF(AL543&gt;='Setup'!$B$14,"STOP / MODIFY",IF(Z543=0,"Complete",IF(OR(AO543=0,AK543=""),"Add set data + RIR",IF(AND(MAX(AB543,AD543,AF543,AH543,AJ543)&gt;=P543,AK543&gt;=Q543+1),"Progress",IF(OR(MAX(AB543,AD543,AF543,AH543,AJ543)&lt;O543,AK543&lt;Q543-1),"Regress","Hold"))))))</x:f>
        <x:v>Not logged</x:v>
      </x:c>
      <x:c r="AT543" s="335" t="n">
        <x:f>IF(OR(Z543=0,AN543&lt;&gt;"Yes",AO543=0,AK543=""),0,IF(AL543&gt;='Setup'!$B$14,-2*'Setup'!$B$11,IF(AND(MAX(AB543,AD543,AF543,AH543,AJ543)&gt;=P543,AK543&gt;=Q543+1),'Setup'!$B$10,IF(OR(MAX(AB543,AD543,AF543,AH543,AJ543)&lt;O543,AK543&lt;Q543-1),-'Setup'!$B$11,0))))</x:f>
        <x:v>0</x:v>
      </x:c>
      <x:c r="AU543" s="333" t="n">
        <x:f>IF(Z543=0,0,IF(AN543&lt;&gt;"Yes",Z543,IF(COUNT(AA543,AC543,AE543,AG543,AI543)=0,Z543,ROUND((MAX(AA543,AC543,AE543,AG543,AI543)*(1+AT543))/'Setup'!$B$9,0)*'Setup'!$B$9)))</x:f>
        <x:v>0</x:v>
      </x:c>
      <x:c r="AV543" s="336"/>
    </x:row>
    <x:row r="544">
      <x:c r="A544" s="310" t="n">
        <x:f>'Setup'!$B$3+(C544-1)*7+(D544-1)</x:f>
        <x:v>46311</x:v>
      </x:c>
      <x:c r="B544" s="311" t="str">
        <x:v>10|5|6</x:v>
      </x:c>
      <x:c r="C544" s="311" t="n">
        <x:v>10</x:v>
      </x:c>
      <x:c r="D544" s="311" t="n">
        <x:v>5</x:v>
      </x:c>
      <x:c r="E544" s="311" t="str">
        <x:v>Realization</x:v>
      </x:c>
      <x:c r="F544" s="311" t="str">
        <x:v>Chest + Biceps</x:v>
      </x:c>
      <x:c r="G544" s="311" t="str">
        <x:v>Chest and biceps hypertrophy specialization</x:v>
      </x:c>
      <x:c r="H544" s="311" t="n">
        <x:v>6</x:v>
      </x:c>
      <x:c r="I544" s="311" t="str">
        <x:v>EZ-Bar Curl</x:v>
      </x:c>
      <x:c r="J544" s="311" t="str">
        <x:v>Hypertrophy</x:v>
      </x:c>
      <x:c r="K544" s="311" t="str">
        <x:v>Biceps</x:v>
      </x:c>
      <x:c r="L544" s="311" t="str">
        <x:v>Straight sets</x:v>
      </x:c>
      <x:c r="M544" s="311" t="str"/>
      <x:c r="N544" s="311" t="n">
        <x:v>4</x:v>
      </x:c>
      <x:c r="O544" s="311" t="n">
        <x:v>8</x:v>
      </x:c>
      <x:c r="P544" s="311" t="n">
        <x:v>12</x:v>
      </x:c>
      <x:c r="Q544" s="311" t="n">
        <x:v>2</x:v>
      </x:c>
      <x:c r="R544" s="311" t="n">
        <x:v>60</x:v>
      </x:c>
      <x:c r="S544" s="311" t="str">
        <x:v>3-0-1</x:v>
      </x:c>
      <x:c r="T544" s="330" t="n">
        <x:v>1</x:v>
      </x:c>
      <x:c r="U544" s="330" t="n">
        <x:v>0</x:v>
      </x:c>
      <x:c r="V544" s="331" t="str">
        <x:v>load × reps</x:v>
      </x:c>
      <x:c r="W544" s="332" t="str">
        <x:f>'Readiness'!K65</x:f>
      </x:c>
      <x:c r="X544" s="314" t="n">
        <x:f>'Readiness'!L65</x:f>
        <x:v>1</x:v>
      </x:c>
      <x:c r="Y544" s="315" t="n">
        <x:f>IF(J544="Mobility",N544,MAX(1,ROUND(N544*X544,0)))</x:f>
        <x:v>4</x:v>
      </x:c>
      <x:c r="Z544" s="333" t="n">
        <x:f>ROUND((IF(AU488&gt;0,AU488,IF(Z488&gt;0,Z488,'Setup'!$D$40))*T544)/'Setup'!$B$9,0)*'Setup'!$B$9</x:f>
        <x:v>0</x:v>
      </x:c>
      <x:c r="AA544" s="334"/>
      <x:c r="AB544" s="334"/>
      <x:c r="AC544" s="334"/>
      <x:c r="AD544" s="334"/>
      <x:c r="AE544" s="334"/>
      <x:c r="AF544" s="334"/>
      <x:c r="AG544" s="334"/>
      <x:c r="AH544" s="334"/>
      <x:c r="AI544" s="334"/>
      <x:c r="AJ544" s="312"/>
      <x:c r="AK544" s="312"/>
      <x:c r="AL544" s="312"/>
      <x:c r="AM544" s="312"/>
      <x:c r="AN544" s="312"/>
      <x:c r="AO544" s="315" t="n">
        <x:f>COUNT(AB544,AD544,AF544,AH544,AJ544)</x:f>
        <x:v>0</x:v>
      </x:c>
      <x:c r="AP544" s="315" t="n">
        <x:f>SUM(AB544,AD544,AF544,AH544,AJ544)</x:f>
        <x:v>0</x:v>
      </x:c>
      <x:c r="AQ544" s="333" t="n">
        <x:f>AA544*AB544+AC544*AD544+AE544*AF544+AG544*AH544+AI544*AJ544</x:f>
        <x:v>0</x:v>
      </x:c>
      <x:c r="AR544" s="333" t="n">
        <x:f>IF(OR(J544="Strength",J544="Hypertrophy"),MAX(IF(AB544&gt;0,AA544*(1+AB544/30),0),IF(AD544&gt;0,AC544*(1+AD544/30),0),IF(AF544&gt;0,AE544*(1+AF544/30),0),IF(AH544&gt;0,AG544*(1+AH544/30),0),IF(AJ544&gt;0,AI544*(1+AJ544/30),0)),0)</x:f>
        <x:v>0</x:v>
      </x:c>
      <x:c r="AS544" s="315" t="str">
        <x:f>IF(AN544&lt;&gt;"Yes","Not logged",IF(AL544&gt;='Setup'!$B$14,"STOP / MODIFY",IF(Z544=0,"Complete",IF(OR(AO544=0,AK544=""),"Add set data + RIR",IF(AND(MAX(AB544,AD544,AF544,AH544,AJ544)&gt;=P544,AK544&gt;=Q544+1),"Progress",IF(OR(MAX(AB544,AD544,AF544,AH544,AJ544)&lt;O544,AK544&lt;Q544-1),"Regress","Hold"))))))</x:f>
        <x:v>Not logged</x:v>
      </x:c>
      <x:c r="AT544" s="335" t="n">
        <x:f>IF(OR(Z544=0,AN544&lt;&gt;"Yes",AO544=0,AK544=""),0,IF(AL544&gt;='Setup'!$B$14,-2*'Setup'!$B$11,IF(AND(MAX(AB544,AD544,AF544,AH544,AJ544)&gt;=P544,AK544&gt;=Q544+1),'Setup'!$B$10,IF(OR(MAX(AB544,AD544,AF544,AH544,AJ544)&lt;O544,AK544&lt;Q544-1),-'Setup'!$B$11,0))))</x:f>
        <x:v>0</x:v>
      </x:c>
      <x:c r="AU544" s="333" t="n">
        <x:f>IF(Z544=0,0,IF(AN544&lt;&gt;"Yes",Z544,IF(COUNT(AA544,AC544,AE544,AG544,AI544)=0,Z544,ROUND((MAX(AA544,AC544,AE544,AG544,AI544)*(1+AT544))/'Setup'!$B$9,0)*'Setup'!$B$9)))</x:f>
        <x:v>0</x:v>
      </x:c>
      <x:c r="AV544" s="336"/>
    </x:row>
    <x:row r="545">
      <x:c r="A545" s="310" t="n">
        <x:f>'Setup'!$B$3+(C545-1)*7+(D545-1)</x:f>
        <x:v>46311</x:v>
      </x:c>
      <x:c r="B545" s="311" t="str">
        <x:v>10|5|7</x:v>
      </x:c>
      <x:c r="C545" s="311" t="n">
        <x:v>10</x:v>
      </x:c>
      <x:c r="D545" s="311" t="n">
        <x:v>5</x:v>
      </x:c>
      <x:c r="E545" s="311" t="str">
        <x:v>Realization</x:v>
      </x:c>
      <x:c r="F545" s="311" t="str">
        <x:v>Chest + Biceps</x:v>
      </x:c>
      <x:c r="G545" s="311" t="str">
        <x:v>Chest and biceps hypertrophy specialization</x:v>
      </x:c>
      <x:c r="H545" s="311" t="n">
        <x:v>7</x:v>
      </x:c>
      <x:c r="I545" s="311" t="str">
        <x:v>Incline Dumbbell Curl</x:v>
      </x:c>
      <x:c r="J545" s="311" t="str">
        <x:v>Hypertrophy</x:v>
      </x:c>
      <x:c r="K545" s="311" t="str">
        <x:v>Biceps</x:v>
      </x:c>
      <x:c r="L545" s="311" t="str">
        <x:v>Superset</x:v>
      </x:c>
      <x:c r="M545" s="311" t="str">
        <x:v>A1</x:v>
      </x:c>
      <x:c r="N545" s="311" t="n">
        <x:v>4</x:v>
      </x:c>
      <x:c r="O545" s="311" t="n">
        <x:v>10</x:v>
      </x:c>
      <x:c r="P545" s="311" t="n">
        <x:v>15</x:v>
      </x:c>
      <x:c r="Q545" s="311" t="n">
        <x:v>2</x:v>
      </x:c>
      <x:c r="R545" s="311" t="n">
        <x:v>30</x:v>
      </x:c>
      <x:c r="S545" s="311" t="str">
        <x:v>3-1-1</x:v>
      </x:c>
      <x:c r="T545" s="330" t="n">
        <x:v>1</x:v>
      </x:c>
      <x:c r="U545" s="330" t="n">
        <x:v>0</x:v>
      </x:c>
      <x:c r="V545" s="331" t="str">
        <x:v>load × reps</x:v>
      </x:c>
      <x:c r="W545" s="332" t="str">
        <x:f>'Readiness'!K65</x:f>
      </x:c>
      <x:c r="X545" s="314" t="n">
        <x:f>'Readiness'!L65</x:f>
        <x:v>1</x:v>
      </x:c>
      <x:c r="Y545" s="315" t="n">
        <x:f>IF(J545="Mobility",N545,MAX(1,ROUND(N545*X545,0)))</x:f>
        <x:v>4</x:v>
      </x:c>
      <x:c r="Z545" s="333" t="n">
        <x:f>ROUND((IF(AU489&gt;0,AU489,IF(Z489&gt;0,Z489,'Setup'!$D$51))*T545)/'Setup'!$B$9,0)*'Setup'!$B$9</x:f>
        <x:v>0</x:v>
      </x:c>
      <x:c r="AA545" s="334"/>
      <x:c r="AB545" s="334"/>
      <x:c r="AC545" s="334"/>
      <x:c r="AD545" s="334"/>
      <x:c r="AE545" s="334"/>
      <x:c r="AF545" s="334"/>
      <x:c r="AG545" s="334"/>
      <x:c r="AH545" s="334"/>
      <x:c r="AI545" s="334"/>
      <x:c r="AJ545" s="312"/>
      <x:c r="AK545" s="312"/>
      <x:c r="AL545" s="312"/>
      <x:c r="AM545" s="312"/>
      <x:c r="AN545" s="312"/>
      <x:c r="AO545" s="315" t="n">
        <x:f>COUNT(AB545,AD545,AF545,AH545,AJ545)</x:f>
        <x:v>0</x:v>
      </x:c>
      <x:c r="AP545" s="315" t="n">
        <x:f>SUM(AB545,AD545,AF545,AH545,AJ545)</x:f>
        <x:v>0</x:v>
      </x:c>
      <x:c r="AQ545" s="333" t="n">
        <x:f>AA545*AB545+AC545*AD545+AE545*AF545+AG545*AH545+AI545*AJ545</x:f>
        <x:v>0</x:v>
      </x:c>
      <x:c r="AR545" s="333" t="n">
        <x:f>IF(OR(J545="Strength",J545="Hypertrophy"),MAX(IF(AB545&gt;0,AA545*(1+AB545/30),0),IF(AD545&gt;0,AC545*(1+AD545/30),0),IF(AF545&gt;0,AE545*(1+AF545/30),0),IF(AH545&gt;0,AG545*(1+AH545/30),0),IF(AJ545&gt;0,AI545*(1+AJ545/30),0)),0)</x:f>
        <x:v>0</x:v>
      </x:c>
      <x:c r="AS545" s="315" t="str">
        <x:f>IF(AN545&lt;&gt;"Yes","Not logged",IF(AL545&gt;='Setup'!$B$14,"STOP / MODIFY",IF(Z545=0,"Complete",IF(OR(AO545=0,AK545=""),"Add set data + RIR",IF(AND(MAX(AB545,AD545,AF545,AH545,AJ545)&gt;=P545,AK545&gt;=Q545+1),"Progress",IF(OR(MAX(AB545,AD545,AF545,AH545,AJ545)&lt;O545,AK545&lt;Q545-1),"Regress","Hold"))))))</x:f>
        <x:v>Not logged</x:v>
      </x:c>
      <x:c r="AT545" s="335" t="n">
        <x:f>IF(OR(Z545=0,AN545&lt;&gt;"Yes",AO545=0,AK545=""),0,IF(AL545&gt;='Setup'!$B$14,-2*'Setup'!$B$11,IF(AND(MAX(AB545,AD545,AF545,AH545,AJ545)&gt;=P545,AK545&gt;=Q545+1),'Setup'!$B$10,IF(OR(MAX(AB545,AD545,AF545,AH545,AJ545)&lt;O545,AK545&lt;Q545-1),-'Setup'!$B$11,0))))</x:f>
        <x:v>0</x:v>
      </x:c>
      <x:c r="AU545" s="333" t="n">
        <x:f>IF(Z545=0,0,IF(AN545&lt;&gt;"Yes",Z545,IF(COUNT(AA545,AC545,AE545,AG545,AI545)=0,Z545,ROUND((MAX(AA545,AC545,AE545,AG545,AI545)*(1+AT545))/'Setup'!$B$9,0)*'Setup'!$B$9)))</x:f>
        <x:v>0</x:v>
      </x:c>
      <x:c r="AV545" s="336"/>
    </x:row>
    <x:row r="546">
      <x:c r="A546" s="310" t="n">
        <x:f>'Setup'!$B$3+(C546-1)*7+(D546-1)</x:f>
        <x:v>46311</x:v>
      </x:c>
      <x:c r="B546" s="311" t="str">
        <x:v>10|5|8</x:v>
      </x:c>
      <x:c r="C546" s="311" t="n">
        <x:v>10</x:v>
      </x:c>
      <x:c r="D546" s="311" t="n">
        <x:v>5</x:v>
      </x:c>
      <x:c r="E546" s="311" t="str">
        <x:v>Realization</x:v>
      </x:c>
      <x:c r="F546" s="311" t="str">
        <x:v>Chest + Biceps</x:v>
      </x:c>
      <x:c r="G546" s="311" t="str">
        <x:v>Chest and biceps hypertrophy specialization</x:v>
      </x:c>
      <x:c r="H546" s="311" t="n">
        <x:v>8</x:v>
      </x:c>
      <x:c r="I546" s="311" t="str">
        <x:v>Hammer Curl</x:v>
      </x:c>
      <x:c r="J546" s="311" t="str">
        <x:v>Hypertrophy</x:v>
      </x:c>
      <x:c r="K546" s="311" t="str">
        <x:v>Biceps</x:v>
      </x:c>
      <x:c r="L546" s="311" t="str">
        <x:v>Superset</x:v>
      </x:c>
      <x:c r="M546" s="311" t="str">
        <x:v>A2</x:v>
      </x:c>
      <x:c r="N546" s="311" t="n">
        <x:v>4</x:v>
      </x:c>
      <x:c r="O546" s="311" t="n">
        <x:v>10</x:v>
      </x:c>
      <x:c r="P546" s="311" t="n">
        <x:v>15</x:v>
      </x:c>
      <x:c r="Q546" s="311" t="n">
        <x:v>2</x:v>
      </x:c>
      <x:c r="R546" s="311" t="n">
        <x:v>30</x:v>
      </x:c>
      <x:c r="S546" s="311" t="str">
        <x:v>2-0-1</x:v>
      </x:c>
      <x:c r="T546" s="330" t="n">
        <x:v>1</x:v>
      </x:c>
      <x:c r="U546" s="330" t="n">
        <x:v>0</x:v>
      </x:c>
      <x:c r="V546" s="331" t="str">
        <x:v>load × reps</x:v>
      </x:c>
      <x:c r="W546" s="332" t="str">
        <x:f>'Readiness'!K65</x:f>
      </x:c>
      <x:c r="X546" s="314" t="n">
        <x:f>'Readiness'!L65</x:f>
        <x:v>1</x:v>
      </x:c>
      <x:c r="Y546" s="315" t="n">
        <x:f>IF(J546="Mobility",N546,MAX(1,ROUND(N546*X546,0)))</x:f>
        <x:v>4</x:v>
      </x:c>
      <x:c r="Z546" s="333" t="n">
        <x:f>ROUND((IF(AU490&gt;0,AU490,IF(Z490&gt;0,Z490,'Setup'!$D$48))*T546)/'Setup'!$B$9,0)*'Setup'!$B$9</x:f>
        <x:v>0</x:v>
      </x:c>
      <x:c r="AA546" s="334"/>
      <x:c r="AB546" s="334"/>
      <x:c r="AC546" s="334"/>
      <x:c r="AD546" s="334"/>
      <x:c r="AE546" s="334"/>
      <x:c r="AF546" s="334"/>
      <x:c r="AG546" s="334"/>
      <x:c r="AH546" s="334"/>
      <x:c r="AI546" s="334"/>
      <x:c r="AJ546" s="312"/>
      <x:c r="AK546" s="312"/>
      <x:c r="AL546" s="312"/>
      <x:c r="AM546" s="312"/>
      <x:c r="AN546" s="312"/>
      <x:c r="AO546" s="315" t="n">
        <x:f>COUNT(AB546,AD546,AF546,AH546,AJ546)</x:f>
        <x:v>0</x:v>
      </x:c>
      <x:c r="AP546" s="315" t="n">
        <x:f>SUM(AB546,AD546,AF546,AH546,AJ546)</x:f>
        <x:v>0</x:v>
      </x:c>
      <x:c r="AQ546" s="333" t="n">
        <x:f>AA546*AB546+AC546*AD546+AE546*AF546+AG546*AH546+AI546*AJ546</x:f>
        <x:v>0</x:v>
      </x:c>
      <x:c r="AR546" s="333" t="n">
        <x:f>IF(OR(J546="Strength",J546="Hypertrophy"),MAX(IF(AB546&gt;0,AA546*(1+AB546/30),0),IF(AD546&gt;0,AC546*(1+AD546/30),0),IF(AF546&gt;0,AE546*(1+AF546/30),0),IF(AH546&gt;0,AG546*(1+AH546/30),0),IF(AJ546&gt;0,AI546*(1+AJ546/30),0)),0)</x:f>
        <x:v>0</x:v>
      </x:c>
      <x:c r="AS546" s="315" t="str">
        <x:f>IF(AN546&lt;&gt;"Yes","Not logged",IF(AL546&gt;='Setup'!$B$14,"STOP / MODIFY",IF(Z546=0,"Complete",IF(OR(AO546=0,AK546=""),"Add set data + RIR",IF(AND(MAX(AB546,AD546,AF546,AH546,AJ546)&gt;=P546,AK546&gt;=Q546+1),"Progress",IF(OR(MAX(AB546,AD546,AF546,AH546,AJ546)&lt;O546,AK546&lt;Q546-1),"Regress","Hold"))))))</x:f>
        <x:v>Not logged</x:v>
      </x:c>
      <x:c r="AT546" s="335" t="n">
        <x:f>IF(OR(Z546=0,AN546&lt;&gt;"Yes",AO546=0,AK546=""),0,IF(AL546&gt;='Setup'!$B$14,-2*'Setup'!$B$11,IF(AND(MAX(AB546,AD546,AF546,AH546,AJ546)&gt;=P546,AK546&gt;=Q546+1),'Setup'!$B$10,IF(OR(MAX(AB546,AD546,AF546,AH546,AJ546)&lt;O546,AK546&lt;Q546-1),-'Setup'!$B$11,0))))</x:f>
        <x:v>0</x:v>
      </x:c>
      <x:c r="AU546" s="333" t="n">
        <x:f>IF(Z546=0,0,IF(AN546&lt;&gt;"Yes",Z546,IF(COUNT(AA546,AC546,AE546,AG546,AI546)=0,Z546,ROUND((MAX(AA546,AC546,AE546,AG546,AI546)*(1+AT546))/'Setup'!$B$9,0)*'Setup'!$B$9)))</x:f>
        <x:v>0</x:v>
      </x:c>
      <x:c r="AV546" s="336"/>
    </x:row>
    <x:row r="547">
      <x:c r="A547" s="310" t="n">
        <x:f>'Setup'!$B$3+(C547-1)*7+(D547-1)</x:f>
        <x:v>46311</x:v>
      </x:c>
      <x:c r="B547" s="311" t="str">
        <x:v>10|5|9</x:v>
      </x:c>
      <x:c r="C547" s="311" t="n">
        <x:v>10</x:v>
      </x:c>
      <x:c r="D547" s="311" t="n">
        <x:v>5</x:v>
      </x:c>
      <x:c r="E547" s="311" t="str">
        <x:v>Realization</x:v>
      </x:c>
      <x:c r="F547" s="311" t="str">
        <x:v>Chest + Biceps</x:v>
      </x:c>
      <x:c r="G547" s="311" t="str">
        <x:v>Chest and biceps hypertrophy specialization</x:v>
      </x:c>
      <x:c r="H547" s="311" t="n">
        <x:v>9</x:v>
      </x:c>
      <x:c r="I547" s="311" t="str">
        <x:v>Doorway Pec Stretch</x:v>
      </x:c>
      <x:c r="J547" s="311" t="str">
        <x:v>Mobility</x:v>
      </x:c>
      <x:c r="K547" s="311" t="str">
        <x:v>Chest</x:v>
      </x:c>
      <x:c r="L547" s="311" t="str">
        <x:v>Relaxed breathing</x:v>
      </x:c>
      <x:c r="M547" s="311" t="str"/>
      <x:c r="N547" s="311" t="n">
        <x:v>2</x:v>
      </x:c>
      <x:c r="O547" s="311" t="n">
        <x:v>30</x:v>
      </x:c>
      <x:c r="P547" s="311" t="n">
        <x:v>45</x:v>
      </x:c>
      <x:c r="Q547" s="311" t="str"/>
      <x:c r="R547" s="311" t="n">
        <x:v>20</x:v>
      </x:c>
      <x:c r="S547" s="311" t="str">
        <x:v>Hold</x:v>
      </x:c>
      <x:c r="T547" s="330" t="n">
        <x:v>1</x:v>
      </x:c>
      <x:c r="U547" s="330" t="n">
        <x:v>0</x:v>
      </x:c>
      <x:c r="V547" s="331" t="str">
        <x:v>seconds</x:v>
      </x:c>
      <x:c r="W547" s="332" t="str">
        <x:f>'Readiness'!K65</x:f>
      </x:c>
      <x:c r="X547" s="314" t="n">
        <x:f>'Readiness'!L65</x:f>
        <x:v>1</x:v>
      </x:c>
      <x:c r="Y547" s="315" t="n">
        <x:f>IF(J547="Mobility",N547,MAX(1,ROUND(N547*X547,0)))</x:f>
        <x:v>2</x:v>
      </x:c>
      <x:c r="Z547" s="333" t="n">
        <x:f>0</x:f>
        <x:v>0</x:v>
      </x:c>
      <x:c r="AA547" s="334"/>
      <x:c r="AB547" s="334"/>
      <x:c r="AC547" s="334"/>
      <x:c r="AD547" s="334"/>
      <x:c r="AE547" s="334"/>
      <x:c r="AF547" s="334"/>
      <x:c r="AG547" s="334"/>
      <x:c r="AH547" s="334"/>
      <x:c r="AI547" s="334"/>
      <x:c r="AJ547" s="312"/>
      <x:c r="AK547" s="312"/>
      <x:c r="AL547" s="312"/>
      <x:c r="AM547" s="312"/>
      <x:c r="AN547" s="312"/>
      <x:c r="AO547" s="315" t="n">
        <x:f>COUNT(AB547,AD547,AF547,AH547,AJ547)</x:f>
        <x:v>0</x:v>
      </x:c>
      <x:c r="AP547" s="315" t="n">
        <x:f>SUM(AB547,AD547,AF547,AH547,AJ547)</x:f>
        <x:v>0</x:v>
      </x:c>
      <x:c r="AQ547" s="333" t="n">
        <x:f>AA547*AB547+AC547*AD547+AE547*AF547+AG547*AH547+AI547*AJ547</x:f>
        <x:v>0</x:v>
      </x:c>
      <x:c r="AR547" s="333" t="n">
        <x:f>IF(OR(J547="Strength",J547="Hypertrophy"),MAX(IF(AB547&gt;0,AA547*(1+AB547/30),0),IF(AD547&gt;0,AC547*(1+AD547/30),0),IF(AF547&gt;0,AE547*(1+AF547/30),0),IF(AH547&gt;0,AG547*(1+AH547/30),0),IF(AJ547&gt;0,AI547*(1+AJ547/30),0)),0)</x:f>
        <x:v>0</x:v>
      </x:c>
      <x:c r="AS547" s="315" t="str">
        <x:f>IF(AN547&lt;&gt;"Yes","Not logged",IF(AL547&gt;='Setup'!$B$14,"STOP / MODIFY",IF(Z547=0,"Complete",IF(OR(AO547=0,AK547=""),"Add set data + RIR",IF(AND(MAX(AB547,AD547,AF547,AH547,AJ547)&gt;=P547,AK547&gt;=Q547+1),"Progress",IF(OR(MAX(AB547,AD547,AF547,AH547,AJ547)&lt;O547,AK547&lt;Q547-1),"Regress","Hold"))))))</x:f>
        <x:v>Not logged</x:v>
      </x:c>
      <x:c r="AT547" s="335" t="n">
        <x:f>IF(OR(Z547=0,AN547&lt;&gt;"Yes",AO547=0,AK547=""),0,IF(AL547&gt;='Setup'!$B$14,-2*'Setup'!$B$11,IF(AND(MAX(AB547,AD547,AF547,AH547,AJ547)&gt;=P547,AK547&gt;=Q547+1),'Setup'!$B$10,IF(OR(MAX(AB547,AD547,AF547,AH547,AJ547)&lt;O547,AK547&lt;Q547-1),-'Setup'!$B$11,0))))</x:f>
        <x:v>0</x:v>
      </x:c>
      <x:c r="AU547" s="333" t="n">
        <x:f>IF(Z547=0,0,IF(AN547&lt;&gt;"Yes",Z547,IF(COUNT(AA547,AC547,AE547,AG547,AI547)=0,Z547,ROUND((MAX(AA547,AC547,AE547,AG547,AI547)*(1+AT547))/'Setup'!$B$9,0)*'Setup'!$B$9)))</x:f>
        <x:v>0</x:v>
      </x:c>
      <x:c r="AV547" s="336"/>
    </x:row>
    <x:row r="548">
      <x:c r="A548" s="310" t="n">
        <x:f>'Setup'!$B$3+(C548-1)*7+(D548-1)</x:f>
        <x:v>46312</x:v>
      </x:c>
      <x:c r="B548" s="311" t="str">
        <x:v>10|6|1</x:v>
      </x:c>
      <x:c r="C548" s="311" t="n">
        <x:v>10</x:v>
      </x:c>
      <x:c r="D548" s="311" t="n">
        <x:v>6</x:v>
      </x:c>
      <x:c r="E548" s="311" t="str">
        <x:v>Realization</x:v>
      </x:c>
      <x:c r="F548" s="311" t="str">
        <x:v>Athletic Full Body</x:v>
      </x:c>
      <x:c r="G548" s="311" t="str">
        <x:v>Speed, multidirectional power, conditioning</x:v>
      </x:c>
      <x:c r="H548" s="311" t="n">
        <x:v>1</x:v>
      </x:c>
      <x:c r="I548" s="311" t="str">
        <x:v>Acceleration Sprint</x:v>
      </x:c>
      <x:c r="J548" s="311" t="str">
        <x:v>Athletic</x:v>
      </x:c>
      <x:c r="K548" s="311" t="str">
        <x:v>Full Body</x:v>
      </x:c>
      <x:c r="L548" s="311" t="str">
        <x:v>Full recovery, stop on speed drop</x:v>
      </x:c>
      <x:c r="M548" s="311" t="str"/>
      <x:c r="N548" s="311" t="n">
        <x:v>6</x:v>
      </x:c>
      <x:c r="O548" s="311" t="n">
        <x:v>20</x:v>
      </x:c>
      <x:c r="P548" s="311" t="n">
        <x:v>20</x:v>
      </x:c>
      <x:c r="Q548" s="311" t="n">
        <x:v>2</x:v>
      </x:c>
      <x:c r="R548" s="311" t="n">
        <x:v>90</x:v>
      </x:c>
      <x:c r="S548" s="311" t="str">
        <x:v>Max quality</x:v>
      </x:c>
      <x:c r="T548" s="330" t="n">
        <x:v>1</x:v>
      </x:c>
      <x:c r="U548" s="330" t="n">
        <x:v>0</x:v>
      </x:c>
      <x:c r="V548" s="331" t="str">
        <x:v>20 m time</x:v>
      </x:c>
      <x:c r="W548" s="332" t="str">
        <x:f>'Readiness'!K66</x:f>
      </x:c>
      <x:c r="X548" s="314" t="n">
        <x:f>'Readiness'!L66</x:f>
        <x:v>1</x:v>
      </x:c>
      <x:c r="Y548" s="315" t="n">
        <x:f>IF(J548="Mobility",N548,MAX(1,ROUND(N548*X548,0)))</x:f>
        <x:v>6</x:v>
      </x:c>
      <x:c r="Z548" s="333" t="n">
        <x:f>0</x:f>
        <x:v>0</x:v>
      </x:c>
      <x:c r="AA548" s="334"/>
      <x:c r="AB548" s="334"/>
      <x:c r="AC548" s="334"/>
      <x:c r="AD548" s="334"/>
      <x:c r="AE548" s="334"/>
      <x:c r="AF548" s="334"/>
      <x:c r="AG548" s="334"/>
      <x:c r="AH548" s="334"/>
      <x:c r="AI548" s="334"/>
      <x:c r="AJ548" s="312"/>
      <x:c r="AK548" s="312"/>
      <x:c r="AL548" s="312"/>
      <x:c r="AM548" s="312"/>
      <x:c r="AN548" s="312"/>
      <x:c r="AO548" s="315" t="n">
        <x:f>COUNT(AB548,AD548,AF548,AH548,AJ548)</x:f>
        <x:v>0</x:v>
      </x:c>
      <x:c r="AP548" s="315" t="n">
        <x:f>SUM(AB548,AD548,AF548,AH548,AJ548)</x:f>
        <x:v>0</x:v>
      </x:c>
      <x:c r="AQ548" s="333" t="n">
        <x:f>AA548*AB548+AC548*AD548+AE548*AF548+AG548*AH548+AI548*AJ548</x:f>
        <x:v>0</x:v>
      </x:c>
      <x:c r="AR548" s="333" t="n">
        <x:f>IF(OR(J548="Strength",J548="Hypertrophy"),MAX(IF(AB548&gt;0,AA548*(1+AB548/30),0),IF(AD548&gt;0,AC548*(1+AD548/30),0),IF(AF548&gt;0,AE548*(1+AF548/30),0),IF(AH548&gt;0,AG548*(1+AH548/30),0),IF(AJ548&gt;0,AI548*(1+AJ548/30),0)),0)</x:f>
        <x:v>0</x:v>
      </x:c>
      <x:c r="AS548" s="315" t="str">
        <x:f>IF(AN548&lt;&gt;"Yes","Not logged",IF(AL548&gt;='Setup'!$B$14,"STOP / MODIFY",IF(Z548=0,"Complete",IF(OR(AO548=0,AK548=""),"Add set data + RIR",IF(AND(MAX(AB548,AD548,AF548,AH548,AJ548)&gt;=P548,AK548&gt;=Q548+1),"Progress",IF(OR(MAX(AB548,AD548,AF548,AH548,AJ548)&lt;O548,AK548&lt;Q548-1),"Regress","Hold"))))))</x:f>
        <x:v>Not logged</x:v>
      </x:c>
      <x:c r="AT548" s="335" t="n">
        <x:f>IF(OR(Z548=0,AN548&lt;&gt;"Yes",AO548=0,AK548=""),0,IF(AL548&gt;='Setup'!$B$14,-2*'Setup'!$B$11,IF(AND(MAX(AB548,AD548,AF548,AH548,AJ548)&gt;=P548,AK548&gt;=Q548+1),'Setup'!$B$10,IF(OR(MAX(AB548,AD548,AF548,AH548,AJ548)&lt;O548,AK548&lt;Q548-1),-'Setup'!$B$11,0))))</x:f>
        <x:v>0</x:v>
      </x:c>
      <x:c r="AU548" s="333" t="n">
        <x:f>IF(Z548=0,0,IF(AN548&lt;&gt;"Yes",Z548,IF(COUNT(AA548,AC548,AE548,AG548,AI548)=0,Z548,ROUND((MAX(AA548,AC548,AE548,AG548,AI548)*(1+AT548))/'Setup'!$B$9,0)*'Setup'!$B$9)))</x:f>
        <x:v>0</x:v>
      </x:c>
      <x:c r="AV548" s="336"/>
    </x:row>
    <x:row r="549">
      <x:c r="A549" s="310" t="n">
        <x:f>'Setup'!$B$3+(C549-1)*7+(D549-1)</x:f>
        <x:v>46312</x:v>
      </x:c>
      <x:c r="B549" s="311" t="str">
        <x:v>10|6|2</x:v>
      </x:c>
      <x:c r="C549" s="311" t="n">
        <x:v>10</x:v>
      </x:c>
      <x:c r="D549" s="311" t="n">
        <x:v>6</x:v>
      </x:c>
      <x:c r="E549" s="311" t="str">
        <x:v>Realization</x:v>
      </x:c>
      <x:c r="F549" s="311" t="str">
        <x:v>Athletic Full Body</x:v>
      </x:c>
      <x:c r="G549" s="311" t="str">
        <x:v>Speed, multidirectional power, conditioning</x:v>
      </x:c>
      <x:c r="H549" s="311" t="n">
        <x:v>2</x:v>
      </x:c>
      <x:c r="I549" s="311" t="str">
        <x:v>Lateral Bound</x:v>
      </x:c>
      <x:c r="J549" s="311" t="str">
        <x:v>Power</x:v>
      </x:c>
      <x:c r="K549" s="311" t="str">
        <x:v>Glutes</x:v>
      </x:c>
      <x:c r="L549" s="311" t="str">
        <x:v>Stick landing</x:v>
      </x:c>
      <x:c r="M549" s="311" t="str"/>
      <x:c r="N549" s="311" t="n">
        <x:v>4</x:v>
      </x:c>
      <x:c r="O549" s="311" t="n">
        <x:v>4</x:v>
      </x:c>
      <x:c r="P549" s="311" t="n">
        <x:v>4</x:v>
      </x:c>
      <x:c r="Q549" s="311" t="n">
        <x:v>2</x:v>
      </x:c>
      <x:c r="R549" s="311" t="n">
        <x:v>60</x:v>
      </x:c>
      <x:c r="S549" s="311" t="str">
        <x:v>Explosive</x:v>
      </x:c>
      <x:c r="T549" s="330" t="n">
        <x:v>1</x:v>
      </x:c>
      <x:c r="U549" s="330" t="n">
        <x:v>0</x:v>
      </x:c>
      <x:c r="V549" s="331" t="str">
        <x:v>distance</x:v>
      </x:c>
      <x:c r="W549" s="332" t="str">
        <x:f>'Readiness'!K66</x:f>
      </x:c>
      <x:c r="X549" s="314" t="n">
        <x:f>'Readiness'!L66</x:f>
        <x:v>1</x:v>
      </x:c>
      <x:c r="Y549" s="315" t="n">
        <x:f>IF(J549="Mobility",N549,MAX(1,ROUND(N549*X549,0)))</x:f>
        <x:v>4</x:v>
      </x:c>
      <x:c r="Z549" s="333" t="n">
        <x:f>0</x:f>
        <x:v>0</x:v>
      </x:c>
      <x:c r="AA549" s="334"/>
      <x:c r="AB549" s="334"/>
      <x:c r="AC549" s="334"/>
      <x:c r="AD549" s="334"/>
      <x:c r="AE549" s="334"/>
      <x:c r="AF549" s="334"/>
      <x:c r="AG549" s="334"/>
      <x:c r="AH549" s="334"/>
      <x:c r="AI549" s="334"/>
      <x:c r="AJ549" s="312"/>
      <x:c r="AK549" s="312"/>
      <x:c r="AL549" s="312"/>
      <x:c r="AM549" s="312"/>
      <x:c r="AN549" s="312"/>
      <x:c r="AO549" s="315" t="n">
        <x:f>COUNT(AB549,AD549,AF549,AH549,AJ549)</x:f>
        <x:v>0</x:v>
      </x:c>
      <x:c r="AP549" s="315" t="n">
        <x:f>SUM(AB549,AD549,AF549,AH549,AJ549)</x:f>
        <x:v>0</x:v>
      </x:c>
      <x:c r="AQ549" s="333" t="n">
        <x:f>AA549*AB549+AC549*AD549+AE549*AF549+AG549*AH549+AI549*AJ549</x:f>
        <x:v>0</x:v>
      </x:c>
      <x:c r="AR549" s="333" t="n">
        <x:f>IF(OR(J549="Strength",J549="Hypertrophy"),MAX(IF(AB549&gt;0,AA549*(1+AB549/30),0),IF(AD549&gt;0,AC549*(1+AD549/30),0),IF(AF549&gt;0,AE549*(1+AF549/30),0),IF(AH549&gt;0,AG549*(1+AH549/30),0),IF(AJ549&gt;0,AI549*(1+AJ549/30),0)),0)</x:f>
        <x:v>0</x:v>
      </x:c>
      <x:c r="AS549" s="315" t="str">
        <x:f>IF(AN549&lt;&gt;"Yes","Not logged",IF(AL549&gt;='Setup'!$B$14,"STOP / MODIFY",IF(Z549=0,"Complete",IF(OR(AO549=0,AK549=""),"Add set data + RIR",IF(AND(MAX(AB549,AD549,AF549,AH549,AJ549)&gt;=P549,AK549&gt;=Q549+1),"Progress",IF(OR(MAX(AB549,AD549,AF549,AH549,AJ549)&lt;O549,AK549&lt;Q549-1),"Regress","Hold"))))))</x:f>
        <x:v>Not logged</x:v>
      </x:c>
      <x:c r="AT549" s="335" t="n">
        <x:f>IF(OR(Z549=0,AN549&lt;&gt;"Yes",AO549=0,AK549=""),0,IF(AL549&gt;='Setup'!$B$14,-2*'Setup'!$B$11,IF(AND(MAX(AB549,AD549,AF549,AH549,AJ549)&gt;=P549,AK549&gt;=Q549+1),'Setup'!$B$10,IF(OR(MAX(AB549,AD549,AF549,AH549,AJ549)&lt;O549,AK549&lt;Q549-1),-'Setup'!$B$11,0))))</x:f>
        <x:v>0</x:v>
      </x:c>
      <x:c r="AU549" s="333" t="n">
        <x:f>IF(Z549=0,0,IF(AN549&lt;&gt;"Yes",Z549,IF(COUNT(AA549,AC549,AE549,AG549,AI549)=0,Z549,ROUND((MAX(AA549,AC549,AE549,AG549,AI549)*(1+AT549))/'Setup'!$B$9,0)*'Setup'!$B$9)))</x:f>
        <x:v>0</x:v>
      </x:c>
      <x:c r="AV549" s="336"/>
    </x:row>
    <x:row r="550">
      <x:c r="A550" s="310" t="n">
        <x:f>'Setup'!$B$3+(C550-1)*7+(D550-1)</x:f>
        <x:v>46312</x:v>
      </x:c>
      <x:c r="B550" s="311" t="str">
        <x:v>10|6|3</x:v>
      </x:c>
      <x:c r="C550" s="311" t="n">
        <x:v>10</x:v>
      </x:c>
      <x:c r="D550" s="311" t="n">
        <x:v>6</x:v>
      </x:c>
      <x:c r="E550" s="311" t="str">
        <x:v>Realization</x:v>
      </x:c>
      <x:c r="F550" s="311" t="str">
        <x:v>Athletic Full Body</x:v>
      </x:c>
      <x:c r="G550" s="311" t="str">
        <x:v>Speed, multidirectional power, conditioning</x:v>
      </x:c>
      <x:c r="H550" s="311" t="n">
        <x:v>3</x:v>
      </x:c>
      <x:c r="I550" s="311" t="str">
        <x:v>Medicine Ball Rotational Throw</x:v>
      </x:c>
      <x:c r="J550" s="311" t="str">
        <x:v>Power</x:v>
      </x:c>
      <x:c r="K550" s="311" t="str">
        <x:v>Core</x:v>
      </x:c>
      <x:c r="L550" s="311" t="str">
        <x:v>Max intent, full reset</x:v>
      </x:c>
      <x:c r="M550" s="311" t="str"/>
      <x:c r="N550" s="311" t="n">
        <x:v>4</x:v>
      </x:c>
      <x:c r="O550" s="311" t="n">
        <x:v>4</x:v>
      </x:c>
      <x:c r="P550" s="311" t="n">
        <x:v>4</x:v>
      </x:c>
      <x:c r="Q550" s="311" t="n">
        <x:v>2</x:v>
      </x:c>
      <x:c r="R550" s="311" t="n">
        <x:v>60</x:v>
      </x:c>
      <x:c r="S550" s="311" t="str">
        <x:v>Explosive</x:v>
      </x:c>
      <x:c r="T550" s="330" t="n">
        <x:v>1</x:v>
      </x:c>
      <x:c r="U550" s="330" t="n">
        <x:v>0</x:v>
      </x:c>
      <x:c r="V550" s="331" t="str">
        <x:v>throw quality</x:v>
      </x:c>
      <x:c r="W550" s="332" t="str">
        <x:f>'Readiness'!K66</x:f>
      </x:c>
      <x:c r="X550" s="314" t="n">
        <x:f>'Readiness'!L66</x:f>
        <x:v>1</x:v>
      </x:c>
      <x:c r="Y550" s="315" t="n">
        <x:f>IF(J550="Mobility",N550,MAX(1,ROUND(N550*X550,0)))</x:f>
        <x:v>4</x:v>
      </x:c>
      <x:c r="Z550" s="333" t="n">
        <x:f>0</x:f>
        <x:v>0</x:v>
      </x:c>
      <x:c r="AA550" s="334"/>
      <x:c r="AB550" s="334"/>
      <x:c r="AC550" s="334"/>
      <x:c r="AD550" s="334"/>
      <x:c r="AE550" s="334"/>
      <x:c r="AF550" s="334"/>
      <x:c r="AG550" s="334"/>
      <x:c r="AH550" s="334"/>
      <x:c r="AI550" s="334"/>
      <x:c r="AJ550" s="312"/>
      <x:c r="AK550" s="312"/>
      <x:c r="AL550" s="312"/>
      <x:c r="AM550" s="312"/>
      <x:c r="AN550" s="312"/>
      <x:c r="AO550" s="315" t="n">
        <x:f>COUNT(AB550,AD550,AF550,AH550,AJ550)</x:f>
        <x:v>0</x:v>
      </x:c>
      <x:c r="AP550" s="315" t="n">
        <x:f>SUM(AB550,AD550,AF550,AH550,AJ550)</x:f>
        <x:v>0</x:v>
      </x:c>
      <x:c r="AQ550" s="333" t="n">
        <x:f>AA550*AB550+AC550*AD550+AE550*AF550+AG550*AH550+AI550*AJ550</x:f>
        <x:v>0</x:v>
      </x:c>
      <x:c r="AR550" s="333" t="n">
        <x:f>IF(OR(J550="Strength",J550="Hypertrophy"),MAX(IF(AB550&gt;0,AA550*(1+AB550/30),0),IF(AD550&gt;0,AC550*(1+AD550/30),0),IF(AF550&gt;0,AE550*(1+AF550/30),0),IF(AH550&gt;0,AG550*(1+AH550/30),0),IF(AJ550&gt;0,AI550*(1+AJ550/30),0)),0)</x:f>
        <x:v>0</x:v>
      </x:c>
      <x:c r="AS550" s="315" t="str">
        <x:f>IF(AN550&lt;&gt;"Yes","Not logged",IF(AL550&gt;='Setup'!$B$14,"STOP / MODIFY",IF(Z550=0,"Complete",IF(OR(AO550=0,AK550=""),"Add set data + RIR",IF(AND(MAX(AB550,AD550,AF550,AH550,AJ550)&gt;=P550,AK550&gt;=Q550+1),"Progress",IF(OR(MAX(AB550,AD550,AF550,AH550,AJ550)&lt;O550,AK550&lt;Q550-1),"Regress","Hold"))))))</x:f>
        <x:v>Not logged</x:v>
      </x:c>
      <x:c r="AT550" s="335" t="n">
        <x:f>IF(OR(Z550=0,AN550&lt;&gt;"Yes",AO550=0,AK550=""),0,IF(AL550&gt;='Setup'!$B$14,-2*'Setup'!$B$11,IF(AND(MAX(AB550,AD550,AF550,AH550,AJ550)&gt;=P550,AK550&gt;=Q550+1),'Setup'!$B$10,IF(OR(MAX(AB550,AD550,AF550,AH550,AJ550)&lt;O550,AK550&lt;Q550-1),-'Setup'!$B$11,0))))</x:f>
        <x:v>0</x:v>
      </x:c>
      <x:c r="AU550" s="333" t="n">
        <x:f>IF(Z550=0,0,IF(AN550&lt;&gt;"Yes",Z550,IF(COUNT(AA550,AC550,AE550,AG550,AI550)=0,Z550,ROUND((MAX(AA550,AC550,AE550,AG550,AI550)*(1+AT550))/'Setup'!$B$9,0)*'Setup'!$B$9)))</x:f>
        <x:v>0</x:v>
      </x:c>
      <x:c r="AV550" s="336"/>
    </x:row>
    <x:row r="551">
      <x:c r="A551" s="310" t="n">
        <x:f>'Setup'!$B$3+(C551-1)*7+(D551-1)</x:f>
        <x:v>46312</x:v>
      </x:c>
      <x:c r="B551" s="311" t="str">
        <x:v>10|6|4</x:v>
      </x:c>
      <x:c r="C551" s="311" t="n">
        <x:v>10</x:v>
      </x:c>
      <x:c r="D551" s="311" t="n">
        <x:v>6</x:v>
      </x:c>
      <x:c r="E551" s="311" t="str">
        <x:v>Realization</x:v>
      </x:c>
      <x:c r="F551" s="311" t="str">
        <x:v>Athletic Full Body</x:v>
      </x:c>
      <x:c r="G551" s="311" t="str">
        <x:v>Speed, multidirectional power, conditioning</x:v>
      </x:c>
      <x:c r="H551" s="311" t="n">
        <x:v>4</x:v>
      </x:c>
      <x:c r="I551" s="311" t="str">
        <x:v>Kettlebell Swing</x:v>
      </x:c>
      <x:c r="J551" s="311" t="str">
        <x:v>Power</x:v>
      </x:c>
      <x:c r="K551" s="311" t="str">
        <x:v>Hamstrings</x:v>
      </x:c>
      <x:c r="L551" s="311" t="str">
        <x:v>Ballistic hinge</x:v>
      </x:c>
      <x:c r="M551" s="311" t="str"/>
      <x:c r="N551" s="311" t="n">
        <x:v>5</x:v>
      </x:c>
      <x:c r="O551" s="311" t="n">
        <x:v>5</x:v>
      </x:c>
      <x:c r="P551" s="311" t="n">
        <x:v>5</x:v>
      </x:c>
      <x:c r="Q551" s="311" t="n">
        <x:v>2</x:v>
      </x:c>
      <x:c r="R551" s="311" t="n">
        <x:v>60</x:v>
      </x:c>
      <x:c r="S551" s="311" t="str">
        <x:v>Explosive</x:v>
      </x:c>
      <x:c r="T551" s="330" t="n">
        <x:v>1</x:v>
      </x:c>
      <x:c r="U551" s="330" t="n">
        <x:v>0</x:v>
      </x:c>
      <x:c r="V551" s="331" t="str">
        <x:v>load × reps</x:v>
      </x:c>
      <x:c r="W551" s="332" t="str">
        <x:f>'Readiness'!K66</x:f>
      </x:c>
      <x:c r="X551" s="314" t="n">
        <x:f>'Readiness'!L66</x:f>
        <x:v>1</x:v>
      </x:c>
      <x:c r="Y551" s="315" t="n">
        <x:f>IF(J551="Mobility",N551,MAX(1,ROUND(N551*X551,0)))</x:f>
        <x:v>5</x:v>
      </x:c>
      <x:c r="Z551" s="333" t="n">
        <x:f>ROUND((IF(AU495&gt;0,AU495,IF(Z495&gt;0,Z495,'Setup'!$D$54))*T551)/'Setup'!$B$9,0)*'Setup'!$B$9</x:f>
        <x:v>0</x:v>
      </x:c>
      <x:c r="AA551" s="334"/>
      <x:c r="AB551" s="334"/>
      <x:c r="AC551" s="334"/>
      <x:c r="AD551" s="334"/>
      <x:c r="AE551" s="334"/>
      <x:c r="AF551" s="334"/>
      <x:c r="AG551" s="334"/>
      <x:c r="AH551" s="334"/>
      <x:c r="AI551" s="334"/>
      <x:c r="AJ551" s="312"/>
      <x:c r="AK551" s="312"/>
      <x:c r="AL551" s="312"/>
      <x:c r="AM551" s="312"/>
      <x:c r="AN551" s="312"/>
      <x:c r="AO551" s="315" t="n">
        <x:f>COUNT(AB551,AD551,AF551,AH551,AJ551)</x:f>
        <x:v>0</x:v>
      </x:c>
      <x:c r="AP551" s="315" t="n">
        <x:f>SUM(AB551,AD551,AF551,AH551,AJ551)</x:f>
        <x:v>0</x:v>
      </x:c>
      <x:c r="AQ551" s="333" t="n">
        <x:f>AA551*AB551+AC551*AD551+AE551*AF551+AG551*AH551+AI551*AJ551</x:f>
        <x:v>0</x:v>
      </x:c>
      <x:c r="AR551" s="333" t="n">
        <x:f>IF(OR(J551="Strength",J551="Hypertrophy"),MAX(IF(AB551&gt;0,AA551*(1+AB551/30),0),IF(AD551&gt;0,AC551*(1+AD551/30),0),IF(AF551&gt;0,AE551*(1+AF551/30),0),IF(AH551&gt;0,AG551*(1+AH551/30),0),IF(AJ551&gt;0,AI551*(1+AJ551/30),0)),0)</x:f>
        <x:v>0</x:v>
      </x:c>
      <x:c r="AS551" s="315" t="str">
        <x:f>IF(AN551&lt;&gt;"Yes","Not logged",IF(AL551&gt;='Setup'!$B$14,"STOP / MODIFY",IF(Z551=0,"Complete",IF(OR(AO551=0,AK551=""),"Add set data + RIR",IF(AND(MAX(AB551,AD551,AF551,AH551,AJ551)&gt;=P551,AK551&gt;=Q551+1),"Progress",IF(OR(MAX(AB551,AD551,AF551,AH551,AJ551)&lt;O551,AK551&lt;Q551-1),"Regress","Hold"))))))</x:f>
        <x:v>Not logged</x:v>
      </x:c>
      <x:c r="AT551" s="335" t="n">
        <x:f>IF(OR(Z551=0,AN551&lt;&gt;"Yes",AO551=0,AK551=""),0,IF(AL551&gt;='Setup'!$B$14,-2*'Setup'!$B$11,IF(AND(MAX(AB551,AD551,AF551,AH551,AJ551)&gt;=P551,AK551&gt;=Q551+1),'Setup'!$B$10,IF(OR(MAX(AB551,AD551,AF551,AH551,AJ551)&lt;O551,AK551&lt;Q551-1),-'Setup'!$B$11,0))))</x:f>
        <x:v>0</x:v>
      </x:c>
      <x:c r="AU551" s="333" t="n">
        <x:f>IF(Z551=0,0,IF(AN551&lt;&gt;"Yes",Z551,IF(COUNT(AA551,AC551,AE551,AG551,AI551)=0,Z551,ROUND((MAX(AA551,AC551,AE551,AG551,AI551)*(1+AT551))/'Setup'!$B$9,0)*'Setup'!$B$9)))</x:f>
        <x:v>0</x:v>
      </x:c>
      <x:c r="AV551" s="336"/>
    </x:row>
    <x:row r="552">
      <x:c r="A552" s="310" t="n">
        <x:f>'Setup'!$B$3+(C552-1)*7+(D552-1)</x:f>
        <x:v>46312</x:v>
      </x:c>
      <x:c r="B552" s="311" t="str">
        <x:v>10|6|5</x:v>
      </x:c>
      <x:c r="C552" s="311" t="n">
        <x:v>10</x:v>
      </x:c>
      <x:c r="D552" s="311" t="n">
        <x:v>6</x:v>
      </x:c>
      <x:c r="E552" s="311" t="str">
        <x:v>Realization</x:v>
      </x:c>
      <x:c r="F552" s="311" t="str">
        <x:v>Athletic Full Body</x:v>
      </x:c>
      <x:c r="G552" s="311" t="str">
        <x:v>Speed, multidirectional power, conditioning</x:v>
      </x:c>
      <x:c r="H552" s="311" t="n">
        <x:v>5</x:v>
      </x:c>
      <x:c r="I552" s="311" t="str">
        <x:v>Sled Push</x:v>
      </x:c>
      <x:c r="J552" s="311" t="str">
        <x:v>Athletic</x:v>
      </x:c>
      <x:c r="K552" s="311" t="str">
        <x:v>Quads</x:v>
      </x:c>
      <x:c r="L552" s="311" t="str">
        <x:v>Fast, powerful steps</x:v>
      </x:c>
      <x:c r="M552" s="311" t="str"/>
      <x:c r="N552" s="311" t="n">
        <x:v>6</x:v>
      </x:c>
      <x:c r="O552" s="311" t="n">
        <x:v>20</x:v>
      </x:c>
      <x:c r="P552" s="311" t="n">
        <x:v>20</x:v>
      </x:c>
      <x:c r="Q552" s="311" t="n">
        <x:v>2</x:v>
      </x:c>
      <x:c r="R552" s="311" t="n">
        <x:v>75</x:v>
      </x:c>
      <x:c r="S552" s="311" t="str">
        <x:v>Fast</x:v>
      </x:c>
      <x:c r="T552" s="330" t="n">
        <x:v>1</x:v>
      </x:c>
      <x:c r="U552" s="330" t="n">
        <x:v>0</x:v>
      </x:c>
      <x:c r="V552" s="331" t="str">
        <x:v>load + meters</x:v>
      </x:c>
      <x:c r="W552" s="332" t="str">
        <x:f>'Readiness'!K66</x:f>
      </x:c>
      <x:c r="X552" s="314" t="n">
        <x:f>'Readiness'!L66</x:f>
        <x:v>1</x:v>
      </x:c>
      <x:c r="Y552" s="315" t="n">
        <x:f>IF(J552="Mobility",N552,MAX(1,ROUND(N552*X552,0)))</x:f>
        <x:v>6</x:v>
      </x:c>
      <x:c r="Z552" s="333" t="n">
        <x:f>0</x:f>
        <x:v>0</x:v>
      </x:c>
      <x:c r="AA552" s="334"/>
      <x:c r="AB552" s="334"/>
      <x:c r="AC552" s="334"/>
      <x:c r="AD552" s="334"/>
      <x:c r="AE552" s="334"/>
      <x:c r="AF552" s="334"/>
      <x:c r="AG552" s="334"/>
      <x:c r="AH552" s="334"/>
      <x:c r="AI552" s="334"/>
      <x:c r="AJ552" s="312"/>
      <x:c r="AK552" s="312"/>
      <x:c r="AL552" s="312"/>
      <x:c r="AM552" s="312"/>
      <x:c r="AN552" s="312"/>
      <x:c r="AO552" s="315" t="n">
        <x:f>COUNT(AB552,AD552,AF552,AH552,AJ552)</x:f>
        <x:v>0</x:v>
      </x:c>
      <x:c r="AP552" s="315" t="n">
        <x:f>SUM(AB552,AD552,AF552,AH552,AJ552)</x:f>
        <x:v>0</x:v>
      </x:c>
      <x:c r="AQ552" s="333" t="n">
        <x:f>AA552*AB552+AC552*AD552+AE552*AF552+AG552*AH552+AI552*AJ552</x:f>
        <x:v>0</x:v>
      </x:c>
      <x:c r="AR552" s="333" t="n">
        <x:f>IF(OR(J552="Strength",J552="Hypertrophy"),MAX(IF(AB552&gt;0,AA552*(1+AB552/30),0),IF(AD552&gt;0,AC552*(1+AD552/30),0),IF(AF552&gt;0,AE552*(1+AF552/30),0),IF(AH552&gt;0,AG552*(1+AH552/30),0),IF(AJ552&gt;0,AI552*(1+AJ552/30),0)),0)</x:f>
        <x:v>0</x:v>
      </x:c>
      <x:c r="AS552" s="315" t="str">
        <x:f>IF(AN552&lt;&gt;"Yes","Not logged",IF(AL552&gt;='Setup'!$B$14,"STOP / MODIFY",IF(Z552=0,"Complete",IF(OR(AO552=0,AK552=""),"Add set data + RIR",IF(AND(MAX(AB552,AD552,AF552,AH552,AJ552)&gt;=P552,AK552&gt;=Q552+1),"Progress",IF(OR(MAX(AB552,AD552,AF552,AH552,AJ552)&lt;O552,AK552&lt;Q552-1),"Regress","Hold"))))))</x:f>
        <x:v>Not logged</x:v>
      </x:c>
      <x:c r="AT552" s="335" t="n">
        <x:f>IF(OR(Z552=0,AN552&lt;&gt;"Yes",AO552=0,AK552=""),0,IF(AL552&gt;='Setup'!$B$14,-2*'Setup'!$B$11,IF(AND(MAX(AB552,AD552,AF552,AH552,AJ552)&gt;=P552,AK552&gt;=Q552+1),'Setup'!$B$10,IF(OR(MAX(AB552,AD552,AF552,AH552,AJ552)&lt;O552,AK552&lt;Q552-1),-'Setup'!$B$11,0))))</x:f>
        <x:v>0</x:v>
      </x:c>
      <x:c r="AU552" s="333" t="n">
        <x:f>IF(Z552=0,0,IF(AN552&lt;&gt;"Yes",Z552,IF(COUNT(AA552,AC552,AE552,AG552,AI552)=0,Z552,ROUND((MAX(AA552,AC552,AE552,AG552,AI552)*(1+AT552))/'Setup'!$B$9,0)*'Setup'!$B$9)))</x:f>
        <x:v>0</x:v>
      </x:c>
      <x:c r="AV552" s="336"/>
    </x:row>
    <x:row r="553">
      <x:c r="A553" s="310" t="n">
        <x:f>'Setup'!$B$3+(C553-1)*7+(D553-1)</x:f>
        <x:v>46312</x:v>
      </x:c>
      <x:c r="B553" s="311" t="str">
        <x:v>10|6|6</x:v>
      </x:c>
      <x:c r="C553" s="311" t="n">
        <x:v>10</x:v>
      </x:c>
      <x:c r="D553" s="311" t="n">
        <x:v>6</x:v>
      </x:c>
      <x:c r="E553" s="311" t="str">
        <x:v>Realization</x:v>
      </x:c>
      <x:c r="F553" s="311" t="str">
        <x:v>Athletic Full Body</x:v>
      </x:c>
      <x:c r="G553" s="311" t="str">
        <x:v>Speed, multidirectional power, conditioning</x:v>
      </x:c>
      <x:c r="H553" s="311" t="n">
        <x:v>6</x:v>
      </x:c>
      <x:c r="I553" s="311" t="str">
        <x:v>Pull-Up</x:v>
      </x:c>
      <x:c r="J553" s="311" t="str">
        <x:v>Hypertrophy</x:v>
      </x:c>
      <x:c r="K553" s="311" t="str">
        <x:v>Back</x:v>
      </x:c>
      <x:c r="L553" s="311" t="str">
        <x:v>Straight sets</x:v>
      </x:c>
      <x:c r="M553" s="311" t="str"/>
      <x:c r="N553" s="311" t="n">
        <x:v>4</x:v>
      </x:c>
      <x:c r="O553" s="311" t="n">
        <x:v>6</x:v>
      </x:c>
      <x:c r="P553" s="311" t="n">
        <x:v>10</x:v>
      </x:c>
      <x:c r="Q553" s="311" t="n">
        <x:v>2</x:v>
      </x:c>
      <x:c r="R553" s="311" t="n">
        <x:v>75</x:v>
      </x:c>
      <x:c r="S553" s="311" t="str">
        <x:v>2-1-1</x:v>
      </x:c>
      <x:c r="T553" s="330" t="n">
        <x:v>1</x:v>
      </x:c>
      <x:c r="U553" s="330" t="n">
        <x:v>0</x:v>
      </x:c>
      <x:c r="V553" s="331" t="str">
        <x:v>reps</x:v>
      </x:c>
      <x:c r="W553" s="332" t="str">
        <x:f>'Readiness'!K66</x:f>
      </x:c>
      <x:c r="X553" s="314" t="n">
        <x:f>'Readiness'!L66</x:f>
        <x:v>1</x:v>
      </x:c>
      <x:c r="Y553" s="315" t="n">
        <x:f>IF(J553="Mobility",N553,MAX(1,ROUND(N553*X553,0)))</x:f>
        <x:v>4</x:v>
      </x:c>
      <x:c r="Z553" s="333" t="n">
        <x:f>0</x:f>
        <x:v>0</x:v>
      </x:c>
      <x:c r="AA553" s="334"/>
      <x:c r="AB553" s="334"/>
      <x:c r="AC553" s="334"/>
      <x:c r="AD553" s="334"/>
      <x:c r="AE553" s="334"/>
      <x:c r="AF553" s="334"/>
      <x:c r="AG553" s="334"/>
      <x:c r="AH553" s="334"/>
      <x:c r="AI553" s="334"/>
      <x:c r="AJ553" s="312"/>
      <x:c r="AK553" s="312"/>
      <x:c r="AL553" s="312"/>
      <x:c r="AM553" s="312"/>
      <x:c r="AN553" s="312"/>
      <x:c r="AO553" s="315" t="n">
        <x:f>COUNT(AB553,AD553,AF553,AH553,AJ553)</x:f>
        <x:v>0</x:v>
      </x:c>
      <x:c r="AP553" s="315" t="n">
        <x:f>SUM(AB553,AD553,AF553,AH553,AJ553)</x:f>
        <x:v>0</x:v>
      </x:c>
      <x:c r="AQ553" s="333" t="n">
        <x:f>AA553*AB553+AC553*AD553+AE553*AF553+AG553*AH553+AI553*AJ553</x:f>
        <x:v>0</x:v>
      </x:c>
      <x:c r="AR553" s="333" t="n">
        <x:f>IF(OR(J553="Strength",J553="Hypertrophy"),MAX(IF(AB553&gt;0,AA553*(1+AB553/30),0),IF(AD553&gt;0,AC553*(1+AD553/30),0),IF(AF553&gt;0,AE553*(1+AF553/30),0),IF(AH553&gt;0,AG553*(1+AH553/30),0),IF(AJ553&gt;0,AI553*(1+AJ553/30),0)),0)</x:f>
        <x:v>0</x:v>
      </x:c>
      <x:c r="AS553" s="315" t="str">
        <x:f>IF(AN553&lt;&gt;"Yes","Not logged",IF(AL553&gt;='Setup'!$B$14,"STOP / MODIFY",IF(Z553=0,"Complete",IF(OR(AO553=0,AK553=""),"Add set data + RIR",IF(AND(MAX(AB553,AD553,AF553,AH553,AJ553)&gt;=P553,AK553&gt;=Q553+1),"Progress",IF(OR(MAX(AB553,AD553,AF553,AH553,AJ553)&lt;O553,AK553&lt;Q553-1),"Regress","Hold"))))))</x:f>
        <x:v>Not logged</x:v>
      </x:c>
      <x:c r="AT553" s="335" t="n">
        <x:f>IF(OR(Z553=0,AN553&lt;&gt;"Yes",AO553=0,AK553=""),0,IF(AL553&gt;='Setup'!$B$14,-2*'Setup'!$B$11,IF(AND(MAX(AB553,AD553,AF553,AH553,AJ553)&gt;=P553,AK553&gt;=Q553+1),'Setup'!$B$10,IF(OR(MAX(AB553,AD553,AF553,AH553,AJ553)&lt;O553,AK553&lt;Q553-1),-'Setup'!$B$11,0))))</x:f>
        <x:v>0</x:v>
      </x:c>
      <x:c r="AU553" s="333" t="n">
        <x:f>IF(Z553=0,0,IF(AN553&lt;&gt;"Yes",Z553,IF(COUNT(AA553,AC553,AE553,AG553,AI553)=0,Z553,ROUND((MAX(AA553,AC553,AE553,AG553,AI553)*(1+AT553))/'Setup'!$B$9,0)*'Setup'!$B$9)))</x:f>
        <x:v>0</x:v>
      </x:c>
      <x:c r="AV553" s="336"/>
    </x:row>
    <x:row r="554">
      <x:c r="A554" s="310" t="n">
        <x:f>'Setup'!$B$3+(C554-1)*7+(D554-1)</x:f>
        <x:v>46312</x:v>
      </x:c>
      <x:c r="B554" s="311" t="str">
        <x:v>10|6|7</x:v>
      </x:c>
      <x:c r="C554" s="311" t="n">
        <x:v>10</x:v>
      </x:c>
      <x:c r="D554" s="311" t="n">
        <x:v>6</x:v>
      </x:c>
      <x:c r="E554" s="311" t="str">
        <x:v>Realization</x:v>
      </x:c>
      <x:c r="F554" s="311" t="str">
        <x:v>Athletic Full Body</x:v>
      </x:c>
      <x:c r="G554" s="311" t="str">
        <x:v>Speed, multidirectional power, conditioning</x:v>
      </x:c>
      <x:c r="H554" s="311" t="n">
        <x:v>7</x:v>
      </x:c>
      <x:c r="I554" s="311" t="str">
        <x:v>Walking Lunge</x:v>
      </x:c>
      <x:c r="J554" s="311" t="str">
        <x:v>Hypertrophy</x:v>
      </x:c>
      <x:c r="K554" s="311" t="str">
        <x:v>Quads</x:v>
      </x:c>
      <x:c r="L554" s="311" t="str">
        <x:v>Straight sets</x:v>
      </x:c>
      <x:c r="M554" s="311" t="str"/>
      <x:c r="N554" s="311" t="n">
        <x:v>2</x:v>
      </x:c>
      <x:c r="O554" s="311" t="n">
        <x:v>10</x:v>
      </x:c>
      <x:c r="P554" s="311" t="n">
        <x:v>12</x:v>
      </x:c>
      <x:c r="Q554" s="311" t="n">
        <x:v>2</x:v>
      </x:c>
      <x:c r="R554" s="311" t="n">
        <x:v>75</x:v>
      </x:c>
      <x:c r="S554" s="311" t="str">
        <x:v>2-0-1</x:v>
      </x:c>
      <x:c r="T554" s="330" t="n">
        <x:v>1</x:v>
      </x:c>
      <x:c r="U554" s="330" t="n">
        <x:v>0</x:v>
      </x:c>
      <x:c r="V554" s="331" t="str">
        <x:v>load × reps</x:v>
      </x:c>
      <x:c r="W554" s="332" t="str">
        <x:f>'Readiness'!K66</x:f>
      </x:c>
      <x:c r="X554" s="314" t="n">
        <x:f>'Readiness'!L66</x:f>
        <x:v>1</x:v>
      </x:c>
      <x:c r="Y554" s="315" t="n">
        <x:f>IF(J554="Mobility",N554,MAX(1,ROUND(N554*X554,0)))</x:f>
        <x:v>2</x:v>
      </x:c>
      <x:c r="Z554" s="333" t="n">
        <x:f>ROUND((IF(AU498&gt;0,AU498,IF(Z498&gt;0,Z498,'Setup'!$D$93))*T554)/'Setup'!$B$9,0)*'Setup'!$B$9</x:f>
        <x:v>0</x:v>
      </x:c>
      <x:c r="AA554" s="334"/>
      <x:c r="AB554" s="334"/>
      <x:c r="AC554" s="334"/>
      <x:c r="AD554" s="334"/>
      <x:c r="AE554" s="334"/>
      <x:c r="AF554" s="334"/>
      <x:c r="AG554" s="334"/>
      <x:c r="AH554" s="334"/>
      <x:c r="AI554" s="334"/>
      <x:c r="AJ554" s="312"/>
      <x:c r="AK554" s="312"/>
      <x:c r="AL554" s="312"/>
      <x:c r="AM554" s="312"/>
      <x:c r="AN554" s="312"/>
      <x:c r="AO554" s="315" t="n">
        <x:f>COUNT(AB554,AD554,AF554,AH554,AJ554)</x:f>
        <x:v>0</x:v>
      </x:c>
      <x:c r="AP554" s="315" t="n">
        <x:f>SUM(AB554,AD554,AF554,AH554,AJ554)</x:f>
        <x:v>0</x:v>
      </x:c>
      <x:c r="AQ554" s="333" t="n">
        <x:f>AA554*AB554+AC554*AD554+AE554*AF554+AG554*AH554+AI554*AJ554</x:f>
        <x:v>0</x:v>
      </x:c>
      <x:c r="AR554" s="333" t="n">
        <x:f>IF(OR(J554="Strength",J554="Hypertrophy"),MAX(IF(AB554&gt;0,AA554*(1+AB554/30),0),IF(AD554&gt;0,AC554*(1+AD554/30),0),IF(AF554&gt;0,AE554*(1+AF554/30),0),IF(AH554&gt;0,AG554*(1+AH554/30),0),IF(AJ554&gt;0,AI554*(1+AJ554/30),0)),0)</x:f>
        <x:v>0</x:v>
      </x:c>
      <x:c r="AS554" s="315" t="str">
        <x:f>IF(AN554&lt;&gt;"Yes","Not logged",IF(AL554&gt;='Setup'!$B$14,"STOP / MODIFY",IF(Z554=0,"Complete",IF(OR(AO554=0,AK554=""),"Add set data + RIR",IF(AND(MAX(AB554,AD554,AF554,AH554,AJ554)&gt;=P554,AK554&gt;=Q554+1),"Progress",IF(OR(MAX(AB554,AD554,AF554,AH554,AJ554)&lt;O554,AK554&lt;Q554-1),"Regress","Hold"))))))</x:f>
        <x:v>Not logged</x:v>
      </x:c>
      <x:c r="AT554" s="335" t="n">
        <x:f>IF(OR(Z554=0,AN554&lt;&gt;"Yes",AO554=0,AK554=""),0,IF(AL554&gt;='Setup'!$B$14,-2*'Setup'!$B$11,IF(AND(MAX(AB554,AD554,AF554,AH554,AJ554)&gt;=P554,AK554&gt;=Q554+1),'Setup'!$B$10,IF(OR(MAX(AB554,AD554,AF554,AH554,AJ554)&lt;O554,AK554&lt;Q554-1),-'Setup'!$B$11,0))))</x:f>
        <x:v>0</x:v>
      </x:c>
      <x:c r="AU554" s="333" t="n">
        <x:f>IF(Z554=0,0,IF(AN554&lt;&gt;"Yes",Z554,IF(COUNT(AA554,AC554,AE554,AG554,AI554)=0,Z554,ROUND((MAX(AA554,AC554,AE554,AG554,AI554)*(1+AT554))/'Setup'!$B$9,0)*'Setup'!$B$9)))</x:f>
        <x:v>0</x:v>
      </x:c>
      <x:c r="AV554" s="336"/>
    </x:row>
    <x:row r="555">
      <x:c r="A555" s="310" t="n">
        <x:f>'Setup'!$B$3+(C555-1)*7+(D555-1)</x:f>
        <x:v>46312</x:v>
      </x:c>
      <x:c r="B555" s="311" t="str">
        <x:v>10|6|8</x:v>
      </x:c>
      <x:c r="C555" s="311" t="n">
        <x:v>10</x:v>
      </x:c>
      <x:c r="D555" s="311" t="n">
        <x:v>6</x:v>
      </x:c>
      <x:c r="E555" s="311" t="str">
        <x:v>Realization</x:v>
      </x:c>
      <x:c r="F555" s="311" t="str">
        <x:v>Athletic Full Body</x:v>
      </x:c>
      <x:c r="G555" s="311" t="str">
        <x:v>Speed, multidirectional power, conditioning</x:v>
      </x:c>
      <x:c r="H555" s="311" t="n">
        <x:v>8</x:v>
      </x:c>
      <x:c r="I555" s="311" t="str">
        <x:v>Pallof Press</x:v>
      </x:c>
      <x:c r="J555" s="311" t="str">
        <x:v>Hypertrophy</x:v>
      </x:c>
      <x:c r="K555" s="311" t="str">
        <x:v>Core</x:v>
      </x:c>
      <x:c r="L555" s="311" t="str">
        <x:v>Anti-rotation control</x:v>
      </x:c>
      <x:c r="M555" s="311" t="str"/>
      <x:c r="N555" s="311" t="n">
        <x:v>4</x:v>
      </x:c>
      <x:c r="O555" s="311" t="n">
        <x:v>10</x:v>
      </x:c>
      <x:c r="P555" s="311" t="n">
        <x:v>12</x:v>
      </x:c>
      <x:c r="Q555" s="311" t="n">
        <x:v>2</x:v>
      </x:c>
      <x:c r="R555" s="311" t="n">
        <x:v>45</x:v>
      </x:c>
      <x:c r="S555" s="311" t="str">
        <x:v>2-1-2</x:v>
      </x:c>
      <x:c r="T555" s="330" t="n">
        <x:v>1</x:v>
      </x:c>
      <x:c r="U555" s="330" t="n">
        <x:v>0</x:v>
      </x:c>
      <x:c r="V555" s="331" t="str">
        <x:v>load × reps</x:v>
      </x:c>
      <x:c r="W555" s="332" t="str">
        <x:f>'Readiness'!K66</x:f>
      </x:c>
      <x:c r="X555" s="314" t="n">
        <x:f>'Readiness'!L66</x:f>
        <x:v>1</x:v>
      </x:c>
      <x:c r="Y555" s="315" t="n">
        <x:f>IF(J555="Mobility",N555,MAX(1,ROUND(N555*X555,0)))</x:f>
        <x:v>4</x:v>
      </x:c>
      <x:c r="Z555" s="333" t="n">
        <x:f>ROUND((IF(AU499&gt;0,AU499,IF(Z499&gt;0,Z499,'Setup'!$D$71))*T555)/'Setup'!$B$9,0)*'Setup'!$B$9</x:f>
        <x:v>0</x:v>
      </x:c>
      <x:c r="AA555" s="334"/>
      <x:c r="AB555" s="334"/>
      <x:c r="AC555" s="334"/>
      <x:c r="AD555" s="334"/>
      <x:c r="AE555" s="334"/>
      <x:c r="AF555" s="334"/>
      <x:c r="AG555" s="334"/>
      <x:c r="AH555" s="334"/>
      <x:c r="AI555" s="334"/>
      <x:c r="AJ555" s="312"/>
      <x:c r="AK555" s="312"/>
      <x:c r="AL555" s="312"/>
      <x:c r="AM555" s="312"/>
      <x:c r="AN555" s="312"/>
      <x:c r="AO555" s="315" t="n">
        <x:f>COUNT(AB555,AD555,AF555,AH555,AJ555)</x:f>
        <x:v>0</x:v>
      </x:c>
      <x:c r="AP555" s="315" t="n">
        <x:f>SUM(AB555,AD555,AF555,AH555,AJ555)</x:f>
        <x:v>0</x:v>
      </x:c>
      <x:c r="AQ555" s="333" t="n">
        <x:f>AA555*AB555+AC555*AD555+AE555*AF555+AG555*AH555+AI555*AJ555</x:f>
        <x:v>0</x:v>
      </x:c>
      <x:c r="AR555" s="333" t="n">
        <x:f>IF(OR(J555="Strength",J555="Hypertrophy"),MAX(IF(AB555&gt;0,AA555*(1+AB555/30),0),IF(AD555&gt;0,AC555*(1+AD555/30),0),IF(AF555&gt;0,AE555*(1+AF555/30),0),IF(AH555&gt;0,AG555*(1+AH555/30),0),IF(AJ555&gt;0,AI555*(1+AJ555/30),0)),0)</x:f>
        <x:v>0</x:v>
      </x:c>
      <x:c r="AS555" s="315" t="str">
        <x:f>IF(AN555&lt;&gt;"Yes","Not logged",IF(AL555&gt;='Setup'!$B$14,"STOP / MODIFY",IF(Z555=0,"Complete",IF(OR(AO555=0,AK555=""),"Add set data + RIR",IF(AND(MAX(AB555,AD555,AF555,AH555,AJ555)&gt;=P555,AK555&gt;=Q555+1),"Progress",IF(OR(MAX(AB555,AD555,AF555,AH555,AJ555)&lt;O555,AK555&lt;Q555-1),"Regress","Hold"))))))</x:f>
        <x:v>Not logged</x:v>
      </x:c>
      <x:c r="AT555" s="335" t="n">
        <x:f>IF(OR(Z555=0,AN555&lt;&gt;"Yes",AO555=0,AK555=""),0,IF(AL555&gt;='Setup'!$B$14,-2*'Setup'!$B$11,IF(AND(MAX(AB555,AD555,AF555,AH555,AJ555)&gt;=P555,AK555&gt;=Q555+1),'Setup'!$B$10,IF(OR(MAX(AB555,AD555,AF555,AH555,AJ555)&lt;O555,AK555&lt;Q555-1),-'Setup'!$B$11,0))))</x:f>
        <x:v>0</x:v>
      </x:c>
      <x:c r="AU555" s="333" t="n">
        <x:f>IF(Z555=0,0,IF(AN555&lt;&gt;"Yes",Z555,IF(COUNT(AA555,AC555,AE555,AG555,AI555)=0,Z555,ROUND((MAX(AA555,AC555,AE555,AG555,AI555)*(1+AT555))/'Setup'!$B$9,0)*'Setup'!$B$9)))</x:f>
        <x:v>0</x:v>
      </x:c>
      <x:c r="AV555" s="336"/>
    </x:row>
    <x:row r="556">
      <x:c r="A556" s="310" t="n">
        <x:f>'Setup'!$B$3+(C556-1)*7+(D556-1)</x:f>
        <x:v>46312</x:v>
      </x:c>
      <x:c r="B556" s="311" t="str">
        <x:v>10|6|9</x:v>
      </x:c>
      <x:c r="C556" s="311" t="n">
        <x:v>10</x:v>
      </x:c>
      <x:c r="D556" s="311" t="n">
        <x:v>6</x:v>
      </x:c>
      <x:c r="E556" s="311" t="str">
        <x:v>Realization</x:v>
      </x:c>
      <x:c r="F556" s="311" t="str">
        <x:v>Athletic Full Body</x:v>
      </x:c>
      <x:c r="G556" s="311" t="str">
        <x:v>Speed, multidirectional power, conditioning</x:v>
      </x:c>
      <x:c r="H556" s="311" t="n">
        <x:v>9</x:v>
      </x:c>
      <x:c r="I556" s="311" t="str">
        <x:v>RowErg Sprint Intervals</x:v>
      </x:c>
      <x:c r="J556" s="311" t="str">
        <x:v>Athletic</x:v>
      </x:c>
      <x:c r="K556" s="311" t="str">
        <x:v>Full Body</x:v>
      </x:c>
      <x:c r="L556" s="311" t="str">
        <x:v>20 s hard / 70 s easy</x:v>
      </x:c>
      <x:c r="M556" s="311" t="str"/>
      <x:c r="N556" s="311" t="n">
        <x:v>6</x:v>
      </x:c>
      <x:c r="O556" s="311" t="n">
        <x:v>20</x:v>
      </x:c>
      <x:c r="P556" s="311" t="n">
        <x:v>20</x:v>
      </x:c>
      <x:c r="Q556" s="311" t="n">
        <x:v>2</x:v>
      </x:c>
      <x:c r="R556" s="311" t="n">
        <x:v>70</x:v>
      </x:c>
      <x:c r="S556" s="311" t="str">
        <x:v>Powerful</x:v>
      </x:c>
      <x:c r="T556" s="330" t="n">
        <x:v>1</x:v>
      </x:c>
      <x:c r="U556" s="330" t="n">
        <x:v>0</x:v>
      </x:c>
      <x:c r="V556" s="331" t="str">
        <x:v>watts / meters</x:v>
      </x:c>
      <x:c r="W556" s="332" t="str">
        <x:f>'Readiness'!K66</x:f>
      </x:c>
      <x:c r="X556" s="314" t="n">
        <x:f>'Readiness'!L66</x:f>
        <x:v>1</x:v>
      </x:c>
      <x:c r="Y556" s="315" t="n">
        <x:f>IF(J556="Mobility",N556,MAX(1,ROUND(N556*X556,0)))</x:f>
        <x:v>6</x:v>
      </x:c>
      <x:c r="Z556" s="333" t="n">
        <x:f>0</x:f>
        <x:v>0</x:v>
      </x:c>
      <x:c r="AA556" s="334"/>
      <x:c r="AB556" s="334"/>
      <x:c r="AC556" s="334"/>
      <x:c r="AD556" s="334"/>
      <x:c r="AE556" s="334"/>
      <x:c r="AF556" s="334"/>
      <x:c r="AG556" s="334"/>
      <x:c r="AH556" s="334"/>
      <x:c r="AI556" s="334"/>
      <x:c r="AJ556" s="312"/>
      <x:c r="AK556" s="312"/>
      <x:c r="AL556" s="312"/>
      <x:c r="AM556" s="312"/>
      <x:c r="AN556" s="312"/>
      <x:c r="AO556" s="315" t="n">
        <x:f>COUNT(AB556,AD556,AF556,AH556,AJ556)</x:f>
        <x:v>0</x:v>
      </x:c>
      <x:c r="AP556" s="315" t="n">
        <x:f>SUM(AB556,AD556,AF556,AH556,AJ556)</x:f>
        <x:v>0</x:v>
      </x:c>
      <x:c r="AQ556" s="333" t="n">
        <x:f>AA556*AB556+AC556*AD556+AE556*AF556+AG556*AH556+AI556*AJ556</x:f>
        <x:v>0</x:v>
      </x:c>
      <x:c r="AR556" s="333" t="n">
        <x:f>IF(OR(J556="Strength",J556="Hypertrophy"),MAX(IF(AB556&gt;0,AA556*(1+AB556/30),0),IF(AD556&gt;0,AC556*(1+AD556/30),0),IF(AF556&gt;0,AE556*(1+AF556/30),0),IF(AH556&gt;0,AG556*(1+AH556/30),0),IF(AJ556&gt;0,AI556*(1+AJ556/30),0)),0)</x:f>
        <x:v>0</x:v>
      </x:c>
      <x:c r="AS556" s="315" t="str">
        <x:f>IF(AN556&lt;&gt;"Yes","Not logged",IF(AL556&gt;='Setup'!$B$14,"STOP / MODIFY",IF(Z556=0,"Complete",IF(OR(AO556=0,AK556=""),"Add set data + RIR",IF(AND(MAX(AB556,AD556,AF556,AH556,AJ556)&gt;=P556,AK556&gt;=Q556+1),"Progress",IF(OR(MAX(AB556,AD556,AF556,AH556,AJ556)&lt;O556,AK556&lt;Q556-1),"Regress","Hold"))))))</x:f>
        <x:v>Not logged</x:v>
      </x:c>
      <x:c r="AT556" s="335" t="n">
        <x:f>IF(OR(Z556=0,AN556&lt;&gt;"Yes",AO556=0,AK556=""),0,IF(AL556&gt;='Setup'!$B$14,-2*'Setup'!$B$11,IF(AND(MAX(AB556,AD556,AF556,AH556,AJ556)&gt;=P556,AK556&gt;=Q556+1),'Setup'!$B$10,IF(OR(MAX(AB556,AD556,AF556,AH556,AJ556)&lt;O556,AK556&lt;Q556-1),-'Setup'!$B$11,0))))</x:f>
        <x:v>0</x:v>
      </x:c>
      <x:c r="AU556" s="333" t="n">
        <x:f>IF(Z556=0,0,IF(AN556&lt;&gt;"Yes",Z556,IF(COUNT(AA556,AC556,AE556,AG556,AI556)=0,Z556,ROUND((MAX(AA556,AC556,AE556,AG556,AI556)*(1+AT556))/'Setup'!$B$9,0)*'Setup'!$B$9)))</x:f>
        <x:v>0</x:v>
      </x:c>
      <x:c r="AV556" s="336"/>
    </x:row>
    <x:row r="557">
      <x:c r="A557" s="310" t="n">
        <x:f>'Setup'!$B$3+(C557-1)*7+(D557-1)</x:f>
        <x:v>46312</x:v>
      </x:c>
      <x:c r="B557" s="311" t="str">
        <x:v>10|6|10</x:v>
      </x:c>
      <x:c r="C557" s="311" t="n">
        <x:v>10</x:v>
      </x:c>
      <x:c r="D557" s="311" t="n">
        <x:v>6</x:v>
      </x:c>
      <x:c r="E557" s="311" t="str">
        <x:v>Realization</x:v>
      </x:c>
      <x:c r="F557" s="311" t="str">
        <x:v>Athletic Full Body</x:v>
      </x:c>
      <x:c r="G557" s="311" t="str">
        <x:v>Speed, multidirectional power, conditioning</x:v>
      </x:c>
      <x:c r="H557" s="311" t="n">
        <x:v>10</x:v>
      </x:c>
      <x:c r="I557" s="311" t="str">
        <x:v>Full-Body Mobility Flow</x:v>
      </x:c>
      <x:c r="J557" s="311" t="str">
        <x:v>Mobility</x:v>
      </x:c>
      <x:c r="K557" s="311" t="str">
        <x:v>Full Body</x:v>
      </x:c>
      <x:c r="L557" s="311" t="str">
        <x:v>Continuous nasal breathing</x:v>
      </x:c>
      <x:c r="M557" s="311" t="str"/>
      <x:c r="N557" s="311" t="n">
        <x:v>1</x:v>
      </x:c>
      <x:c r="O557" s="311" t="n">
        <x:v>8</x:v>
      </x:c>
      <x:c r="P557" s="311" t="n">
        <x:v>12</x:v>
      </x:c>
      <x:c r="Q557" s="311" t="str"/>
      <x:c r="R557" s="311" t="n">
        <x:v>0</x:v>
      </x:c>
      <x:c r="S557" s="311" t="str">
        <x:v>Easy</x:v>
      </x:c>
      <x:c r="T557" s="330" t="n">
        <x:v>1</x:v>
      </x:c>
      <x:c r="U557" s="330" t="n">
        <x:v>0</x:v>
      </x:c>
      <x:c r="V557" s="331" t="str">
        <x:v>minutes</x:v>
      </x:c>
      <x:c r="W557" s="332" t="str">
        <x:f>'Readiness'!K66</x:f>
      </x:c>
      <x:c r="X557" s="314" t="n">
        <x:f>'Readiness'!L66</x:f>
        <x:v>1</x:v>
      </x:c>
      <x:c r="Y557" s="315" t="n">
        <x:f>IF(J557="Mobility",N557,MAX(1,ROUND(N557*X557,0)))</x:f>
        <x:v>1</x:v>
      </x:c>
      <x:c r="Z557" s="333" t="n">
        <x:f>0</x:f>
        <x:v>0</x:v>
      </x:c>
      <x:c r="AA557" s="334"/>
      <x:c r="AB557" s="334"/>
      <x:c r="AC557" s="334"/>
      <x:c r="AD557" s="334"/>
      <x:c r="AE557" s="334"/>
      <x:c r="AF557" s="334"/>
      <x:c r="AG557" s="334"/>
      <x:c r="AH557" s="334"/>
      <x:c r="AI557" s="334"/>
      <x:c r="AJ557" s="312"/>
      <x:c r="AK557" s="312"/>
      <x:c r="AL557" s="312"/>
      <x:c r="AM557" s="312"/>
      <x:c r="AN557" s="312"/>
      <x:c r="AO557" s="315" t="n">
        <x:f>COUNT(AB557,AD557,AF557,AH557,AJ557)</x:f>
        <x:v>0</x:v>
      </x:c>
      <x:c r="AP557" s="315" t="n">
        <x:f>SUM(AB557,AD557,AF557,AH557,AJ557)</x:f>
        <x:v>0</x:v>
      </x:c>
      <x:c r="AQ557" s="333" t="n">
        <x:f>AA557*AB557+AC557*AD557+AE557*AF557+AG557*AH557+AI557*AJ557</x:f>
        <x:v>0</x:v>
      </x:c>
      <x:c r="AR557" s="333" t="n">
        <x:f>IF(OR(J557="Strength",J557="Hypertrophy"),MAX(IF(AB557&gt;0,AA557*(1+AB557/30),0),IF(AD557&gt;0,AC557*(1+AD557/30),0),IF(AF557&gt;0,AE557*(1+AF557/30),0),IF(AH557&gt;0,AG557*(1+AH557/30),0),IF(AJ557&gt;0,AI557*(1+AJ557/30),0)),0)</x:f>
        <x:v>0</x:v>
      </x:c>
      <x:c r="AS557" s="315" t="str">
        <x:f>IF(AN557&lt;&gt;"Yes","Not logged",IF(AL557&gt;='Setup'!$B$14,"STOP / MODIFY",IF(Z557=0,"Complete",IF(OR(AO557=0,AK557=""),"Add set data + RIR",IF(AND(MAX(AB557,AD557,AF557,AH557,AJ557)&gt;=P557,AK557&gt;=Q557+1),"Progress",IF(OR(MAX(AB557,AD557,AF557,AH557,AJ557)&lt;O557,AK557&lt;Q557-1),"Regress","Hold"))))))</x:f>
        <x:v>Not logged</x:v>
      </x:c>
      <x:c r="AT557" s="335" t="n">
        <x:f>IF(OR(Z557=0,AN557&lt;&gt;"Yes",AO557=0,AK557=""),0,IF(AL557&gt;='Setup'!$B$14,-2*'Setup'!$B$11,IF(AND(MAX(AB557,AD557,AF557,AH557,AJ557)&gt;=P557,AK557&gt;=Q557+1),'Setup'!$B$10,IF(OR(MAX(AB557,AD557,AF557,AH557,AJ557)&lt;O557,AK557&lt;Q557-1),-'Setup'!$B$11,0))))</x:f>
        <x:v>0</x:v>
      </x:c>
      <x:c r="AU557" s="333" t="n">
        <x:f>IF(Z557=0,0,IF(AN557&lt;&gt;"Yes",Z557,IF(COUNT(AA557,AC557,AE557,AG557,AI557)=0,Z557,ROUND((MAX(AA557,AC557,AE557,AG557,AI557)*(1+AT557))/'Setup'!$B$9,0)*'Setup'!$B$9)))</x:f>
        <x:v>0</x:v>
      </x:c>
      <x:c r="AV557" s="336"/>
    </x:row>
    <x:row r="558">
      <x:c r="A558" s="310" t="n">
        <x:f>'Setup'!$B$3+(C558-1)*7+(D558-1)</x:f>
        <x:v>46314</x:v>
      </x:c>
      <x:c r="B558" s="311" t="str">
        <x:v>11|1|1</x:v>
      </x:c>
      <x:c r="C558" s="311" t="n">
        <x:v>11</x:v>
      </x:c>
      <x:c r="D558" s="311" t="n">
        <x:v>1</x:v>
      </x:c>
      <x:c r="E558" s="311" t="str">
        <x:v>Realization</x:v>
      </x:c>
      <x:c r="F558" s="311" t="str">
        <x:v>Lower Power + Squat</x:v>
      </x:c>
      <x:c r="G558" s="311" t="str">
        <x:v>Squat strength and reactive power</x:v>
      </x:c>
      <x:c r="H558" s="311" t="n">
        <x:v>1</x:v>
      </x:c>
      <x:c r="I558" s="311" t="str">
        <x:v>Pogo Jump</x:v>
      </x:c>
      <x:c r="J558" s="311" t="str">
        <x:v>Power</x:v>
      </x:c>
      <x:c r="K558" s="311" t="str">
        <x:v>Calves</x:v>
      </x:c>
      <x:c r="L558" s="311" t="str">
        <x:v>Stiff, quick contacts</x:v>
      </x:c>
      <x:c r="M558" s="311" t="str"/>
      <x:c r="N558" s="311" t="n">
        <x:v>3</x:v>
      </x:c>
      <x:c r="O558" s="311" t="n">
        <x:v>15</x:v>
      </x:c>
      <x:c r="P558" s="311" t="n">
        <x:v>20</x:v>
      </x:c>
      <x:c r="Q558" s="311" t="n">
        <x:v>2</x:v>
      </x:c>
      <x:c r="R558" s="311" t="n">
        <x:v>45</x:v>
      </x:c>
      <x:c r="S558" s="311" t="str">
        <x:v>Explosive</x:v>
      </x:c>
      <x:c r="T558" s="330" t="n">
        <x:v>1</x:v>
      </x:c>
      <x:c r="U558" s="330" t="n">
        <x:v>0</x:v>
      </x:c>
      <x:c r="V558" s="331" t="str">
        <x:v>contacts</x:v>
      </x:c>
      <x:c r="W558" s="332" t="str">
        <x:f>'Readiness'!K67</x:f>
      </x:c>
      <x:c r="X558" s="314" t="n">
        <x:f>'Readiness'!L67</x:f>
        <x:v>1</x:v>
      </x:c>
      <x:c r="Y558" s="315" t="n">
        <x:f>IF(J558="Mobility",N558,MAX(1,ROUND(N558*X558,0)))</x:f>
        <x:v>3</x:v>
      </x:c>
      <x:c r="Z558" s="333" t="n">
        <x:f>0</x:f>
        <x:v>0</x:v>
      </x:c>
      <x:c r="AA558" s="334"/>
      <x:c r="AB558" s="334"/>
      <x:c r="AC558" s="334"/>
      <x:c r="AD558" s="334"/>
      <x:c r="AE558" s="334"/>
      <x:c r="AF558" s="334"/>
      <x:c r="AG558" s="334"/>
      <x:c r="AH558" s="334"/>
      <x:c r="AI558" s="334"/>
      <x:c r="AJ558" s="312"/>
      <x:c r="AK558" s="312"/>
      <x:c r="AL558" s="312"/>
      <x:c r="AM558" s="312"/>
      <x:c r="AN558" s="312"/>
      <x:c r="AO558" s="315" t="n">
        <x:f>COUNT(AB558,AD558,AF558,AH558,AJ558)</x:f>
        <x:v>0</x:v>
      </x:c>
      <x:c r="AP558" s="315" t="n">
        <x:f>SUM(AB558,AD558,AF558,AH558,AJ558)</x:f>
        <x:v>0</x:v>
      </x:c>
      <x:c r="AQ558" s="333" t="n">
        <x:f>AA558*AB558+AC558*AD558+AE558*AF558+AG558*AH558+AI558*AJ558</x:f>
        <x:v>0</x:v>
      </x:c>
      <x:c r="AR558" s="333" t="n">
        <x:f>IF(OR(J558="Strength",J558="Hypertrophy"),MAX(IF(AB558&gt;0,AA558*(1+AB558/30),0),IF(AD558&gt;0,AC558*(1+AD558/30),0),IF(AF558&gt;0,AE558*(1+AF558/30),0),IF(AH558&gt;0,AG558*(1+AH558/30),0),IF(AJ558&gt;0,AI558*(1+AJ558/30),0)),0)</x:f>
        <x:v>0</x:v>
      </x:c>
      <x:c r="AS558" s="315" t="str">
        <x:f>IF(AN558&lt;&gt;"Yes","Not logged",IF(AL558&gt;='Setup'!$B$14,"STOP / MODIFY",IF(Z558=0,"Complete",IF(OR(AO558=0,AK558=""),"Add set data + RIR",IF(AND(MAX(AB558,AD558,AF558,AH558,AJ558)&gt;=P558,AK558&gt;=Q558+1),"Progress",IF(OR(MAX(AB558,AD558,AF558,AH558,AJ558)&lt;O558,AK558&lt;Q558-1),"Regress","Hold"))))))</x:f>
        <x:v>Not logged</x:v>
      </x:c>
      <x:c r="AT558" s="335" t="n">
        <x:f>IF(OR(Z558=0,AN558&lt;&gt;"Yes",AO558=0,AK558=""),0,IF(AL558&gt;='Setup'!$B$14,-2*'Setup'!$B$11,IF(AND(MAX(AB558,AD558,AF558,AH558,AJ558)&gt;=P558,AK558&gt;=Q558+1),'Setup'!$B$10,IF(OR(MAX(AB558,AD558,AF558,AH558,AJ558)&lt;O558,AK558&lt;Q558-1),-'Setup'!$B$11,0))))</x:f>
        <x:v>0</x:v>
      </x:c>
      <x:c r="AU558" s="333" t="n">
        <x:f>IF(Z558=0,0,IF(AN558&lt;&gt;"Yes",Z558,IF(COUNT(AA558,AC558,AE558,AG558,AI558)=0,Z558,ROUND((MAX(AA558,AC558,AE558,AG558,AI558)*(1+AT558))/'Setup'!$B$9,0)*'Setup'!$B$9)))</x:f>
        <x:v>0</x:v>
      </x:c>
      <x:c r="AV558" s="336"/>
    </x:row>
    <x:row r="559">
      <x:c r="A559" s="310" t="n">
        <x:f>'Setup'!$B$3+(C559-1)*7+(D559-1)</x:f>
        <x:v>46314</x:v>
      </x:c>
      <x:c r="B559" s="311" t="str">
        <x:v>11|1|2</x:v>
      </x:c>
      <x:c r="C559" s="311" t="n">
        <x:v>11</x:v>
      </x:c>
      <x:c r="D559" s="311" t="n">
        <x:v>1</x:v>
      </x:c>
      <x:c r="E559" s="311" t="str">
        <x:v>Realization</x:v>
      </x:c>
      <x:c r="F559" s="311" t="str">
        <x:v>Lower Power + Squat</x:v>
      </x:c>
      <x:c r="G559" s="311" t="str">
        <x:v>Squat strength and reactive power</x:v>
      </x:c>
      <x:c r="H559" s="311" t="n">
        <x:v>2</x:v>
      </x:c>
      <x:c r="I559" s="311" t="str">
        <x:v>Box Jump</x:v>
      </x:c>
      <x:c r="J559" s="311" t="str">
        <x:v>Power</x:v>
      </x:c>
      <x:c r="K559" s="311" t="str">
        <x:v>Quads</x:v>
      </x:c>
      <x:c r="L559" s="311" t="str">
        <x:v>Full reset, stop if height drops</x:v>
      </x:c>
      <x:c r="M559" s="311" t="str"/>
      <x:c r="N559" s="311" t="n">
        <x:v>4</x:v>
      </x:c>
      <x:c r="O559" s="311" t="n">
        <x:v>3</x:v>
      </x:c>
      <x:c r="P559" s="311" t="n">
        <x:v>3</x:v>
      </x:c>
      <x:c r="Q559" s="311" t="n">
        <x:v>2</x:v>
      </x:c>
      <x:c r="R559" s="311" t="n">
        <x:v>75</x:v>
      </x:c>
      <x:c r="S559" s="311" t="str">
        <x:v>Explosive</x:v>
      </x:c>
      <x:c r="T559" s="330" t="n">
        <x:v>1</x:v>
      </x:c>
      <x:c r="U559" s="330" t="n">
        <x:v>0</x:v>
      </x:c>
      <x:c r="V559" s="331" t="str">
        <x:v>height</x:v>
      </x:c>
      <x:c r="W559" s="332" t="str">
        <x:f>'Readiness'!K67</x:f>
      </x:c>
      <x:c r="X559" s="314" t="n">
        <x:f>'Readiness'!L67</x:f>
        <x:v>1</x:v>
      </x:c>
      <x:c r="Y559" s="315" t="n">
        <x:f>IF(J559="Mobility",N559,MAX(1,ROUND(N559*X559,0)))</x:f>
        <x:v>4</x:v>
      </x:c>
      <x:c r="Z559" s="333" t="n">
        <x:f>0</x:f>
        <x:v>0</x:v>
      </x:c>
      <x:c r="AA559" s="334"/>
      <x:c r="AB559" s="334"/>
      <x:c r="AC559" s="334"/>
      <x:c r="AD559" s="334"/>
      <x:c r="AE559" s="334"/>
      <x:c r="AF559" s="334"/>
      <x:c r="AG559" s="334"/>
      <x:c r="AH559" s="334"/>
      <x:c r="AI559" s="334"/>
      <x:c r="AJ559" s="312"/>
      <x:c r="AK559" s="312"/>
      <x:c r="AL559" s="312"/>
      <x:c r="AM559" s="312"/>
      <x:c r="AN559" s="312"/>
      <x:c r="AO559" s="315" t="n">
        <x:f>COUNT(AB559,AD559,AF559,AH559,AJ559)</x:f>
        <x:v>0</x:v>
      </x:c>
      <x:c r="AP559" s="315" t="n">
        <x:f>SUM(AB559,AD559,AF559,AH559,AJ559)</x:f>
        <x:v>0</x:v>
      </x:c>
      <x:c r="AQ559" s="333" t="n">
        <x:f>AA559*AB559+AC559*AD559+AE559*AF559+AG559*AH559+AI559*AJ559</x:f>
        <x:v>0</x:v>
      </x:c>
      <x:c r="AR559" s="333" t="n">
        <x:f>IF(OR(J559="Strength",J559="Hypertrophy"),MAX(IF(AB559&gt;0,AA559*(1+AB559/30),0),IF(AD559&gt;0,AC559*(1+AD559/30),0),IF(AF559&gt;0,AE559*(1+AF559/30),0),IF(AH559&gt;0,AG559*(1+AH559/30),0),IF(AJ559&gt;0,AI559*(1+AJ559/30),0)),0)</x:f>
        <x:v>0</x:v>
      </x:c>
      <x:c r="AS559" s="315" t="str">
        <x:f>IF(AN559&lt;&gt;"Yes","Not logged",IF(AL559&gt;='Setup'!$B$14,"STOP / MODIFY",IF(Z559=0,"Complete",IF(OR(AO559=0,AK559=""),"Add set data + RIR",IF(AND(MAX(AB559,AD559,AF559,AH559,AJ559)&gt;=P559,AK559&gt;=Q559+1),"Progress",IF(OR(MAX(AB559,AD559,AF559,AH559,AJ559)&lt;O559,AK559&lt;Q559-1),"Regress","Hold"))))))</x:f>
        <x:v>Not logged</x:v>
      </x:c>
      <x:c r="AT559" s="335" t="n">
        <x:f>IF(OR(Z559=0,AN559&lt;&gt;"Yes",AO559=0,AK559=""),0,IF(AL559&gt;='Setup'!$B$14,-2*'Setup'!$B$11,IF(AND(MAX(AB559,AD559,AF559,AH559,AJ559)&gt;=P559,AK559&gt;=Q559+1),'Setup'!$B$10,IF(OR(MAX(AB559,AD559,AF559,AH559,AJ559)&lt;O559,AK559&lt;Q559-1),-'Setup'!$B$11,0))))</x:f>
        <x:v>0</x:v>
      </x:c>
      <x:c r="AU559" s="333" t="n">
        <x:f>IF(Z559=0,0,IF(AN559&lt;&gt;"Yes",Z559,IF(COUNT(AA559,AC559,AE559,AG559,AI559)=0,Z559,ROUND((MAX(AA559,AC559,AE559,AG559,AI559)*(1+AT559))/'Setup'!$B$9,0)*'Setup'!$B$9)))</x:f>
        <x:v>0</x:v>
      </x:c>
      <x:c r="AV559" s="336"/>
    </x:row>
    <x:row r="560">
      <x:c r="A560" s="310" t="n">
        <x:f>'Setup'!$B$3+(C560-1)*7+(D560-1)</x:f>
        <x:v>46314</x:v>
      </x:c>
      <x:c r="B560" s="311" t="str">
        <x:v>11|1|3</x:v>
      </x:c>
      <x:c r="C560" s="311" t="n">
        <x:v>11</x:v>
      </x:c>
      <x:c r="D560" s="311" t="n">
        <x:v>1</x:v>
      </x:c>
      <x:c r="E560" s="311" t="str">
        <x:v>Realization</x:v>
      </x:c>
      <x:c r="F560" s="311" t="str">
        <x:v>Lower Power + Squat</x:v>
      </x:c>
      <x:c r="G560" s="311" t="str">
        <x:v>Squat strength and reactive power</x:v>
      </x:c>
      <x:c r="H560" s="311" t="n">
        <x:v>3</x:v>
      </x:c>
      <x:c r="I560" s="311" t="str">
        <x:v>Back Squat</x:v>
      </x:c>
      <x:c r="J560" s="311" t="str">
        <x:v>Strength</x:v>
      </x:c>
      <x:c r="K560" s="311" t="str">
        <x:v>Quads</x:v>
      </x:c>
      <x:c r="L560" s="311" t="str">
        <x:v>Top set + back-offs</x:v>
      </x:c>
      <x:c r="M560" s="311" t="str"/>
      <x:c r="N560" s="311" t="n">
        <x:v>4</x:v>
      </x:c>
      <x:c r="O560" s="311" t="n">
        <x:v>3</x:v>
      </x:c>
      <x:c r="P560" s="311" t="n">
        <x:v>5</x:v>
      </x:c>
      <x:c r="Q560" s="311" t="n">
        <x:v>1</x:v>
      </x:c>
      <x:c r="R560" s="311" t="n">
        <x:v>180</x:v>
      </x:c>
      <x:c r="S560" s="311" t="str">
        <x:v>3-1-X</x:v>
      </x:c>
      <x:c r="T560" s="330" t="n">
        <x:v>1</x:v>
      </x:c>
      <x:c r="U560" s="330" t="n">
        <x:v>0.82</x:v>
      </x:c>
      <x:c r="V560" s="331" t="str">
        <x:v>load × reps</x:v>
      </x:c>
      <x:c r="W560" s="332" t="str">
        <x:f>'Readiness'!K67</x:f>
      </x:c>
      <x:c r="X560" s="314" t="n">
        <x:f>'Readiness'!L67</x:f>
        <x:v>1</x:v>
      </x:c>
      <x:c r="Y560" s="315" t="n">
        <x:f>IF(J560="Mobility",N560,MAX(1,ROUND(N560*X560,0)))</x:f>
        <x:v>4</x:v>
      </x:c>
      <x:c r="Z560" s="333" t="n">
        <x:f>ROUND((IF(AU504&gt;0,AU504,IF(Z504&gt;0,Z504,'Setup'!$D$23))*T560)/'Setup'!$B$9,0)*'Setup'!$B$9</x:f>
        <x:v>0</x:v>
      </x:c>
      <x:c r="AA560" s="334"/>
      <x:c r="AB560" s="334"/>
      <x:c r="AC560" s="334"/>
      <x:c r="AD560" s="334"/>
      <x:c r="AE560" s="334"/>
      <x:c r="AF560" s="334"/>
      <x:c r="AG560" s="334"/>
      <x:c r="AH560" s="334"/>
      <x:c r="AI560" s="334"/>
      <x:c r="AJ560" s="312"/>
      <x:c r="AK560" s="312"/>
      <x:c r="AL560" s="312"/>
      <x:c r="AM560" s="312"/>
      <x:c r="AN560" s="312"/>
      <x:c r="AO560" s="315" t="n">
        <x:f>COUNT(AB560,AD560,AF560,AH560,AJ560)</x:f>
        <x:v>0</x:v>
      </x:c>
      <x:c r="AP560" s="315" t="n">
        <x:f>SUM(AB560,AD560,AF560,AH560,AJ560)</x:f>
        <x:v>0</x:v>
      </x:c>
      <x:c r="AQ560" s="333" t="n">
        <x:f>AA560*AB560+AC560*AD560+AE560*AF560+AG560*AH560+AI560*AJ560</x:f>
        <x:v>0</x:v>
      </x:c>
      <x:c r="AR560" s="333" t="n">
        <x:f>IF(OR(J560="Strength",J560="Hypertrophy"),MAX(IF(AB560&gt;0,AA560*(1+AB560/30),0),IF(AD560&gt;0,AC560*(1+AD560/30),0),IF(AF560&gt;0,AE560*(1+AF560/30),0),IF(AH560&gt;0,AG560*(1+AH560/30),0),IF(AJ560&gt;0,AI560*(1+AJ560/30),0)),0)</x:f>
        <x:v>0</x:v>
      </x:c>
      <x:c r="AS560" s="315" t="str">
        <x:f>IF(AN560&lt;&gt;"Yes","Not logged",IF(AL560&gt;='Setup'!$B$14,"STOP / MODIFY",IF(Z560=0,"Complete",IF(OR(AO560=0,AK560=""),"Add set data + RIR",IF(AND(MAX(AB560,AD560,AF560,AH560,AJ560)&gt;=P560,AK560&gt;=Q560+1),"Progress",IF(OR(MAX(AB560,AD560,AF560,AH560,AJ560)&lt;O560,AK560&lt;Q560-1),"Regress","Hold"))))))</x:f>
        <x:v>Not logged</x:v>
      </x:c>
      <x:c r="AT560" s="335" t="n">
        <x:f>IF(OR(Z560=0,AN560&lt;&gt;"Yes",AO560=0,AK560=""),0,IF(AL560&gt;='Setup'!$B$14,-2*'Setup'!$B$11,IF(AND(MAX(AB560,AD560,AF560,AH560,AJ560)&gt;=P560,AK560&gt;=Q560+1),'Setup'!$B$10,IF(OR(MAX(AB560,AD560,AF560,AH560,AJ560)&lt;O560,AK560&lt;Q560-1),-'Setup'!$B$11,0))))</x:f>
        <x:v>0</x:v>
      </x:c>
      <x:c r="AU560" s="333" t="n">
        <x:f>IF(Z560=0,0,IF(AN560&lt;&gt;"Yes",Z560,IF(COUNT(AA560,AC560,AE560,AG560,AI560)=0,Z560,ROUND((MAX(AA560,AC560,AE560,AG560,AI560)*(1+AT560))/'Setup'!$B$9,0)*'Setup'!$B$9)))</x:f>
        <x:v>0</x:v>
      </x:c>
      <x:c r="AV560" s="336"/>
    </x:row>
    <x:row r="561">
      <x:c r="A561" s="310" t="n">
        <x:f>'Setup'!$B$3+(C561-1)*7+(D561-1)</x:f>
        <x:v>46314</x:v>
      </x:c>
      <x:c r="B561" s="311" t="str">
        <x:v>11|1|4</x:v>
      </x:c>
      <x:c r="C561" s="311" t="n">
        <x:v>11</x:v>
      </x:c>
      <x:c r="D561" s="311" t="n">
        <x:v>1</x:v>
      </x:c>
      <x:c r="E561" s="311" t="str">
        <x:v>Realization</x:v>
      </x:c>
      <x:c r="F561" s="311" t="str">
        <x:v>Lower Power + Squat</x:v>
      </x:c>
      <x:c r="G561" s="311" t="str">
        <x:v>Squat strength and reactive power</x:v>
      </x:c>
      <x:c r="H561" s="311" t="n">
        <x:v>4</x:v>
      </x:c>
      <x:c r="I561" s="311" t="str">
        <x:v>Pause Squat</x:v>
      </x:c>
      <x:c r="J561" s="311" t="str">
        <x:v>Strength</x:v>
      </x:c>
      <x:c r="K561" s="311" t="str">
        <x:v>Quads</x:v>
      </x:c>
      <x:c r="L561" s="311" t="str">
        <x:v>Straight sets</x:v>
      </x:c>
      <x:c r="M561" s="311" t="str"/>
      <x:c r="N561" s="311" t="n">
        <x:v>3</x:v>
      </x:c>
      <x:c r="O561" s="311" t="n">
        <x:v>4</x:v>
      </x:c>
      <x:c r="P561" s="311" t="n">
        <x:v>6</x:v>
      </x:c>
      <x:c r="Q561" s="311" t="n">
        <x:v>1</x:v>
      </x:c>
      <x:c r="R561" s="311" t="n">
        <x:v>150</x:v>
      </x:c>
      <x:c r="S561" s="311" t="str">
        <x:v>3-2-X</x:v>
      </x:c>
      <x:c r="T561" s="330" t="n">
        <x:v>1</x:v>
      </x:c>
      <x:c r="U561" s="330" t="n">
        <x:v>0.66</x:v>
      </x:c>
      <x:c r="V561" s="331" t="str">
        <x:v>load × reps</x:v>
      </x:c>
      <x:c r="W561" s="332" t="str">
        <x:f>'Readiness'!K67</x:f>
      </x:c>
      <x:c r="X561" s="314" t="n">
        <x:f>'Readiness'!L67</x:f>
        <x:v>1</x:v>
      </x:c>
      <x:c r="Y561" s="315" t="n">
        <x:f>IF(J561="Mobility",N561,MAX(1,ROUND(N561*X561,0)))</x:f>
        <x:v>3</x:v>
      </x:c>
      <x:c r="Z561" s="333" t="n">
        <x:f>ROUND((IF(AU505&gt;0,AU505,IF(Z505&gt;0,Z505,'Setup'!$D$73))*T561)/'Setup'!$B$9,0)*'Setup'!$B$9</x:f>
        <x:v>0</x:v>
      </x:c>
      <x:c r="AA561" s="334"/>
      <x:c r="AB561" s="334"/>
      <x:c r="AC561" s="334"/>
      <x:c r="AD561" s="334"/>
      <x:c r="AE561" s="334"/>
      <x:c r="AF561" s="334"/>
      <x:c r="AG561" s="334"/>
      <x:c r="AH561" s="334"/>
      <x:c r="AI561" s="334"/>
      <x:c r="AJ561" s="312"/>
      <x:c r="AK561" s="312"/>
      <x:c r="AL561" s="312"/>
      <x:c r="AM561" s="312"/>
      <x:c r="AN561" s="312"/>
      <x:c r="AO561" s="315" t="n">
        <x:f>COUNT(AB561,AD561,AF561,AH561,AJ561)</x:f>
        <x:v>0</x:v>
      </x:c>
      <x:c r="AP561" s="315" t="n">
        <x:f>SUM(AB561,AD561,AF561,AH561,AJ561)</x:f>
        <x:v>0</x:v>
      </x:c>
      <x:c r="AQ561" s="333" t="n">
        <x:f>AA561*AB561+AC561*AD561+AE561*AF561+AG561*AH561+AI561*AJ561</x:f>
        <x:v>0</x:v>
      </x:c>
      <x:c r="AR561" s="333" t="n">
        <x:f>IF(OR(J561="Strength",J561="Hypertrophy"),MAX(IF(AB561&gt;0,AA561*(1+AB561/30),0),IF(AD561&gt;0,AC561*(1+AD561/30),0),IF(AF561&gt;0,AE561*(1+AF561/30),0),IF(AH561&gt;0,AG561*(1+AH561/30),0),IF(AJ561&gt;0,AI561*(1+AJ561/30),0)),0)</x:f>
        <x:v>0</x:v>
      </x:c>
      <x:c r="AS561" s="315" t="str">
        <x:f>IF(AN561&lt;&gt;"Yes","Not logged",IF(AL561&gt;='Setup'!$B$14,"STOP / MODIFY",IF(Z561=0,"Complete",IF(OR(AO561=0,AK561=""),"Add set data + RIR",IF(AND(MAX(AB561,AD561,AF561,AH561,AJ561)&gt;=P561,AK561&gt;=Q561+1),"Progress",IF(OR(MAX(AB561,AD561,AF561,AH561,AJ561)&lt;O561,AK561&lt;Q561-1),"Regress","Hold"))))))</x:f>
        <x:v>Not logged</x:v>
      </x:c>
      <x:c r="AT561" s="335" t="n">
        <x:f>IF(OR(Z561=0,AN561&lt;&gt;"Yes",AO561=0,AK561=""),0,IF(AL561&gt;='Setup'!$B$14,-2*'Setup'!$B$11,IF(AND(MAX(AB561,AD561,AF561,AH561,AJ561)&gt;=P561,AK561&gt;=Q561+1),'Setup'!$B$10,IF(OR(MAX(AB561,AD561,AF561,AH561,AJ561)&lt;O561,AK561&lt;Q561-1),-'Setup'!$B$11,0))))</x:f>
        <x:v>0</x:v>
      </x:c>
      <x:c r="AU561" s="333" t="n">
        <x:f>IF(Z561=0,0,IF(AN561&lt;&gt;"Yes",Z561,IF(COUNT(AA561,AC561,AE561,AG561,AI561)=0,Z561,ROUND((MAX(AA561,AC561,AE561,AG561,AI561)*(1+AT561))/'Setup'!$B$9,0)*'Setup'!$B$9)))</x:f>
        <x:v>0</x:v>
      </x:c>
      <x:c r="AV561" s="336"/>
    </x:row>
    <x:row r="562">
      <x:c r="A562" s="310" t="n">
        <x:f>'Setup'!$B$3+(C562-1)*7+(D562-1)</x:f>
        <x:v>46314</x:v>
      </x:c>
      <x:c r="B562" s="311" t="str">
        <x:v>11|1|5</x:v>
      </x:c>
      <x:c r="C562" s="311" t="n">
        <x:v>11</x:v>
      </x:c>
      <x:c r="D562" s="311" t="n">
        <x:v>1</x:v>
      </x:c>
      <x:c r="E562" s="311" t="str">
        <x:v>Realization</x:v>
      </x:c>
      <x:c r="F562" s="311" t="str">
        <x:v>Lower Power + Squat</x:v>
      </x:c>
      <x:c r="G562" s="311" t="str">
        <x:v>Squat strength and reactive power</x:v>
      </x:c>
      <x:c r="H562" s="311" t="n">
        <x:v>5</x:v>
      </x:c>
      <x:c r="I562" s="311" t="str">
        <x:v>Romanian Deadlift</x:v>
      </x:c>
      <x:c r="J562" s="311" t="str">
        <x:v>Strength</x:v>
      </x:c>
      <x:c r="K562" s="311" t="str">
        <x:v>Hamstrings</x:v>
      </x:c>
      <x:c r="L562" s="311" t="str">
        <x:v>Straight sets</x:v>
      </x:c>
      <x:c r="M562" s="311" t="str"/>
      <x:c r="N562" s="311" t="n">
        <x:v>3</x:v>
      </x:c>
      <x:c r="O562" s="311" t="n">
        <x:v>6</x:v>
      </x:c>
      <x:c r="P562" s="311" t="n">
        <x:v>8</x:v>
      </x:c>
      <x:c r="Q562" s="311" t="n">
        <x:v>1</x:v>
      </x:c>
      <x:c r="R562" s="311" t="n">
        <x:v>120</x:v>
      </x:c>
      <x:c r="S562" s="311" t="str">
        <x:v>3-1-1</x:v>
      </x:c>
      <x:c r="T562" s="330" t="n">
        <x:v>1</x:v>
      </x:c>
      <x:c r="U562" s="330" t="n">
        <x:v>0.62</x:v>
      </x:c>
      <x:c r="V562" s="331" t="str">
        <x:v>load × reps</x:v>
      </x:c>
      <x:c r="W562" s="332" t="str">
        <x:f>'Readiness'!K67</x:f>
      </x:c>
      <x:c r="X562" s="314" t="n">
        <x:f>'Readiness'!L67</x:f>
        <x:v>1</x:v>
      </x:c>
      <x:c r="Y562" s="315" t="n">
        <x:f>IF(J562="Mobility",N562,MAX(1,ROUND(N562*X562,0)))</x:f>
        <x:v>3</x:v>
      </x:c>
      <x:c r="Z562" s="333" t="n">
        <x:f>ROUND((IF(AU506&gt;0,AU506,IF(Z506&gt;0,Z506,'Setup'!$D$79))*T562)/'Setup'!$B$9,0)*'Setup'!$B$9</x:f>
        <x:v>0</x:v>
      </x:c>
      <x:c r="AA562" s="334"/>
      <x:c r="AB562" s="334"/>
      <x:c r="AC562" s="334"/>
      <x:c r="AD562" s="334"/>
      <x:c r="AE562" s="334"/>
      <x:c r="AF562" s="334"/>
      <x:c r="AG562" s="334"/>
      <x:c r="AH562" s="334"/>
      <x:c r="AI562" s="334"/>
      <x:c r="AJ562" s="312"/>
      <x:c r="AK562" s="312"/>
      <x:c r="AL562" s="312"/>
      <x:c r="AM562" s="312"/>
      <x:c r="AN562" s="312"/>
      <x:c r="AO562" s="315" t="n">
        <x:f>COUNT(AB562,AD562,AF562,AH562,AJ562)</x:f>
        <x:v>0</x:v>
      </x:c>
      <x:c r="AP562" s="315" t="n">
        <x:f>SUM(AB562,AD562,AF562,AH562,AJ562)</x:f>
        <x:v>0</x:v>
      </x:c>
      <x:c r="AQ562" s="333" t="n">
        <x:f>AA562*AB562+AC562*AD562+AE562*AF562+AG562*AH562+AI562*AJ562</x:f>
        <x:v>0</x:v>
      </x:c>
      <x:c r="AR562" s="333" t="n">
        <x:f>IF(OR(J562="Strength",J562="Hypertrophy"),MAX(IF(AB562&gt;0,AA562*(1+AB562/30),0),IF(AD562&gt;0,AC562*(1+AD562/30),0),IF(AF562&gt;0,AE562*(1+AF562/30),0),IF(AH562&gt;0,AG562*(1+AH562/30),0),IF(AJ562&gt;0,AI562*(1+AJ562/30),0)),0)</x:f>
        <x:v>0</x:v>
      </x:c>
      <x:c r="AS562" s="315" t="str">
        <x:f>IF(AN562&lt;&gt;"Yes","Not logged",IF(AL562&gt;='Setup'!$B$14,"STOP / MODIFY",IF(Z562=0,"Complete",IF(OR(AO562=0,AK562=""),"Add set data + RIR",IF(AND(MAX(AB562,AD562,AF562,AH562,AJ562)&gt;=P562,AK562&gt;=Q562+1),"Progress",IF(OR(MAX(AB562,AD562,AF562,AH562,AJ562)&lt;O562,AK562&lt;Q562-1),"Regress","Hold"))))))</x:f>
        <x:v>Not logged</x:v>
      </x:c>
      <x:c r="AT562" s="335" t="n">
        <x:f>IF(OR(Z562=0,AN562&lt;&gt;"Yes",AO562=0,AK562=""),0,IF(AL562&gt;='Setup'!$B$14,-2*'Setup'!$B$11,IF(AND(MAX(AB562,AD562,AF562,AH562,AJ562)&gt;=P562,AK562&gt;=Q562+1),'Setup'!$B$10,IF(OR(MAX(AB562,AD562,AF562,AH562,AJ562)&lt;O562,AK562&lt;Q562-1),-'Setup'!$B$11,0))))</x:f>
        <x:v>0</x:v>
      </x:c>
      <x:c r="AU562" s="333" t="n">
        <x:f>IF(Z562=0,0,IF(AN562&lt;&gt;"Yes",Z562,IF(COUNT(AA562,AC562,AE562,AG562,AI562)=0,Z562,ROUND((MAX(AA562,AC562,AE562,AG562,AI562)*(1+AT562))/'Setup'!$B$9,0)*'Setup'!$B$9)))</x:f>
        <x:v>0</x:v>
      </x:c>
      <x:c r="AV562" s="336"/>
    </x:row>
    <x:row r="563">
      <x:c r="A563" s="310" t="n">
        <x:f>'Setup'!$B$3+(C563-1)*7+(D563-1)</x:f>
        <x:v>46314</x:v>
      </x:c>
      <x:c r="B563" s="311" t="str">
        <x:v>11|1|6</x:v>
      </x:c>
      <x:c r="C563" s="311" t="n">
        <x:v>11</x:v>
      </x:c>
      <x:c r="D563" s="311" t="n">
        <x:v>1</x:v>
      </x:c>
      <x:c r="E563" s="311" t="str">
        <x:v>Realization</x:v>
      </x:c>
      <x:c r="F563" s="311" t="str">
        <x:v>Lower Power + Squat</x:v>
      </x:c>
      <x:c r="G563" s="311" t="str">
        <x:v>Squat strength and reactive power</x:v>
      </x:c>
      <x:c r="H563" s="311" t="n">
        <x:v>6</x:v>
      </x:c>
      <x:c r="I563" s="311" t="str">
        <x:v>Bulgarian Split Squat</x:v>
      </x:c>
      <x:c r="J563" s="311" t="str">
        <x:v>Hypertrophy</x:v>
      </x:c>
      <x:c r="K563" s="311" t="str">
        <x:v>Quads</x:v>
      </x:c>
      <x:c r="L563" s="311" t="str">
        <x:v>Straight sets</x:v>
      </x:c>
      <x:c r="M563" s="311" t="str"/>
      <x:c r="N563" s="311" t="n">
        <x:v>3</x:v>
      </x:c>
      <x:c r="O563" s="311" t="n">
        <x:v>8</x:v>
      </x:c>
      <x:c r="P563" s="311" t="n">
        <x:v>10</x:v>
      </x:c>
      <x:c r="Q563" s="311" t="n">
        <x:v>1</x:v>
      </x:c>
      <x:c r="R563" s="311" t="n">
        <x:v>90</x:v>
      </x:c>
      <x:c r="S563" s="311" t="str">
        <x:v>3-0-1</x:v>
      </x:c>
      <x:c r="T563" s="330" t="n">
        <x:v>1</x:v>
      </x:c>
      <x:c r="U563" s="330" t="n">
        <x:v>0</x:v>
      </x:c>
      <x:c r="V563" s="331" t="str">
        <x:v>load × reps</x:v>
      </x:c>
      <x:c r="W563" s="332" t="str">
        <x:f>'Readiness'!K67</x:f>
      </x:c>
      <x:c r="X563" s="314" t="n">
        <x:f>'Readiness'!L67</x:f>
        <x:v>1</x:v>
      </x:c>
      <x:c r="Y563" s="315" t="n">
        <x:f>IF(J563="Mobility",N563,MAX(1,ROUND(N563*X563,0)))</x:f>
        <x:v>3</x:v>
      </x:c>
      <x:c r="Z563" s="333" t="n">
        <x:f>ROUND((IF(AU507&gt;0,AU507,IF(Z507&gt;0,Z507,'Setup'!$D$30))*T563)/'Setup'!$B$9,0)*'Setup'!$B$9</x:f>
        <x:v>0</x:v>
      </x:c>
      <x:c r="AA563" s="334"/>
      <x:c r="AB563" s="334"/>
      <x:c r="AC563" s="334"/>
      <x:c r="AD563" s="334"/>
      <x:c r="AE563" s="334"/>
      <x:c r="AF563" s="334"/>
      <x:c r="AG563" s="334"/>
      <x:c r="AH563" s="334"/>
      <x:c r="AI563" s="334"/>
      <x:c r="AJ563" s="312"/>
      <x:c r="AK563" s="312"/>
      <x:c r="AL563" s="312"/>
      <x:c r="AM563" s="312"/>
      <x:c r="AN563" s="312"/>
      <x:c r="AO563" s="315" t="n">
        <x:f>COUNT(AB563,AD563,AF563,AH563,AJ563)</x:f>
        <x:v>0</x:v>
      </x:c>
      <x:c r="AP563" s="315" t="n">
        <x:f>SUM(AB563,AD563,AF563,AH563,AJ563)</x:f>
        <x:v>0</x:v>
      </x:c>
      <x:c r="AQ563" s="333" t="n">
        <x:f>AA563*AB563+AC563*AD563+AE563*AF563+AG563*AH563+AI563*AJ563</x:f>
        <x:v>0</x:v>
      </x:c>
      <x:c r="AR563" s="333" t="n">
        <x:f>IF(OR(J563="Strength",J563="Hypertrophy"),MAX(IF(AB563&gt;0,AA563*(1+AB563/30),0),IF(AD563&gt;0,AC563*(1+AD563/30),0),IF(AF563&gt;0,AE563*(1+AF563/30),0),IF(AH563&gt;0,AG563*(1+AH563/30),0),IF(AJ563&gt;0,AI563*(1+AJ563/30),0)),0)</x:f>
        <x:v>0</x:v>
      </x:c>
      <x:c r="AS563" s="315" t="str">
        <x:f>IF(AN563&lt;&gt;"Yes","Not logged",IF(AL563&gt;='Setup'!$B$14,"STOP / MODIFY",IF(Z563=0,"Complete",IF(OR(AO563=0,AK563=""),"Add set data + RIR",IF(AND(MAX(AB563,AD563,AF563,AH563,AJ563)&gt;=P563,AK563&gt;=Q563+1),"Progress",IF(OR(MAX(AB563,AD563,AF563,AH563,AJ563)&lt;O563,AK563&lt;Q563-1),"Regress","Hold"))))))</x:f>
        <x:v>Not logged</x:v>
      </x:c>
      <x:c r="AT563" s="335" t="n">
        <x:f>IF(OR(Z563=0,AN563&lt;&gt;"Yes",AO563=0,AK563=""),0,IF(AL563&gt;='Setup'!$B$14,-2*'Setup'!$B$11,IF(AND(MAX(AB563,AD563,AF563,AH563,AJ563)&gt;=P563,AK563&gt;=Q563+1),'Setup'!$B$10,IF(OR(MAX(AB563,AD563,AF563,AH563,AJ563)&lt;O563,AK563&lt;Q563-1),-'Setup'!$B$11,0))))</x:f>
        <x:v>0</x:v>
      </x:c>
      <x:c r="AU563" s="333" t="n">
        <x:f>IF(Z563=0,0,IF(AN563&lt;&gt;"Yes",Z563,IF(COUNT(AA563,AC563,AE563,AG563,AI563)=0,Z563,ROUND((MAX(AA563,AC563,AE563,AG563,AI563)*(1+AT563))/'Setup'!$B$9,0)*'Setup'!$B$9)))</x:f>
        <x:v>0</x:v>
      </x:c>
      <x:c r="AV563" s="336"/>
    </x:row>
    <x:row r="564">
      <x:c r="A564" s="310" t="n">
        <x:f>'Setup'!$B$3+(C564-1)*7+(D564-1)</x:f>
        <x:v>46314</x:v>
      </x:c>
      <x:c r="B564" s="311" t="str">
        <x:v>11|1|7</x:v>
      </x:c>
      <x:c r="C564" s="311" t="n">
        <x:v>11</x:v>
      </x:c>
      <x:c r="D564" s="311" t="n">
        <x:v>1</x:v>
      </x:c>
      <x:c r="E564" s="311" t="str">
        <x:v>Realization</x:v>
      </x:c>
      <x:c r="F564" s="311" t="str">
        <x:v>Lower Power + Squat</x:v>
      </x:c>
      <x:c r="G564" s="311" t="str">
        <x:v>Squat strength and reactive power</x:v>
      </x:c>
      <x:c r="H564" s="311" t="n">
        <x:v>7</x:v>
      </x:c>
      <x:c r="I564" s="311" t="str">
        <x:v>Standing Calf Raise</x:v>
      </x:c>
      <x:c r="J564" s="311" t="str">
        <x:v>Hypertrophy</x:v>
      </x:c>
      <x:c r="K564" s="311" t="str">
        <x:v>Calves</x:v>
      </x:c>
      <x:c r="L564" s="311" t="str">
        <x:v>Straight sets</x:v>
      </x:c>
      <x:c r="M564" s="311" t="str"/>
      <x:c r="N564" s="311" t="n">
        <x:v>3</x:v>
      </x:c>
      <x:c r="O564" s="311" t="n">
        <x:v>10</x:v>
      </x:c>
      <x:c r="P564" s="311" t="n">
        <x:v>15</x:v>
      </x:c>
      <x:c r="Q564" s="311" t="n">
        <x:v>1</x:v>
      </x:c>
      <x:c r="R564" s="311" t="n">
        <x:v>60</x:v>
      </x:c>
      <x:c r="S564" s="311" t="str">
        <x:v>2-2-1</x:v>
      </x:c>
      <x:c r="T564" s="330" t="n">
        <x:v>1</x:v>
      </x:c>
      <x:c r="U564" s="330" t="n">
        <x:v>0</x:v>
      </x:c>
      <x:c r="V564" s="331" t="str">
        <x:v>load × reps</x:v>
      </x:c>
      <x:c r="W564" s="332" t="str">
        <x:f>'Readiness'!K67</x:f>
      </x:c>
      <x:c r="X564" s="314" t="n">
        <x:f>'Readiness'!L67</x:f>
        <x:v>1</x:v>
      </x:c>
      <x:c r="Y564" s="315" t="n">
        <x:f>IF(J564="Mobility",N564,MAX(1,ROUND(N564*X564,0)))</x:f>
        <x:v>3</x:v>
      </x:c>
      <x:c r="Z564" s="333" t="n">
        <x:f>ROUND((IF(AU508&gt;0,AU508,IF(Z508&gt;0,Z508,'Setup'!$D$90))*T564)/'Setup'!$B$9,0)*'Setup'!$B$9</x:f>
        <x:v>0</x:v>
      </x:c>
      <x:c r="AA564" s="334"/>
      <x:c r="AB564" s="334"/>
      <x:c r="AC564" s="334"/>
      <x:c r="AD564" s="334"/>
      <x:c r="AE564" s="334"/>
      <x:c r="AF564" s="334"/>
      <x:c r="AG564" s="334"/>
      <x:c r="AH564" s="334"/>
      <x:c r="AI564" s="334"/>
      <x:c r="AJ564" s="312"/>
      <x:c r="AK564" s="312"/>
      <x:c r="AL564" s="312"/>
      <x:c r="AM564" s="312"/>
      <x:c r="AN564" s="312"/>
      <x:c r="AO564" s="315" t="n">
        <x:f>COUNT(AB564,AD564,AF564,AH564,AJ564)</x:f>
        <x:v>0</x:v>
      </x:c>
      <x:c r="AP564" s="315" t="n">
        <x:f>SUM(AB564,AD564,AF564,AH564,AJ564)</x:f>
        <x:v>0</x:v>
      </x:c>
      <x:c r="AQ564" s="333" t="n">
        <x:f>AA564*AB564+AC564*AD564+AE564*AF564+AG564*AH564+AI564*AJ564</x:f>
        <x:v>0</x:v>
      </x:c>
      <x:c r="AR564" s="333" t="n">
        <x:f>IF(OR(J564="Strength",J564="Hypertrophy"),MAX(IF(AB564&gt;0,AA564*(1+AB564/30),0),IF(AD564&gt;0,AC564*(1+AD564/30),0),IF(AF564&gt;0,AE564*(1+AF564/30),0),IF(AH564&gt;0,AG564*(1+AH564/30),0),IF(AJ564&gt;0,AI564*(1+AJ564/30),0)),0)</x:f>
        <x:v>0</x:v>
      </x:c>
      <x:c r="AS564" s="315" t="str">
        <x:f>IF(AN564&lt;&gt;"Yes","Not logged",IF(AL564&gt;='Setup'!$B$14,"STOP / MODIFY",IF(Z564=0,"Complete",IF(OR(AO564=0,AK564=""),"Add set data + RIR",IF(AND(MAX(AB564,AD564,AF564,AH564,AJ564)&gt;=P564,AK564&gt;=Q564+1),"Progress",IF(OR(MAX(AB564,AD564,AF564,AH564,AJ564)&lt;O564,AK564&lt;Q564-1),"Regress","Hold"))))))</x:f>
        <x:v>Not logged</x:v>
      </x:c>
      <x:c r="AT564" s="335" t="n">
        <x:f>IF(OR(Z564=0,AN564&lt;&gt;"Yes",AO564=0,AK564=""),0,IF(AL564&gt;='Setup'!$B$14,-2*'Setup'!$B$11,IF(AND(MAX(AB564,AD564,AF564,AH564,AJ564)&gt;=P564,AK564&gt;=Q564+1),'Setup'!$B$10,IF(OR(MAX(AB564,AD564,AF564,AH564,AJ564)&lt;O564,AK564&lt;Q564-1),-'Setup'!$B$11,0))))</x:f>
        <x:v>0</x:v>
      </x:c>
      <x:c r="AU564" s="333" t="n">
        <x:f>IF(Z564=0,0,IF(AN564&lt;&gt;"Yes",Z564,IF(COUNT(AA564,AC564,AE564,AG564,AI564)=0,Z564,ROUND((MAX(AA564,AC564,AE564,AG564,AI564)*(1+AT564))/'Setup'!$B$9,0)*'Setup'!$B$9)))</x:f>
        <x:v>0</x:v>
      </x:c>
      <x:c r="AV564" s="336"/>
    </x:row>
    <x:row r="565">
      <x:c r="A565" s="310" t="n">
        <x:f>'Setup'!$B$3+(C565-1)*7+(D565-1)</x:f>
        <x:v>46314</x:v>
      </x:c>
      <x:c r="B565" s="311" t="str">
        <x:v>11|1|8</x:v>
      </x:c>
      <x:c r="C565" s="311" t="n">
        <x:v>11</x:v>
      </x:c>
      <x:c r="D565" s="311" t="n">
        <x:v>1</x:v>
      </x:c>
      <x:c r="E565" s="311" t="str">
        <x:v>Realization</x:v>
      </x:c>
      <x:c r="F565" s="311" t="str">
        <x:v>Lower Power + Squat</x:v>
      </x:c>
      <x:c r="G565" s="311" t="str">
        <x:v>Squat strength and reactive power</x:v>
      </x:c>
      <x:c r="H565" s="311" t="n">
        <x:v>8</x:v>
      </x:c>
      <x:c r="I565" s="311" t="str">
        <x:v>Ankle Dorsiflexion Mobilization</x:v>
      </x:c>
      <x:c r="J565" s="311" t="str">
        <x:v>Mobility</x:v>
      </x:c>
      <x:c r="K565" s="311" t="str">
        <x:v>Ankles</x:v>
      </x:c>
      <x:c r="L565" s="311" t="str">
        <x:v>Controlled mobility</x:v>
      </x:c>
      <x:c r="M565" s="311" t="str"/>
      <x:c r="N565" s="311" t="n">
        <x:v>2</x:v>
      </x:c>
      <x:c r="O565" s="311" t="n">
        <x:v>8</x:v>
      </x:c>
      <x:c r="P565" s="311" t="n">
        <x:v>12</x:v>
      </x:c>
      <x:c r="Q565" s="311" t="str"/>
      <x:c r="R565" s="311" t="n">
        <x:v>20</x:v>
      </x:c>
      <x:c r="S565" s="311" t="str">
        <x:v>Slow</x:v>
      </x:c>
      <x:c r="T565" s="330" t="n">
        <x:v>1</x:v>
      </x:c>
      <x:c r="U565" s="330" t="n">
        <x:v>0</x:v>
      </x:c>
      <x:c r="V565" s="331" t="str">
        <x:v>reps</x:v>
      </x:c>
      <x:c r="W565" s="332" t="str">
        <x:f>'Readiness'!K67</x:f>
      </x:c>
      <x:c r="X565" s="314" t="n">
        <x:f>'Readiness'!L67</x:f>
        <x:v>1</x:v>
      </x:c>
      <x:c r="Y565" s="315" t="n">
        <x:f>IF(J565="Mobility",N565,MAX(1,ROUND(N565*X565,0)))</x:f>
        <x:v>2</x:v>
      </x:c>
      <x:c r="Z565" s="333" t="n">
        <x:f>0</x:f>
        <x:v>0</x:v>
      </x:c>
      <x:c r="AA565" s="334"/>
      <x:c r="AB565" s="334"/>
      <x:c r="AC565" s="334"/>
      <x:c r="AD565" s="334"/>
      <x:c r="AE565" s="334"/>
      <x:c r="AF565" s="334"/>
      <x:c r="AG565" s="334"/>
      <x:c r="AH565" s="334"/>
      <x:c r="AI565" s="334"/>
      <x:c r="AJ565" s="312"/>
      <x:c r="AK565" s="312"/>
      <x:c r="AL565" s="312"/>
      <x:c r="AM565" s="312"/>
      <x:c r="AN565" s="312"/>
      <x:c r="AO565" s="315" t="n">
        <x:f>COUNT(AB565,AD565,AF565,AH565,AJ565)</x:f>
        <x:v>0</x:v>
      </x:c>
      <x:c r="AP565" s="315" t="n">
        <x:f>SUM(AB565,AD565,AF565,AH565,AJ565)</x:f>
        <x:v>0</x:v>
      </x:c>
      <x:c r="AQ565" s="333" t="n">
        <x:f>AA565*AB565+AC565*AD565+AE565*AF565+AG565*AH565+AI565*AJ565</x:f>
        <x:v>0</x:v>
      </x:c>
      <x:c r="AR565" s="333" t="n">
        <x:f>IF(OR(J565="Strength",J565="Hypertrophy"),MAX(IF(AB565&gt;0,AA565*(1+AB565/30),0),IF(AD565&gt;0,AC565*(1+AD565/30),0),IF(AF565&gt;0,AE565*(1+AF565/30),0),IF(AH565&gt;0,AG565*(1+AH565/30),0),IF(AJ565&gt;0,AI565*(1+AJ565/30),0)),0)</x:f>
        <x:v>0</x:v>
      </x:c>
      <x:c r="AS565" s="315" t="str">
        <x:f>IF(AN565&lt;&gt;"Yes","Not logged",IF(AL565&gt;='Setup'!$B$14,"STOP / MODIFY",IF(Z565=0,"Complete",IF(OR(AO565=0,AK565=""),"Add set data + RIR",IF(AND(MAX(AB565,AD565,AF565,AH565,AJ565)&gt;=P565,AK565&gt;=Q565+1),"Progress",IF(OR(MAX(AB565,AD565,AF565,AH565,AJ565)&lt;O565,AK565&lt;Q565-1),"Regress","Hold"))))))</x:f>
        <x:v>Not logged</x:v>
      </x:c>
      <x:c r="AT565" s="335" t="n">
        <x:f>IF(OR(Z565=0,AN565&lt;&gt;"Yes",AO565=0,AK565=""),0,IF(AL565&gt;='Setup'!$B$14,-2*'Setup'!$B$11,IF(AND(MAX(AB565,AD565,AF565,AH565,AJ565)&gt;=P565,AK565&gt;=Q565+1),'Setup'!$B$10,IF(OR(MAX(AB565,AD565,AF565,AH565,AJ565)&lt;O565,AK565&lt;Q565-1),-'Setup'!$B$11,0))))</x:f>
        <x:v>0</x:v>
      </x:c>
      <x:c r="AU565" s="333" t="n">
        <x:f>IF(Z565=0,0,IF(AN565&lt;&gt;"Yes",Z565,IF(COUNT(AA565,AC565,AE565,AG565,AI565)=0,Z565,ROUND((MAX(AA565,AC565,AE565,AG565,AI565)*(1+AT565))/'Setup'!$B$9,0)*'Setup'!$B$9)))</x:f>
        <x:v>0</x:v>
      </x:c>
      <x:c r="AV565" s="336"/>
    </x:row>
    <x:row r="566">
      <x:c r="A566" s="310" t="n">
        <x:f>'Setup'!$B$3+(C566-1)*7+(D566-1)</x:f>
        <x:v>46314</x:v>
      </x:c>
      <x:c r="B566" s="311" t="str">
        <x:v>11|1|9</x:v>
      </x:c>
      <x:c r="C566" s="311" t="n">
        <x:v>11</x:v>
      </x:c>
      <x:c r="D566" s="311" t="n">
        <x:v>1</x:v>
      </x:c>
      <x:c r="E566" s="311" t="str">
        <x:v>Realization</x:v>
      </x:c>
      <x:c r="F566" s="311" t="str">
        <x:v>Lower Power + Squat</x:v>
      </x:c>
      <x:c r="G566" s="311" t="str">
        <x:v>Squat strength and reactive power</x:v>
      </x:c>
      <x:c r="H566" s="311" t="n">
        <x:v>9</x:v>
      </x:c>
      <x:c r="I566" s="311" t="str">
        <x:v>90/90 Hip Switch</x:v>
      </x:c>
      <x:c r="J566" s="311" t="str">
        <x:v>Mobility</x:v>
      </x:c>
      <x:c r="K566" s="311" t="str">
        <x:v>Hips</x:v>
      </x:c>
      <x:c r="L566" s="311" t="str">
        <x:v>Controlled mobility</x:v>
      </x:c>
      <x:c r="M566" s="311" t="str"/>
      <x:c r="N566" s="311" t="n">
        <x:v>2</x:v>
      </x:c>
      <x:c r="O566" s="311" t="n">
        <x:v>6</x:v>
      </x:c>
      <x:c r="P566" s="311" t="n">
        <x:v>10</x:v>
      </x:c>
      <x:c r="Q566" s="311" t="str"/>
      <x:c r="R566" s="311" t="n">
        <x:v>20</x:v>
      </x:c>
      <x:c r="S566" s="311" t="str">
        <x:v>Slow</x:v>
      </x:c>
      <x:c r="T566" s="330" t="n">
        <x:v>1</x:v>
      </x:c>
      <x:c r="U566" s="330" t="n">
        <x:v>0</x:v>
      </x:c>
      <x:c r="V566" s="331" t="str">
        <x:v>reps</x:v>
      </x:c>
      <x:c r="W566" s="332" t="str">
        <x:f>'Readiness'!K67</x:f>
      </x:c>
      <x:c r="X566" s="314" t="n">
        <x:f>'Readiness'!L67</x:f>
        <x:v>1</x:v>
      </x:c>
      <x:c r="Y566" s="315" t="n">
        <x:f>IF(J566="Mobility",N566,MAX(1,ROUND(N566*X566,0)))</x:f>
        <x:v>2</x:v>
      </x:c>
      <x:c r="Z566" s="333" t="n">
        <x:f>0</x:f>
        <x:v>0</x:v>
      </x:c>
      <x:c r="AA566" s="334"/>
      <x:c r="AB566" s="334"/>
      <x:c r="AC566" s="334"/>
      <x:c r="AD566" s="334"/>
      <x:c r="AE566" s="334"/>
      <x:c r="AF566" s="334"/>
      <x:c r="AG566" s="334"/>
      <x:c r="AH566" s="334"/>
      <x:c r="AI566" s="334"/>
      <x:c r="AJ566" s="312"/>
      <x:c r="AK566" s="312"/>
      <x:c r="AL566" s="312"/>
      <x:c r="AM566" s="312"/>
      <x:c r="AN566" s="312"/>
      <x:c r="AO566" s="315" t="n">
        <x:f>COUNT(AB566,AD566,AF566,AH566,AJ566)</x:f>
        <x:v>0</x:v>
      </x:c>
      <x:c r="AP566" s="315" t="n">
        <x:f>SUM(AB566,AD566,AF566,AH566,AJ566)</x:f>
        <x:v>0</x:v>
      </x:c>
      <x:c r="AQ566" s="333" t="n">
        <x:f>AA566*AB566+AC566*AD566+AE566*AF566+AG566*AH566+AI566*AJ566</x:f>
        <x:v>0</x:v>
      </x:c>
      <x:c r="AR566" s="333" t="n">
        <x:f>IF(OR(J566="Strength",J566="Hypertrophy"),MAX(IF(AB566&gt;0,AA566*(1+AB566/30),0),IF(AD566&gt;0,AC566*(1+AD566/30),0),IF(AF566&gt;0,AE566*(1+AF566/30),0),IF(AH566&gt;0,AG566*(1+AH566/30),0),IF(AJ566&gt;0,AI566*(1+AJ566/30),0)),0)</x:f>
        <x:v>0</x:v>
      </x:c>
      <x:c r="AS566" s="315" t="str">
        <x:f>IF(AN566&lt;&gt;"Yes","Not logged",IF(AL566&gt;='Setup'!$B$14,"STOP / MODIFY",IF(Z566=0,"Complete",IF(OR(AO566=0,AK566=""),"Add set data + RIR",IF(AND(MAX(AB566,AD566,AF566,AH566,AJ566)&gt;=P566,AK566&gt;=Q566+1),"Progress",IF(OR(MAX(AB566,AD566,AF566,AH566,AJ566)&lt;O566,AK566&lt;Q566-1),"Regress","Hold"))))))</x:f>
        <x:v>Not logged</x:v>
      </x:c>
      <x:c r="AT566" s="335" t="n">
        <x:f>IF(OR(Z566=0,AN566&lt;&gt;"Yes",AO566=0,AK566=""),0,IF(AL566&gt;='Setup'!$B$14,-2*'Setup'!$B$11,IF(AND(MAX(AB566,AD566,AF566,AH566,AJ566)&gt;=P566,AK566&gt;=Q566+1),'Setup'!$B$10,IF(OR(MAX(AB566,AD566,AF566,AH566,AJ566)&lt;O566,AK566&lt;Q566-1),-'Setup'!$B$11,0))))</x:f>
        <x:v>0</x:v>
      </x:c>
      <x:c r="AU566" s="333" t="n">
        <x:f>IF(Z566=0,0,IF(AN566&lt;&gt;"Yes",Z566,IF(COUNT(AA566,AC566,AE566,AG566,AI566)=0,Z566,ROUND((MAX(AA566,AC566,AE566,AG566,AI566)*(1+AT566))/'Setup'!$B$9,0)*'Setup'!$B$9)))</x:f>
        <x:v>0</x:v>
      </x:c>
      <x:c r="AV566" s="336"/>
    </x:row>
    <x:row r="567">
      <x:c r="A567" s="310" t="n">
        <x:f>'Setup'!$B$3+(C567-1)*7+(D567-1)</x:f>
        <x:v>46315</x:v>
      </x:c>
      <x:c r="B567" s="311" t="str">
        <x:v>11|2|1</x:v>
      </x:c>
      <x:c r="C567" s="311" t="n">
        <x:v>11</x:v>
      </x:c>
      <x:c r="D567" s="311" t="n">
        <x:v>2</x:v>
      </x:c>
      <x:c r="E567" s="311" t="str">
        <x:v>Realization</x:v>
      </x:c>
      <x:c r="F567" s="311" t="str">
        <x:v>Back + Triceps</x:v>
      </x:c>
      <x:c r="G567" s="311" t="str">
        <x:v>High-volume back with triceps isolation</x:v>
      </x:c>
      <x:c r="H567" s="311" t="n">
        <x:v>1</x:v>
      </x:c>
      <x:c r="I567" s="311" t="str">
        <x:v>Neutral-Grip Lat Pulldown</x:v>
      </x:c>
      <x:c r="J567" s="311" t="str">
        <x:v>Hypertrophy</x:v>
      </x:c>
      <x:c r="K567" s="311" t="str">
        <x:v>Back</x:v>
      </x:c>
      <x:c r="L567" s="311" t="str">
        <x:v>Straight sets</x:v>
      </x:c>
      <x:c r="M567" s="311" t="str"/>
      <x:c r="N567" s="311" t="n">
        <x:v>4</x:v>
      </x:c>
      <x:c r="O567" s="311" t="n">
        <x:v>8</x:v>
      </x:c>
      <x:c r="P567" s="311" t="n">
        <x:v>12</x:v>
      </x:c>
      <x:c r="Q567" s="311" t="n">
        <x:v>1</x:v>
      </x:c>
      <x:c r="R567" s="311" t="n">
        <x:v>90</x:v>
      </x:c>
      <x:c r="S567" s="311" t="str">
        <x:v>2-1-1</x:v>
      </x:c>
      <x:c r="T567" s="330" t="n">
        <x:v>1</x:v>
      </x:c>
      <x:c r="U567" s="330" t="n">
        <x:v>0</x:v>
      </x:c>
      <x:c r="V567" s="331" t="str">
        <x:v>load × reps</x:v>
      </x:c>
      <x:c r="W567" s="332" t="str">
        <x:f>'Readiness'!K68</x:f>
      </x:c>
      <x:c r="X567" s="314" t="n">
        <x:f>'Readiness'!L68</x:f>
        <x:v>1</x:v>
      </x:c>
      <x:c r="Y567" s="315" t="n">
        <x:f>IF(J567="Mobility",N567,MAX(1,ROUND(N567*X567,0)))</x:f>
        <x:v>4</x:v>
      </x:c>
      <x:c r="Z567" s="333" t="n">
        <x:f>ROUND((IF(AU511&gt;0,AU511,IF(Z511&gt;0,Z511,'Setup'!$D$65))*T567)/'Setup'!$B$9,0)*'Setup'!$B$9</x:f>
        <x:v>0</x:v>
      </x:c>
      <x:c r="AA567" s="334"/>
      <x:c r="AB567" s="334"/>
      <x:c r="AC567" s="334"/>
      <x:c r="AD567" s="334"/>
      <x:c r="AE567" s="334"/>
      <x:c r="AF567" s="334"/>
      <x:c r="AG567" s="334"/>
      <x:c r="AH567" s="334"/>
      <x:c r="AI567" s="334"/>
      <x:c r="AJ567" s="312"/>
      <x:c r="AK567" s="312"/>
      <x:c r="AL567" s="312"/>
      <x:c r="AM567" s="312"/>
      <x:c r="AN567" s="312"/>
      <x:c r="AO567" s="315" t="n">
        <x:f>COUNT(AB567,AD567,AF567,AH567,AJ567)</x:f>
        <x:v>0</x:v>
      </x:c>
      <x:c r="AP567" s="315" t="n">
        <x:f>SUM(AB567,AD567,AF567,AH567,AJ567)</x:f>
        <x:v>0</x:v>
      </x:c>
      <x:c r="AQ567" s="333" t="n">
        <x:f>AA567*AB567+AC567*AD567+AE567*AF567+AG567*AH567+AI567*AJ567</x:f>
        <x:v>0</x:v>
      </x:c>
      <x:c r="AR567" s="333" t="n">
        <x:f>IF(OR(J567="Strength",J567="Hypertrophy"),MAX(IF(AB567&gt;0,AA567*(1+AB567/30),0),IF(AD567&gt;0,AC567*(1+AD567/30),0),IF(AF567&gt;0,AE567*(1+AF567/30),0),IF(AH567&gt;0,AG567*(1+AH567/30),0),IF(AJ567&gt;0,AI567*(1+AJ567/30),0)),0)</x:f>
        <x:v>0</x:v>
      </x:c>
      <x:c r="AS567" s="315" t="str">
        <x:f>IF(AN567&lt;&gt;"Yes","Not logged",IF(AL567&gt;='Setup'!$B$14,"STOP / MODIFY",IF(Z567=0,"Complete",IF(OR(AO567=0,AK567=""),"Add set data + RIR",IF(AND(MAX(AB567,AD567,AF567,AH567,AJ567)&gt;=P567,AK567&gt;=Q567+1),"Progress",IF(OR(MAX(AB567,AD567,AF567,AH567,AJ567)&lt;O567,AK567&lt;Q567-1),"Regress","Hold"))))))</x:f>
        <x:v>Not logged</x:v>
      </x:c>
      <x:c r="AT567" s="335" t="n">
        <x:f>IF(OR(Z567=0,AN567&lt;&gt;"Yes",AO567=0,AK567=""),0,IF(AL567&gt;='Setup'!$B$14,-2*'Setup'!$B$11,IF(AND(MAX(AB567,AD567,AF567,AH567,AJ567)&gt;=P567,AK567&gt;=Q567+1),'Setup'!$B$10,IF(OR(MAX(AB567,AD567,AF567,AH567,AJ567)&lt;O567,AK567&lt;Q567-1),-'Setup'!$B$11,0))))</x:f>
        <x:v>0</x:v>
      </x:c>
      <x:c r="AU567" s="333" t="n">
        <x:f>IF(Z567=0,0,IF(AN567&lt;&gt;"Yes",Z567,IF(COUNT(AA567,AC567,AE567,AG567,AI567)=0,Z567,ROUND((MAX(AA567,AC567,AE567,AG567,AI567)*(1+AT567))/'Setup'!$B$9,0)*'Setup'!$B$9)))</x:f>
        <x:v>0</x:v>
      </x:c>
      <x:c r="AV567" s="336"/>
    </x:row>
    <x:row r="568">
      <x:c r="A568" s="310" t="n">
        <x:f>'Setup'!$B$3+(C568-1)*7+(D568-1)</x:f>
        <x:v>46315</x:v>
      </x:c>
      <x:c r="B568" s="311" t="str">
        <x:v>11|2|2</x:v>
      </x:c>
      <x:c r="C568" s="311" t="n">
        <x:v>11</x:v>
      </x:c>
      <x:c r="D568" s="311" t="n">
        <x:v>2</x:v>
      </x:c>
      <x:c r="E568" s="311" t="str">
        <x:v>Realization</x:v>
      </x:c>
      <x:c r="F568" s="311" t="str">
        <x:v>Back + Triceps</x:v>
      </x:c>
      <x:c r="G568" s="311" t="str">
        <x:v>High-volume back with triceps isolation</x:v>
      </x:c>
      <x:c r="H568" s="311" t="n">
        <x:v>2</x:v>
      </x:c>
      <x:c r="I568" s="311" t="str">
        <x:v>Machine High Row</x:v>
      </x:c>
      <x:c r="J568" s="311" t="str">
        <x:v>Hypertrophy</x:v>
      </x:c>
      <x:c r="K568" s="311" t="str">
        <x:v>Back</x:v>
      </x:c>
      <x:c r="L568" s="311" t="str">
        <x:v>Straight sets</x:v>
      </x:c>
      <x:c r="M568" s="311" t="str"/>
      <x:c r="N568" s="311" t="n">
        <x:v>4</x:v>
      </x:c>
      <x:c r="O568" s="311" t="n">
        <x:v>8</x:v>
      </x:c>
      <x:c r="P568" s="311" t="n">
        <x:v>12</x:v>
      </x:c>
      <x:c r="Q568" s="311" t="n">
        <x:v>1</x:v>
      </x:c>
      <x:c r="R568" s="311" t="n">
        <x:v>90</x:v>
      </x:c>
      <x:c r="S568" s="311" t="str">
        <x:v>2-1-1</x:v>
      </x:c>
      <x:c r="T568" s="330" t="n">
        <x:v>1</x:v>
      </x:c>
      <x:c r="U568" s="330" t="n">
        <x:v>0</x:v>
      </x:c>
      <x:c r="V568" s="331" t="str">
        <x:v>load × reps</x:v>
      </x:c>
      <x:c r="W568" s="332" t="str">
        <x:f>'Readiness'!K68</x:f>
      </x:c>
      <x:c r="X568" s="314" t="n">
        <x:f>'Readiness'!L68</x:f>
        <x:v>1</x:v>
      </x:c>
      <x:c r="Y568" s="315" t="n">
        <x:f>IF(J568="Mobility",N568,MAX(1,ROUND(N568*X568,0)))</x:f>
        <x:v>4</x:v>
      </x:c>
      <x:c r="Z568" s="333" t="n">
        <x:f>ROUND((IF(AU512&gt;0,AU512,IF(Z512&gt;0,Z512,'Setup'!$D$61))*T568)/'Setup'!$B$9,0)*'Setup'!$B$9</x:f>
        <x:v>0</x:v>
      </x:c>
      <x:c r="AA568" s="334"/>
      <x:c r="AB568" s="334"/>
      <x:c r="AC568" s="334"/>
      <x:c r="AD568" s="334"/>
      <x:c r="AE568" s="334"/>
      <x:c r="AF568" s="334"/>
      <x:c r="AG568" s="334"/>
      <x:c r="AH568" s="334"/>
      <x:c r="AI568" s="334"/>
      <x:c r="AJ568" s="312"/>
      <x:c r="AK568" s="312"/>
      <x:c r="AL568" s="312"/>
      <x:c r="AM568" s="312"/>
      <x:c r="AN568" s="312"/>
      <x:c r="AO568" s="315" t="n">
        <x:f>COUNT(AB568,AD568,AF568,AH568,AJ568)</x:f>
        <x:v>0</x:v>
      </x:c>
      <x:c r="AP568" s="315" t="n">
        <x:f>SUM(AB568,AD568,AF568,AH568,AJ568)</x:f>
        <x:v>0</x:v>
      </x:c>
      <x:c r="AQ568" s="333" t="n">
        <x:f>AA568*AB568+AC568*AD568+AE568*AF568+AG568*AH568+AI568*AJ568</x:f>
        <x:v>0</x:v>
      </x:c>
      <x:c r="AR568" s="333" t="n">
        <x:f>IF(OR(J568="Strength",J568="Hypertrophy"),MAX(IF(AB568&gt;0,AA568*(1+AB568/30),0),IF(AD568&gt;0,AC568*(1+AD568/30),0),IF(AF568&gt;0,AE568*(1+AF568/30),0),IF(AH568&gt;0,AG568*(1+AH568/30),0),IF(AJ568&gt;0,AI568*(1+AJ568/30),0)),0)</x:f>
        <x:v>0</x:v>
      </x:c>
      <x:c r="AS568" s="315" t="str">
        <x:f>IF(AN568&lt;&gt;"Yes","Not logged",IF(AL568&gt;='Setup'!$B$14,"STOP / MODIFY",IF(Z568=0,"Complete",IF(OR(AO568=0,AK568=""),"Add set data + RIR",IF(AND(MAX(AB568,AD568,AF568,AH568,AJ568)&gt;=P568,AK568&gt;=Q568+1),"Progress",IF(OR(MAX(AB568,AD568,AF568,AH568,AJ568)&lt;O568,AK568&lt;Q568-1),"Regress","Hold"))))))</x:f>
        <x:v>Not logged</x:v>
      </x:c>
      <x:c r="AT568" s="335" t="n">
        <x:f>IF(OR(Z568=0,AN568&lt;&gt;"Yes",AO568=0,AK568=""),0,IF(AL568&gt;='Setup'!$B$14,-2*'Setup'!$B$11,IF(AND(MAX(AB568,AD568,AF568,AH568,AJ568)&gt;=P568,AK568&gt;=Q568+1),'Setup'!$B$10,IF(OR(MAX(AB568,AD568,AF568,AH568,AJ568)&lt;O568,AK568&lt;Q568-1),-'Setup'!$B$11,0))))</x:f>
        <x:v>0</x:v>
      </x:c>
      <x:c r="AU568" s="333" t="n">
        <x:f>IF(Z568=0,0,IF(AN568&lt;&gt;"Yes",Z568,IF(COUNT(AA568,AC568,AE568,AG568,AI568)=0,Z568,ROUND((MAX(AA568,AC568,AE568,AG568,AI568)*(1+AT568))/'Setup'!$B$9,0)*'Setup'!$B$9)))</x:f>
        <x:v>0</x:v>
      </x:c>
      <x:c r="AV568" s="336"/>
    </x:row>
    <x:row r="569">
      <x:c r="A569" s="310" t="n">
        <x:f>'Setup'!$B$3+(C569-1)*7+(D569-1)</x:f>
        <x:v>46315</x:v>
      </x:c>
      <x:c r="B569" s="311" t="str">
        <x:v>11|2|3</x:v>
      </x:c>
      <x:c r="C569" s="311" t="n">
        <x:v>11</x:v>
      </x:c>
      <x:c r="D569" s="311" t="n">
        <x:v>2</x:v>
      </x:c>
      <x:c r="E569" s="311" t="str">
        <x:v>Realization</x:v>
      </x:c>
      <x:c r="F569" s="311" t="str">
        <x:v>Back + Triceps</x:v>
      </x:c>
      <x:c r="G569" s="311" t="str">
        <x:v>High-volume back with triceps isolation</x:v>
      </x:c>
      <x:c r="H569" s="311" t="n">
        <x:v>3</x:v>
      </x:c>
      <x:c r="I569" s="311" t="str">
        <x:v>One-Arm Cable Row</x:v>
      </x:c>
      <x:c r="J569" s="311" t="str">
        <x:v>Hypertrophy</x:v>
      </x:c>
      <x:c r="K569" s="311" t="str">
        <x:v>Back</x:v>
      </x:c>
      <x:c r="L569" s="311" t="str">
        <x:v>Straight sets</x:v>
      </x:c>
      <x:c r="M569" s="311" t="str"/>
      <x:c r="N569" s="311" t="n">
        <x:v>3</x:v>
      </x:c>
      <x:c r="O569" s="311" t="n">
        <x:v>10</x:v>
      </x:c>
      <x:c r="P569" s="311" t="n">
        <x:v>15</x:v>
      </x:c>
      <x:c r="Q569" s="311" t="n">
        <x:v>1</x:v>
      </x:c>
      <x:c r="R569" s="311" t="n">
        <x:v>75</x:v>
      </x:c>
      <x:c r="S569" s="311" t="str">
        <x:v>2-1-1</x:v>
      </x:c>
      <x:c r="T569" s="330" t="n">
        <x:v>1</x:v>
      </x:c>
      <x:c r="U569" s="330" t="n">
        <x:v>0</x:v>
      </x:c>
      <x:c r="V569" s="331" t="str">
        <x:v>load × reps</x:v>
      </x:c>
      <x:c r="W569" s="332" t="str">
        <x:f>'Readiness'!K68</x:f>
      </x:c>
      <x:c r="X569" s="314" t="n">
        <x:f>'Readiness'!L68</x:f>
        <x:v>1</x:v>
      </x:c>
      <x:c r="Y569" s="315" t="n">
        <x:f>IF(J569="Mobility",N569,MAX(1,ROUND(N569*X569,0)))</x:f>
        <x:v>3</x:v>
      </x:c>
      <x:c r="Z569" s="333" t="n">
        <x:f>ROUND((IF(AU513&gt;0,AU513,IF(Z513&gt;0,Z513,'Setup'!$D$67))*T569)/'Setup'!$B$9,0)*'Setup'!$B$9</x:f>
        <x:v>0</x:v>
      </x:c>
      <x:c r="AA569" s="334"/>
      <x:c r="AB569" s="334"/>
      <x:c r="AC569" s="334"/>
      <x:c r="AD569" s="334"/>
      <x:c r="AE569" s="334"/>
      <x:c r="AF569" s="334"/>
      <x:c r="AG569" s="334"/>
      <x:c r="AH569" s="334"/>
      <x:c r="AI569" s="334"/>
      <x:c r="AJ569" s="312"/>
      <x:c r="AK569" s="312"/>
      <x:c r="AL569" s="312"/>
      <x:c r="AM569" s="312"/>
      <x:c r="AN569" s="312"/>
      <x:c r="AO569" s="315" t="n">
        <x:f>COUNT(AB569,AD569,AF569,AH569,AJ569)</x:f>
        <x:v>0</x:v>
      </x:c>
      <x:c r="AP569" s="315" t="n">
        <x:f>SUM(AB569,AD569,AF569,AH569,AJ569)</x:f>
        <x:v>0</x:v>
      </x:c>
      <x:c r="AQ569" s="333" t="n">
        <x:f>AA569*AB569+AC569*AD569+AE569*AF569+AG569*AH569+AI569*AJ569</x:f>
        <x:v>0</x:v>
      </x:c>
      <x:c r="AR569" s="333" t="n">
        <x:f>IF(OR(J569="Strength",J569="Hypertrophy"),MAX(IF(AB569&gt;0,AA569*(1+AB569/30),0),IF(AD569&gt;0,AC569*(1+AD569/30),0),IF(AF569&gt;0,AE569*(1+AF569/30),0),IF(AH569&gt;0,AG569*(1+AH569/30),0),IF(AJ569&gt;0,AI569*(1+AJ569/30),0)),0)</x:f>
        <x:v>0</x:v>
      </x:c>
      <x:c r="AS569" s="315" t="str">
        <x:f>IF(AN569&lt;&gt;"Yes","Not logged",IF(AL569&gt;='Setup'!$B$14,"STOP / MODIFY",IF(Z569=0,"Complete",IF(OR(AO569=0,AK569=""),"Add set data + RIR",IF(AND(MAX(AB569,AD569,AF569,AH569,AJ569)&gt;=P569,AK569&gt;=Q569+1),"Progress",IF(OR(MAX(AB569,AD569,AF569,AH569,AJ569)&lt;O569,AK569&lt;Q569-1),"Regress","Hold"))))))</x:f>
        <x:v>Not logged</x:v>
      </x:c>
      <x:c r="AT569" s="335" t="n">
        <x:f>IF(OR(Z569=0,AN569&lt;&gt;"Yes",AO569=0,AK569=""),0,IF(AL569&gt;='Setup'!$B$14,-2*'Setup'!$B$11,IF(AND(MAX(AB569,AD569,AF569,AH569,AJ569)&gt;=P569,AK569&gt;=Q569+1),'Setup'!$B$10,IF(OR(MAX(AB569,AD569,AF569,AH569,AJ569)&lt;O569,AK569&lt;Q569-1),-'Setup'!$B$11,0))))</x:f>
        <x:v>0</x:v>
      </x:c>
      <x:c r="AU569" s="333" t="n">
        <x:f>IF(Z569=0,0,IF(AN569&lt;&gt;"Yes",Z569,IF(COUNT(AA569,AC569,AE569,AG569,AI569)=0,Z569,ROUND((MAX(AA569,AC569,AE569,AG569,AI569)*(1+AT569))/'Setup'!$B$9,0)*'Setup'!$B$9)))</x:f>
        <x:v>0</x:v>
      </x:c>
      <x:c r="AV569" s="336"/>
    </x:row>
    <x:row r="570">
      <x:c r="A570" s="310" t="n">
        <x:f>'Setup'!$B$3+(C570-1)*7+(D570-1)</x:f>
        <x:v>46315</x:v>
      </x:c>
      <x:c r="B570" s="311" t="str">
        <x:v>11|2|4</x:v>
      </x:c>
      <x:c r="C570" s="311" t="n">
        <x:v>11</x:v>
      </x:c>
      <x:c r="D570" s="311" t="n">
        <x:v>2</x:v>
      </x:c>
      <x:c r="E570" s="311" t="str">
        <x:v>Realization</x:v>
      </x:c>
      <x:c r="F570" s="311" t="str">
        <x:v>Back + Triceps</x:v>
      </x:c>
      <x:c r="G570" s="311" t="str">
        <x:v>High-volume back with triceps isolation</x:v>
      </x:c>
      <x:c r="H570" s="311" t="n">
        <x:v>4</x:v>
      </x:c>
      <x:c r="I570" s="311" t="str">
        <x:v>Straight-Arm Pulldown</x:v>
      </x:c>
      <x:c r="J570" s="311" t="str">
        <x:v>Hypertrophy</x:v>
      </x:c>
      <x:c r="K570" s="311" t="str">
        <x:v>Back</x:v>
      </x:c>
      <x:c r="L570" s="311" t="str">
        <x:v>Straight sets</x:v>
      </x:c>
      <x:c r="M570" s="311" t="str"/>
      <x:c r="N570" s="311" t="n">
        <x:v>3</x:v>
      </x:c>
      <x:c r="O570" s="311" t="n">
        <x:v>12</x:v>
      </x:c>
      <x:c r="P570" s="311" t="n">
        <x:v>15</x:v>
      </x:c>
      <x:c r="Q570" s="311" t="n">
        <x:v>1</x:v>
      </x:c>
      <x:c r="R570" s="311" t="n">
        <x:v>60</x:v>
      </x:c>
      <x:c r="S570" s="311" t="str">
        <x:v>3-1-1</x:v>
      </x:c>
      <x:c r="T570" s="330" t="n">
        <x:v>1</x:v>
      </x:c>
      <x:c r="U570" s="330" t="n">
        <x:v>0</x:v>
      </x:c>
      <x:c r="V570" s="331" t="str">
        <x:v>load × reps</x:v>
      </x:c>
      <x:c r="W570" s="332" t="str">
        <x:f>'Readiness'!K68</x:f>
      </x:c>
      <x:c r="X570" s="314" t="n">
        <x:f>'Readiness'!L68</x:f>
        <x:v>1</x:v>
      </x:c>
      <x:c r="Y570" s="315" t="n">
        <x:f>IF(J570="Mobility",N570,MAX(1,ROUND(N570*X570,0)))</x:f>
        <x:v>3</x:v>
      </x:c>
      <x:c r="Z570" s="333" t="n">
        <x:f>ROUND((IF(AU514&gt;0,AU514,IF(Z514&gt;0,Z514,'Setup'!$D$91))*T570)/'Setup'!$B$9,0)*'Setup'!$B$9</x:f>
        <x:v>0</x:v>
      </x:c>
      <x:c r="AA570" s="334"/>
      <x:c r="AB570" s="334"/>
      <x:c r="AC570" s="334"/>
      <x:c r="AD570" s="334"/>
      <x:c r="AE570" s="334"/>
      <x:c r="AF570" s="334"/>
      <x:c r="AG570" s="334"/>
      <x:c r="AH570" s="334"/>
      <x:c r="AI570" s="334"/>
      <x:c r="AJ570" s="312"/>
      <x:c r="AK570" s="312"/>
      <x:c r="AL570" s="312"/>
      <x:c r="AM570" s="312"/>
      <x:c r="AN570" s="312"/>
      <x:c r="AO570" s="315" t="n">
        <x:f>COUNT(AB570,AD570,AF570,AH570,AJ570)</x:f>
        <x:v>0</x:v>
      </x:c>
      <x:c r="AP570" s="315" t="n">
        <x:f>SUM(AB570,AD570,AF570,AH570,AJ570)</x:f>
        <x:v>0</x:v>
      </x:c>
      <x:c r="AQ570" s="333" t="n">
        <x:f>AA570*AB570+AC570*AD570+AE570*AF570+AG570*AH570+AI570*AJ570</x:f>
        <x:v>0</x:v>
      </x:c>
      <x:c r="AR570" s="333" t="n">
        <x:f>IF(OR(J570="Strength",J570="Hypertrophy"),MAX(IF(AB570&gt;0,AA570*(1+AB570/30),0),IF(AD570&gt;0,AC570*(1+AD570/30),0),IF(AF570&gt;0,AE570*(1+AF570/30),0),IF(AH570&gt;0,AG570*(1+AH570/30),0),IF(AJ570&gt;0,AI570*(1+AJ570/30),0)),0)</x:f>
        <x:v>0</x:v>
      </x:c>
      <x:c r="AS570" s="315" t="str">
        <x:f>IF(AN570&lt;&gt;"Yes","Not logged",IF(AL570&gt;='Setup'!$B$14,"STOP / MODIFY",IF(Z570=0,"Complete",IF(OR(AO570=0,AK570=""),"Add set data + RIR",IF(AND(MAX(AB570,AD570,AF570,AH570,AJ570)&gt;=P570,AK570&gt;=Q570+1),"Progress",IF(OR(MAX(AB570,AD570,AF570,AH570,AJ570)&lt;O570,AK570&lt;Q570-1),"Regress","Hold"))))))</x:f>
        <x:v>Not logged</x:v>
      </x:c>
      <x:c r="AT570" s="335" t="n">
        <x:f>IF(OR(Z570=0,AN570&lt;&gt;"Yes",AO570=0,AK570=""),0,IF(AL570&gt;='Setup'!$B$14,-2*'Setup'!$B$11,IF(AND(MAX(AB570,AD570,AF570,AH570,AJ570)&gt;=P570,AK570&gt;=Q570+1),'Setup'!$B$10,IF(OR(MAX(AB570,AD570,AF570,AH570,AJ570)&lt;O570,AK570&lt;Q570-1),-'Setup'!$B$11,0))))</x:f>
        <x:v>0</x:v>
      </x:c>
      <x:c r="AU570" s="333" t="n">
        <x:f>IF(Z570=0,0,IF(AN570&lt;&gt;"Yes",Z570,IF(COUNT(AA570,AC570,AE570,AG570,AI570)=0,Z570,ROUND((MAX(AA570,AC570,AE570,AG570,AI570)*(1+AT570))/'Setup'!$B$9,0)*'Setup'!$B$9)))</x:f>
        <x:v>0</x:v>
      </x:c>
      <x:c r="AV570" s="336"/>
    </x:row>
    <x:row r="571">
      <x:c r="A571" s="310" t="n">
        <x:f>'Setup'!$B$3+(C571-1)*7+(D571-1)</x:f>
        <x:v>46315</x:v>
      </x:c>
      <x:c r="B571" s="311" t="str">
        <x:v>11|2|5</x:v>
      </x:c>
      <x:c r="C571" s="311" t="n">
        <x:v>11</x:v>
      </x:c>
      <x:c r="D571" s="311" t="n">
        <x:v>2</x:v>
      </x:c>
      <x:c r="E571" s="311" t="str">
        <x:v>Realization</x:v>
      </x:c>
      <x:c r="F571" s="311" t="str">
        <x:v>Back + Triceps</x:v>
      </x:c>
      <x:c r="G571" s="311" t="str">
        <x:v>High-volume back with triceps isolation</x:v>
      </x:c>
      <x:c r="H571" s="311" t="n">
        <x:v>5</x:v>
      </x:c>
      <x:c r="I571" s="311" t="str">
        <x:v>Rear Delt Cable Fly</x:v>
      </x:c>
      <x:c r="J571" s="311" t="str">
        <x:v>Hypertrophy</x:v>
      </x:c>
      <x:c r="K571" s="311" t="str">
        <x:v>Rear Delts</x:v>
      </x:c>
      <x:c r="L571" s="311" t="str">
        <x:v>Straight sets</x:v>
      </x:c>
      <x:c r="M571" s="311" t="str"/>
      <x:c r="N571" s="311" t="n">
        <x:v>4</x:v>
      </x:c>
      <x:c r="O571" s="311" t="n">
        <x:v>15</x:v>
      </x:c>
      <x:c r="P571" s="311" t="n">
        <x:v>20</x:v>
      </x:c>
      <x:c r="Q571" s="311" t="n">
        <x:v>1</x:v>
      </x:c>
      <x:c r="R571" s="311" t="n">
        <x:v>45</x:v>
      </x:c>
      <x:c r="S571" s="311" t="str">
        <x:v>2-1-2</x:v>
      </x:c>
      <x:c r="T571" s="330" t="n">
        <x:v>1</x:v>
      </x:c>
      <x:c r="U571" s="330" t="n">
        <x:v>0</x:v>
      </x:c>
      <x:c r="V571" s="331" t="str">
        <x:v>load × reps</x:v>
      </x:c>
      <x:c r="W571" s="332" t="str">
        <x:f>'Readiness'!K68</x:f>
      </x:c>
      <x:c r="X571" s="314" t="n">
        <x:f>'Readiness'!L68</x:f>
        <x:v>1</x:v>
      </x:c>
      <x:c r="Y571" s="315" t="n">
        <x:f>IF(J571="Mobility",N571,MAX(1,ROUND(N571*X571,0)))</x:f>
        <x:v>4</x:v>
      </x:c>
      <x:c r="Z571" s="333" t="n">
        <x:f>ROUND((IF(AU515&gt;0,AU515,IF(Z515&gt;0,Z515,'Setup'!$D$78))*T571)/'Setup'!$B$9,0)*'Setup'!$B$9</x:f>
        <x:v>0</x:v>
      </x:c>
      <x:c r="AA571" s="334"/>
      <x:c r="AB571" s="334"/>
      <x:c r="AC571" s="334"/>
      <x:c r="AD571" s="334"/>
      <x:c r="AE571" s="334"/>
      <x:c r="AF571" s="334"/>
      <x:c r="AG571" s="334"/>
      <x:c r="AH571" s="334"/>
      <x:c r="AI571" s="334"/>
      <x:c r="AJ571" s="312"/>
      <x:c r="AK571" s="312"/>
      <x:c r="AL571" s="312"/>
      <x:c r="AM571" s="312"/>
      <x:c r="AN571" s="312"/>
      <x:c r="AO571" s="315" t="n">
        <x:f>COUNT(AB571,AD571,AF571,AH571,AJ571)</x:f>
        <x:v>0</x:v>
      </x:c>
      <x:c r="AP571" s="315" t="n">
        <x:f>SUM(AB571,AD571,AF571,AH571,AJ571)</x:f>
        <x:v>0</x:v>
      </x:c>
      <x:c r="AQ571" s="333" t="n">
        <x:f>AA571*AB571+AC571*AD571+AE571*AF571+AG571*AH571+AI571*AJ571</x:f>
        <x:v>0</x:v>
      </x:c>
      <x:c r="AR571" s="333" t="n">
        <x:f>IF(OR(J571="Strength",J571="Hypertrophy"),MAX(IF(AB571&gt;0,AA571*(1+AB571/30),0),IF(AD571&gt;0,AC571*(1+AD571/30),0),IF(AF571&gt;0,AE571*(1+AF571/30),0),IF(AH571&gt;0,AG571*(1+AH571/30),0),IF(AJ571&gt;0,AI571*(1+AJ571/30),0)),0)</x:f>
        <x:v>0</x:v>
      </x:c>
      <x:c r="AS571" s="315" t="str">
        <x:f>IF(AN571&lt;&gt;"Yes","Not logged",IF(AL571&gt;='Setup'!$B$14,"STOP / MODIFY",IF(Z571=0,"Complete",IF(OR(AO571=0,AK571=""),"Add set data + RIR",IF(AND(MAX(AB571,AD571,AF571,AH571,AJ571)&gt;=P571,AK571&gt;=Q571+1),"Progress",IF(OR(MAX(AB571,AD571,AF571,AH571,AJ571)&lt;O571,AK571&lt;Q571-1),"Regress","Hold"))))))</x:f>
        <x:v>Not logged</x:v>
      </x:c>
      <x:c r="AT571" s="335" t="n">
        <x:f>IF(OR(Z571=0,AN571&lt;&gt;"Yes",AO571=0,AK571=""),0,IF(AL571&gt;='Setup'!$B$14,-2*'Setup'!$B$11,IF(AND(MAX(AB571,AD571,AF571,AH571,AJ571)&gt;=P571,AK571&gt;=Q571+1),'Setup'!$B$10,IF(OR(MAX(AB571,AD571,AF571,AH571,AJ571)&lt;O571,AK571&lt;Q571-1),-'Setup'!$B$11,0))))</x:f>
        <x:v>0</x:v>
      </x:c>
      <x:c r="AU571" s="333" t="n">
        <x:f>IF(Z571=0,0,IF(AN571&lt;&gt;"Yes",Z571,IF(COUNT(AA571,AC571,AE571,AG571,AI571)=0,Z571,ROUND((MAX(AA571,AC571,AE571,AG571,AI571)*(1+AT571))/'Setup'!$B$9,0)*'Setup'!$B$9)))</x:f>
        <x:v>0</x:v>
      </x:c>
      <x:c r="AV571" s="336"/>
    </x:row>
    <x:row r="572">
      <x:c r="A572" s="310" t="n">
        <x:f>'Setup'!$B$3+(C572-1)*7+(D572-1)</x:f>
        <x:v>46315</x:v>
      </x:c>
      <x:c r="B572" s="311" t="str">
        <x:v>11|2|6</x:v>
      </x:c>
      <x:c r="C572" s="311" t="n">
        <x:v>11</x:v>
      </x:c>
      <x:c r="D572" s="311" t="n">
        <x:v>2</x:v>
      </x:c>
      <x:c r="E572" s="311" t="str">
        <x:v>Realization</x:v>
      </x:c>
      <x:c r="F572" s="311" t="str">
        <x:v>Back + Triceps</x:v>
      </x:c>
      <x:c r="G572" s="311" t="str">
        <x:v>High-volume back with triceps isolation</x:v>
      </x:c>
      <x:c r="H572" s="311" t="n">
        <x:v>6</x:v>
      </x:c>
      <x:c r="I572" s="311" t="str">
        <x:v>Dumbbell Lateral Raise</x:v>
      </x:c>
      <x:c r="J572" s="311" t="str">
        <x:v>Hypertrophy</x:v>
      </x:c>
      <x:c r="K572" s="311" t="str">
        <x:v>Shoulders</x:v>
      </x:c>
      <x:c r="L572" s="311" t="str">
        <x:v>Mechanical drop on final set only</x:v>
      </x:c>
      <x:c r="M572" s="311" t="str"/>
      <x:c r="N572" s="311" t="n">
        <x:v>4</x:v>
      </x:c>
      <x:c r="O572" s="311" t="n">
        <x:v>12</x:v>
      </x:c>
      <x:c r="P572" s="311" t="n">
        <x:v>20</x:v>
      </x:c>
      <x:c r="Q572" s="311" t="n">
        <x:v>1</x:v>
      </x:c>
      <x:c r="R572" s="311" t="n">
        <x:v>45</x:v>
      </x:c>
      <x:c r="S572" s="311" t="str">
        <x:v>2-1-2</x:v>
      </x:c>
      <x:c r="T572" s="330" t="n">
        <x:v>1</x:v>
      </x:c>
      <x:c r="U572" s="330" t="n">
        <x:v>0</x:v>
      </x:c>
      <x:c r="V572" s="331" t="str">
        <x:v>load × reps</x:v>
      </x:c>
      <x:c r="W572" s="332" t="str">
        <x:f>'Readiness'!K68</x:f>
      </x:c>
      <x:c r="X572" s="314" t="n">
        <x:f>'Readiness'!L68</x:f>
        <x:v>1</x:v>
      </x:c>
      <x:c r="Y572" s="315" t="n">
        <x:f>IF(J572="Mobility",N572,MAX(1,ROUND(N572*X572,0)))</x:f>
        <x:v>4</x:v>
      </x:c>
      <x:c r="Z572" s="333" t="n">
        <x:f>ROUND((IF(AU516&gt;0,AU516,IF(Z516&gt;0,Z516,'Setup'!$D$39))*T572)/'Setup'!$B$9,0)*'Setup'!$B$9</x:f>
        <x:v>0</x:v>
      </x:c>
      <x:c r="AA572" s="334"/>
      <x:c r="AB572" s="334"/>
      <x:c r="AC572" s="334"/>
      <x:c r="AD572" s="334"/>
      <x:c r="AE572" s="334"/>
      <x:c r="AF572" s="334"/>
      <x:c r="AG572" s="334"/>
      <x:c r="AH572" s="334"/>
      <x:c r="AI572" s="334"/>
      <x:c r="AJ572" s="312"/>
      <x:c r="AK572" s="312"/>
      <x:c r="AL572" s="312"/>
      <x:c r="AM572" s="312"/>
      <x:c r="AN572" s="312"/>
      <x:c r="AO572" s="315" t="n">
        <x:f>COUNT(AB572,AD572,AF572,AH572,AJ572)</x:f>
        <x:v>0</x:v>
      </x:c>
      <x:c r="AP572" s="315" t="n">
        <x:f>SUM(AB572,AD572,AF572,AH572,AJ572)</x:f>
        <x:v>0</x:v>
      </x:c>
      <x:c r="AQ572" s="333" t="n">
        <x:f>AA572*AB572+AC572*AD572+AE572*AF572+AG572*AH572+AI572*AJ572</x:f>
        <x:v>0</x:v>
      </x:c>
      <x:c r="AR572" s="333" t="n">
        <x:f>IF(OR(J572="Strength",J572="Hypertrophy"),MAX(IF(AB572&gt;0,AA572*(1+AB572/30),0),IF(AD572&gt;0,AC572*(1+AD572/30),0),IF(AF572&gt;0,AE572*(1+AF572/30),0),IF(AH572&gt;0,AG572*(1+AH572/30),0),IF(AJ572&gt;0,AI572*(1+AJ572/30),0)),0)</x:f>
        <x:v>0</x:v>
      </x:c>
      <x:c r="AS572" s="315" t="str">
        <x:f>IF(AN572&lt;&gt;"Yes","Not logged",IF(AL572&gt;='Setup'!$B$14,"STOP / MODIFY",IF(Z572=0,"Complete",IF(OR(AO572=0,AK572=""),"Add set data + RIR",IF(AND(MAX(AB572,AD572,AF572,AH572,AJ572)&gt;=P572,AK572&gt;=Q572+1),"Progress",IF(OR(MAX(AB572,AD572,AF572,AH572,AJ572)&lt;O572,AK572&lt;Q572-1),"Regress","Hold"))))))</x:f>
        <x:v>Not logged</x:v>
      </x:c>
      <x:c r="AT572" s="335" t="n">
        <x:f>IF(OR(Z572=0,AN572&lt;&gt;"Yes",AO572=0,AK572=""),0,IF(AL572&gt;='Setup'!$B$14,-2*'Setup'!$B$11,IF(AND(MAX(AB572,AD572,AF572,AH572,AJ572)&gt;=P572,AK572&gt;=Q572+1),'Setup'!$B$10,IF(OR(MAX(AB572,AD572,AF572,AH572,AJ572)&lt;O572,AK572&lt;Q572-1),-'Setup'!$B$11,0))))</x:f>
        <x:v>0</x:v>
      </x:c>
      <x:c r="AU572" s="333" t="n">
        <x:f>IF(Z572=0,0,IF(AN572&lt;&gt;"Yes",Z572,IF(COUNT(AA572,AC572,AE572,AG572,AI572)=0,Z572,ROUND((MAX(AA572,AC572,AE572,AG572,AI572)*(1+AT572))/'Setup'!$B$9,0)*'Setup'!$B$9)))</x:f>
        <x:v>0</x:v>
      </x:c>
      <x:c r="AV572" s="336"/>
    </x:row>
    <x:row r="573">
      <x:c r="A573" s="310" t="n">
        <x:f>'Setup'!$B$3+(C573-1)*7+(D573-1)</x:f>
        <x:v>46315</x:v>
      </x:c>
      <x:c r="B573" s="311" t="str">
        <x:v>11|2|7</x:v>
      </x:c>
      <x:c r="C573" s="311" t="n">
        <x:v>11</x:v>
      </x:c>
      <x:c r="D573" s="311" t="n">
        <x:v>2</x:v>
      </x:c>
      <x:c r="E573" s="311" t="str">
        <x:v>Realization</x:v>
      </x:c>
      <x:c r="F573" s="311" t="str">
        <x:v>Back + Triceps</x:v>
      </x:c>
      <x:c r="G573" s="311" t="str">
        <x:v>High-volume back with triceps isolation</x:v>
      </x:c>
      <x:c r="H573" s="311" t="n">
        <x:v>7</x:v>
      </x:c>
      <x:c r="I573" s="311" t="str">
        <x:v>Overhead Cable Triceps Extension</x:v>
      </x:c>
      <x:c r="J573" s="311" t="str">
        <x:v>Hypertrophy</x:v>
      </x:c>
      <x:c r="K573" s="311" t="str">
        <x:v>Triceps</x:v>
      </x:c>
      <x:c r="L573" s="311" t="str">
        <x:v>Straight sets</x:v>
      </x:c>
      <x:c r="M573" s="311" t="str"/>
      <x:c r="N573" s="311" t="n">
        <x:v>3</x:v>
      </x:c>
      <x:c r="O573" s="311" t="n">
        <x:v>10</x:v>
      </x:c>
      <x:c r="P573" s="311" t="n">
        <x:v>15</x:v>
      </x:c>
      <x:c r="Q573" s="311" t="n">
        <x:v>1</x:v>
      </x:c>
      <x:c r="R573" s="311" t="n">
        <x:v>60</x:v>
      </x:c>
      <x:c r="S573" s="311" t="str">
        <x:v>3-0-1</x:v>
      </x:c>
      <x:c r="T573" s="330" t="n">
        <x:v>1</x:v>
      </x:c>
      <x:c r="U573" s="330" t="n">
        <x:v>0</x:v>
      </x:c>
      <x:c r="V573" s="331" t="str">
        <x:v>load × reps</x:v>
      </x:c>
      <x:c r="W573" s="332" t="str">
        <x:f>'Readiness'!K68</x:f>
      </x:c>
      <x:c r="X573" s="314" t="n">
        <x:f>'Readiness'!L68</x:f>
        <x:v>1</x:v>
      </x:c>
      <x:c r="Y573" s="315" t="n">
        <x:f>IF(J573="Mobility",N573,MAX(1,ROUND(N573*X573,0)))</x:f>
        <x:v>3</x:v>
      </x:c>
      <x:c r="Z573" s="333" t="n">
        <x:f>ROUND((IF(AU517&gt;0,AU517,IF(Z517&gt;0,Z517,'Setup'!$D$69))*T573)/'Setup'!$B$9,0)*'Setup'!$B$9</x:f>
        <x:v>0</x:v>
      </x:c>
      <x:c r="AA573" s="334"/>
      <x:c r="AB573" s="334"/>
      <x:c r="AC573" s="334"/>
      <x:c r="AD573" s="334"/>
      <x:c r="AE573" s="334"/>
      <x:c r="AF573" s="334"/>
      <x:c r="AG573" s="334"/>
      <x:c r="AH573" s="334"/>
      <x:c r="AI573" s="334"/>
      <x:c r="AJ573" s="312"/>
      <x:c r="AK573" s="312"/>
      <x:c r="AL573" s="312"/>
      <x:c r="AM573" s="312"/>
      <x:c r="AN573" s="312"/>
      <x:c r="AO573" s="315" t="n">
        <x:f>COUNT(AB573,AD573,AF573,AH573,AJ573)</x:f>
        <x:v>0</x:v>
      </x:c>
      <x:c r="AP573" s="315" t="n">
        <x:f>SUM(AB573,AD573,AF573,AH573,AJ573)</x:f>
        <x:v>0</x:v>
      </x:c>
      <x:c r="AQ573" s="333" t="n">
        <x:f>AA573*AB573+AC573*AD573+AE573*AF573+AG573*AH573+AI573*AJ573</x:f>
        <x:v>0</x:v>
      </x:c>
      <x:c r="AR573" s="333" t="n">
        <x:f>IF(OR(J573="Strength",J573="Hypertrophy"),MAX(IF(AB573&gt;0,AA573*(1+AB573/30),0),IF(AD573&gt;0,AC573*(1+AD573/30),0),IF(AF573&gt;0,AE573*(1+AF573/30),0),IF(AH573&gt;0,AG573*(1+AH573/30),0),IF(AJ573&gt;0,AI573*(1+AJ573/30),0)),0)</x:f>
        <x:v>0</x:v>
      </x:c>
      <x:c r="AS573" s="315" t="str">
        <x:f>IF(AN573&lt;&gt;"Yes","Not logged",IF(AL573&gt;='Setup'!$B$14,"STOP / MODIFY",IF(Z573=0,"Complete",IF(OR(AO573=0,AK573=""),"Add set data + RIR",IF(AND(MAX(AB573,AD573,AF573,AH573,AJ573)&gt;=P573,AK573&gt;=Q573+1),"Progress",IF(OR(MAX(AB573,AD573,AF573,AH573,AJ573)&lt;O573,AK573&lt;Q573-1),"Regress","Hold"))))))</x:f>
        <x:v>Not logged</x:v>
      </x:c>
      <x:c r="AT573" s="335" t="n">
        <x:f>IF(OR(Z573=0,AN573&lt;&gt;"Yes",AO573=0,AK573=""),0,IF(AL573&gt;='Setup'!$B$14,-2*'Setup'!$B$11,IF(AND(MAX(AB573,AD573,AF573,AH573,AJ573)&gt;=P573,AK573&gt;=Q573+1),'Setup'!$B$10,IF(OR(MAX(AB573,AD573,AF573,AH573,AJ573)&lt;O573,AK573&lt;Q573-1),-'Setup'!$B$11,0))))</x:f>
        <x:v>0</x:v>
      </x:c>
      <x:c r="AU573" s="333" t="n">
        <x:f>IF(Z573=0,0,IF(AN573&lt;&gt;"Yes",Z573,IF(COUNT(AA573,AC573,AE573,AG573,AI573)=0,Z573,ROUND((MAX(AA573,AC573,AE573,AG573,AI573)*(1+AT573))/'Setup'!$B$9,0)*'Setup'!$B$9)))</x:f>
        <x:v>0</x:v>
      </x:c>
      <x:c r="AV573" s="336"/>
    </x:row>
    <x:row r="574">
      <x:c r="A574" s="310" t="n">
        <x:f>'Setup'!$B$3+(C574-1)*7+(D574-1)</x:f>
        <x:v>46315</x:v>
      </x:c>
      <x:c r="B574" s="311" t="str">
        <x:v>11|2|8</x:v>
      </x:c>
      <x:c r="C574" s="311" t="n">
        <x:v>11</x:v>
      </x:c>
      <x:c r="D574" s="311" t="n">
        <x:v>2</x:v>
      </x:c>
      <x:c r="E574" s="311" t="str">
        <x:v>Realization</x:v>
      </x:c>
      <x:c r="F574" s="311" t="str">
        <x:v>Back + Triceps</x:v>
      </x:c>
      <x:c r="G574" s="311" t="str">
        <x:v>High-volume back with triceps isolation</x:v>
      </x:c>
      <x:c r="H574" s="311" t="n">
        <x:v>8</x:v>
      </x:c>
      <x:c r="I574" s="311" t="str">
        <x:v>Triceps Pressdown</x:v>
      </x:c>
      <x:c r="J574" s="311" t="str">
        <x:v>Hypertrophy</x:v>
      </x:c>
      <x:c r="K574" s="311" t="str">
        <x:v>Triceps</x:v>
      </x:c>
      <x:c r="L574" s="311" t="str">
        <x:v>Final-set drop, reduce 20–25% once</x:v>
      </x:c>
      <x:c r="M574" s="311" t="str"/>
      <x:c r="N574" s="311" t="n">
        <x:v>3</x:v>
      </x:c>
      <x:c r="O574" s="311" t="n">
        <x:v>12</x:v>
      </x:c>
      <x:c r="P574" s="311" t="n">
        <x:v>15</x:v>
      </x:c>
      <x:c r="Q574" s="311" t="n">
        <x:v>1</x:v>
      </x:c>
      <x:c r="R574" s="311" t="n">
        <x:v>60</x:v>
      </x:c>
      <x:c r="S574" s="311" t="str">
        <x:v>2-1-1</x:v>
      </x:c>
      <x:c r="T574" s="330" t="n">
        <x:v>1</x:v>
      </x:c>
      <x:c r="U574" s="330" t="n">
        <x:v>0</x:v>
      </x:c>
      <x:c r="V574" s="331" t="str">
        <x:v>load × reps</x:v>
      </x:c>
      <x:c r="W574" s="332" t="str">
        <x:f>'Readiness'!K68</x:f>
      </x:c>
      <x:c r="X574" s="314" t="n">
        <x:f>'Readiness'!L68</x:f>
        <x:v>1</x:v>
      </x:c>
      <x:c r="Y574" s="315" t="n">
        <x:f>IF(J574="Mobility",N574,MAX(1,ROUND(N574*X574,0)))</x:f>
        <x:v>3</x:v>
      </x:c>
      <x:c r="Z574" s="333" t="n">
        <x:f>ROUND((IF(AU518&gt;0,AU518,IF(Z518&gt;0,Z518,'Setup'!$D$92))*T574)/'Setup'!$B$9,0)*'Setup'!$B$9</x:f>
        <x:v>0</x:v>
      </x:c>
      <x:c r="AA574" s="334"/>
      <x:c r="AB574" s="334"/>
      <x:c r="AC574" s="334"/>
      <x:c r="AD574" s="334"/>
      <x:c r="AE574" s="334"/>
      <x:c r="AF574" s="334"/>
      <x:c r="AG574" s="334"/>
      <x:c r="AH574" s="334"/>
      <x:c r="AI574" s="334"/>
      <x:c r="AJ574" s="312"/>
      <x:c r="AK574" s="312"/>
      <x:c r="AL574" s="312"/>
      <x:c r="AM574" s="312"/>
      <x:c r="AN574" s="312"/>
      <x:c r="AO574" s="315" t="n">
        <x:f>COUNT(AB574,AD574,AF574,AH574,AJ574)</x:f>
        <x:v>0</x:v>
      </x:c>
      <x:c r="AP574" s="315" t="n">
        <x:f>SUM(AB574,AD574,AF574,AH574,AJ574)</x:f>
        <x:v>0</x:v>
      </x:c>
      <x:c r="AQ574" s="333" t="n">
        <x:f>AA574*AB574+AC574*AD574+AE574*AF574+AG574*AH574+AI574*AJ574</x:f>
        <x:v>0</x:v>
      </x:c>
      <x:c r="AR574" s="333" t="n">
        <x:f>IF(OR(J574="Strength",J574="Hypertrophy"),MAX(IF(AB574&gt;0,AA574*(1+AB574/30),0),IF(AD574&gt;0,AC574*(1+AD574/30),0),IF(AF574&gt;0,AE574*(1+AF574/30),0),IF(AH574&gt;0,AG574*(1+AH574/30),0),IF(AJ574&gt;0,AI574*(1+AJ574/30),0)),0)</x:f>
        <x:v>0</x:v>
      </x:c>
      <x:c r="AS574" s="315" t="str">
        <x:f>IF(AN574&lt;&gt;"Yes","Not logged",IF(AL574&gt;='Setup'!$B$14,"STOP / MODIFY",IF(Z574=0,"Complete",IF(OR(AO574=0,AK574=""),"Add set data + RIR",IF(AND(MAX(AB574,AD574,AF574,AH574,AJ574)&gt;=P574,AK574&gt;=Q574+1),"Progress",IF(OR(MAX(AB574,AD574,AF574,AH574,AJ574)&lt;O574,AK574&lt;Q574-1),"Regress","Hold"))))))</x:f>
        <x:v>Not logged</x:v>
      </x:c>
      <x:c r="AT574" s="335" t="n">
        <x:f>IF(OR(Z574=0,AN574&lt;&gt;"Yes",AO574=0,AK574=""),0,IF(AL574&gt;='Setup'!$B$14,-2*'Setup'!$B$11,IF(AND(MAX(AB574,AD574,AF574,AH574,AJ574)&gt;=P574,AK574&gt;=Q574+1),'Setup'!$B$10,IF(OR(MAX(AB574,AD574,AF574,AH574,AJ574)&lt;O574,AK574&lt;Q574-1),-'Setup'!$B$11,0))))</x:f>
        <x:v>0</x:v>
      </x:c>
      <x:c r="AU574" s="333" t="n">
        <x:f>IF(Z574=0,0,IF(AN574&lt;&gt;"Yes",Z574,IF(COUNT(AA574,AC574,AE574,AG574,AI574)=0,Z574,ROUND((MAX(AA574,AC574,AE574,AG574,AI574)*(1+AT574))/'Setup'!$B$9,0)*'Setup'!$B$9)))</x:f>
        <x:v>0</x:v>
      </x:c>
      <x:c r="AV574" s="336"/>
    </x:row>
    <x:row r="575">
      <x:c r="A575" s="310" t="n">
        <x:f>'Setup'!$B$3+(C575-1)*7+(D575-1)</x:f>
        <x:v>46315</x:v>
      </x:c>
      <x:c r="B575" s="311" t="str">
        <x:v>11|2|9</x:v>
      </x:c>
      <x:c r="C575" s="311" t="n">
        <x:v>11</x:v>
      </x:c>
      <x:c r="D575" s="311" t="n">
        <x:v>2</x:v>
      </x:c>
      <x:c r="E575" s="311" t="str">
        <x:v>Realization</x:v>
      </x:c>
      <x:c r="F575" s="311" t="str">
        <x:v>Back + Triceps</x:v>
      </x:c>
      <x:c r="G575" s="311" t="str">
        <x:v>High-volume back with triceps isolation</x:v>
      </x:c>
      <x:c r="H575" s="311" t="n">
        <x:v>9</x:v>
      </x:c>
      <x:c r="I575" s="311" t="str">
        <x:v>SkiErg Power Intervals</x:v>
      </x:c>
      <x:c r="J575" s="311" t="str">
        <x:v>Athletic</x:v>
      </x:c>
      <x:c r="K575" s="311" t="str">
        <x:v>Full Body</x:v>
      </x:c>
      <x:c r="L575" s="311" t="str">
        <x:v>15 s hard / 45 s easy</x:v>
      </x:c>
      <x:c r="M575" s="311" t="str"/>
      <x:c r="N575" s="311" t="n">
        <x:v>6</x:v>
      </x:c>
      <x:c r="O575" s="311" t="n">
        <x:v>15</x:v>
      </x:c>
      <x:c r="P575" s="311" t="n">
        <x:v>15</x:v>
      </x:c>
      <x:c r="Q575" s="311" t="n">
        <x:v>2</x:v>
      </x:c>
      <x:c r="R575" s="311" t="n">
        <x:v>45</x:v>
      </x:c>
      <x:c r="S575" s="311" t="str">
        <x:v>Powerful</x:v>
      </x:c>
      <x:c r="T575" s="330" t="n">
        <x:v>1</x:v>
      </x:c>
      <x:c r="U575" s="330" t="n">
        <x:v>0</x:v>
      </x:c>
      <x:c r="V575" s="331" t="str">
        <x:v>watts / meters</x:v>
      </x:c>
      <x:c r="W575" s="332" t="str">
        <x:f>'Readiness'!K68</x:f>
      </x:c>
      <x:c r="X575" s="314" t="n">
        <x:f>'Readiness'!L68</x:f>
        <x:v>1</x:v>
      </x:c>
      <x:c r="Y575" s="315" t="n">
        <x:f>IF(J575="Mobility",N575,MAX(1,ROUND(N575*X575,0)))</x:f>
        <x:v>6</x:v>
      </x:c>
      <x:c r="Z575" s="333" t="n">
        <x:f>0</x:f>
        <x:v>0</x:v>
      </x:c>
      <x:c r="AA575" s="334"/>
      <x:c r="AB575" s="334"/>
      <x:c r="AC575" s="334"/>
      <x:c r="AD575" s="334"/>
      <x:c r="AE575" s="334"/>
      <x:c r="AF575" s="334"/>
      <x:c r="AG575" s="334"/>
      <x:c r="AH575" s="334"/>
      <x:c r="AI575" s="334"/>
      <x:c r="AJ575" s="312"/>
      <x:c r="AK575" s="312"/>
      <x:c r="AL575" s="312"/>
      <x:c r="AM575" s="312"/>
      <x:c r="AN575" s="312"/>
      <x:c r="AO575" s="315" t="n">
        <x:f>COUNT(AB575,AD575,AF575,AH575,AJ575)</x:f>
        <x:v>0</x:v>
      </x:c>
      <x:c r="AP575" s="315" t="n">
        <x:f>SUM(AB575,AD575,AF575,AH575,AJ575)</x:f>
        <x:v>0</x:v>
      </x:c>
      <x:c r="AQ575" s="333" t="n">
        <x:f>AA575*AB575+AC575*AD575+AE575*AF575+AG575*AH575+AI575*AJ575</x:f>
        <x:v>0</x:v>
      </x:c>
      <x:c r="AR575" s="333" t="n">
        <x:f>IF(OR(J575="Strength",J575="Hypertrophy"),MAX(IF(AB575&gt;0,AA575*(1+AB575/30),0),IF(AD575&gt;0,AC575*(1+AD575/30),0),IF(AF575&gt;0,AE575*(1+AF575/30),0),IF(AH575&gt;0,AG575*(1+AH575/30),0),IF(AJ575&gt;0,AI575*(1+AJ575/30),0)),0)</x:f>
        <x:v>0</x:v>
      </x:c>
      <x:c r="AS575" s="315" t="str">
        <x:f>IF(AN575&lt;&gt;"Yes","Not logged",IF(AL575&gt;='Setup'!$B$14,"STOP / MODIFY",IF(Z575=0,"Complete",IF(OR(AO575=0,AK575=""),"Add set data + RIR",IF(AND(MAX(AB575,AD575,AF575,AH575,AJ575)&gt;=P575,AK575&gt;=Q575+1),"Progress",IF(OR(MAX(AB575,AD575,AF575,AH575,AJ575)&lt;O575,AK575&lt;Q575-1),"Regress","Hold"))))))</x:f>
        <x:v>Not logged</x:v>
      </x:c>
      <x:c r="AT575" s="335" t="n">
        <x:f>IF(OR(Z575=0,AN575&lt;&gt;"Yes",AO575=0,AK575=""),0,IF(AL575&gt;='Setup'!$B$14,-2*'Setup'!$B$11,IF(AND(MAX(AB575,AD575,AF575,AH575,AJ575)&gt;=P575,AK575&gt;=Q575+1),'Setup'!$B$10,IF(OR(MAX(AB575,AD575,AF575,AH575,AJ575)&lt;O575,AK575&lt;Q575-1),-'Setup'!$B$11,0))))</x:f>
        <x:v>0</x:v>
      </x:c>
      <x:c r="AU575" s="333" t="n">
        <x:f>IF(Z575=0,0,IF(AN575&lt;&gt;"Yes",Z575,IF(COUNT(AA575,AC575,AE575,AG575,AI575)=0,Z575,ROUND((MAX(AA575,AC575,AE575,AG575,AI575)*(1+AT575))/'Setup'!$B$9,0)*'Setup'!$B$9)))</x:f>
        <x:v>0</x:v>
      </x:c>
      <x:c r="AV575" s="336"/>
    </x:row>
    <x:row r="576">
      <x:c r="A576" s="310" t="n">
        <x:f>'Setup'!$B$3+(C576-1)*7+(D576-1)</x:f>
        <x:v>46315</x:v>
      </x:c>
      <x:c r="B576" s="311" t="str">
        <x:v>11|2|10</x:v>
      </x:c>
      <x:c r="C576" s="311" t="n">
        <x:v>11</x:v>
      </x:c>
      <x:c r="D576" s="311" t="n">
        <x:v>2</x:v>
      </x:c>
      <x:c r="E576" s="311" t="str">
        <x:v>Realization</x:v>
      </x:c>
      <x:c r="F576" s="311" t="str">
        <x:v>Back + Triceps</x:v>
      </x:c>
      <x:c r="G576" s="311" t="str">
        <x:v>High-volume back with triceps isolation</x:v>
      </x:c>
      <x:c r="H576" s="311" t="n">
        <x:v>10</x:v>
      </x:c>
      <x:c r="I576" s="311" t="str">
        <x:v>Open-Book Thoracic Rotation</x:v>
      </x:c>
      <x:c r="J576" s="311" t="str">
        <x:v>Mobility</x:v>
      </x:c>
      <x:c r="K576" s="311" t="str">
        <x:v>Thoracic</x:v>
      </x:c>
      <x:c r="L576" s="311" t="str">
        <x:v>Controlled mobility</x:v>
      </x:c>
      <x:c r="M576" s="311" t="str"/>
      <x:c r="N576" s="311" t="n">
        <x:v>2</x:v>
      </x:c>
      <x:c r="O576" s="311" t="n">
        <x:v>6</x:v>
      </x:c>
      <x:c r="P576" s="311" t="n">
        <x:v>10</x:v>
      </x:c>
      <x:c r="Q576" s="311" t="str"/>
      <x:c r="R576" s="311" t="n">
        <x:v>20</x:v>
      </x:c>
      <x:c r="S576" s="311" t="str">
        <x:v>Slow</x:v>
      </x:c>
      <x:c r="T576" s="330" t="n">
        <x:v>1</x:v>
      </x:c>
      <x:c r="U576" s="330" t="n">
        <x:v>0</x:v>
      </x:c>
      <x:c r="V576" s="331" t="str">
        <x:v>reps</x:v>
      </x:c>
      <x:c r="W576" s="332" t="str">
        <x:f>'Readiness'!K68</x:f>
      </x:c>
      <x:c r="X576" s="314" t="n">
        <x:f>'Readiness'!L68</x:f>
        <x:v>1</x:v>
      </x:c>
      <x:c r="Y576" s="315" t="n">
        <x:f>IF(J576="Mobility",N576,MAX(1,ROUND(N576*X576,0)))</x:f>
        <x:v>2</x:v>
      </x:c>
      <x:c r="Z576" s="333" t="n">
        <x:f>0</x:f>
        <x:v>0</x:v>
      </x:c>
      <x:c r="AA576" s="334"/>
      <x:c r="AB576" s="334"/>
      <x:c r="AC576" s="334"/>
      <x:c r="AD576" s="334"/>
      <x:c r="AE576" s="334"/>
      <x:c r="AF576" s="334"/>
      <x:c r="AG576" s="334"/>
      <x:c r="AH576" s="334"/>
      <x:c r="AI576" s="334"/>
      <x:c r="AJ576" s="312"/>
      <x:c r="AK576" s="312"/>
      <x:c r="AL576" s="312"/>
      <x:c r="AM576" s="312"/>
      <x:c r="AN576" s="312"/>
      <x:c r="AO576" s="315" t="n">
        <x:f>COUNT(AB576,AD576,AF576,AH576,AJ576)</x:f>
        <x:v>0</x:v>
      </x:c>
      <x:c r="AP576" s="315" t="n">
        <x:f>SUM(AB576,AD576,AF576,AH576,AJ576)</x:f>
        <x:v>0</x:v>
      </x:c>
      <x:c r="AQ576" s="333" t="n">
        <x:f>AA576*AB576+AC576*AD576+AE576*AF576+AG576*AH576+AI576*AJ576</x:f>
        <x:v>0</x:v>
      </x:c>
      <x:c r="AR576" s="333" t="n">
        <x:f>IF(OR(J576="Strength",J576="Hypertrophy"),MAX(IF(AB576&gt;0,AA576*(1+AB576/30),0),IF(AD576&gt;0,AC576*(1+AD576/30),0),IF(AF576&gt;0,AE576*(1+AF576/30),0),IF(AH576&gt;0,AG576*(1+AH576/30),0),IF(AJ576&gt;0,AI576*(1+AJ576/30),0)),0)</x:f>
        <x:v>0</x:v>
      </x:c>
      <x:c r="AS576" s="315" t="str">
        <x:f>IF(AN576&lt;&gt;"Yes","Not logged",IF(AL576&gt;='Setup'!$B$14,"STOP / MODIFY",IF(Z576=0,"Complete",IF(OR(AO576=0,AK576=""),"Add set data + RIR",IF(AND(MAX(AB576,AD576,AF576,AH576,AJ576)&gt;=P576,AK576&gt;=Q576+1),"Progress",IF(OR(MAX(AB576,AD576,AF576,AH576,AJ576)&lt;O576,AK576&lt;Q576-1),"Regress","Hold"))))))</x:f>
        <x:v>Not logged</x:v>
      </x:c>
      <x:c r="AT576" s="335" t="n">
        <x:f>IF(OR(Z576=0,AN576&lt;&gt;"Yes",AO576=0,AK576=""),0,IF(AL576&gt;='Setup'!$B$14,-2*'Setup'!$B$11,IF(AND(MAX(AB576,AD576,AF576,AH576,AJ576)&gt;=P576,AK576&gt;=Q576+1),'Setup'!$B$10,IF(OR(MAX(AB576,AD576,AF576,AH576,AJ576)&lt;O576,AK576&lt;Q576-1),-'Setup'!$B$11,0))))</x:f>
        <x:v>0</x:v>
      </x:c>
      <x:c r="AU576" s="333" t="n">
        <x:f>IF(Z576=0,0,IF(AN576&lt;&gt;"Yes",Z576,IF(COUNT(AA576,AC576,AE576,AG576,AI576)=0,Z576,ROUND((MAX(AA576,AC576,AE576,AG576,AI576)*(1+AT576))/'Setup'!$B$9,0)*'Setup'!$B$9)))</x:f>
        <x:v>0</x:v>
      </x:c>
      <x:c r="AV576" s="336"/>
    </x:row>
    <x:row r="577">
      <x:c r="A577" s="310" t="n">
        <x:f>'Setup'!$B$3+(C577-1)*7+(D577-1)</x:f>
        <x:v>46316</x:v>
      </x:c>
      <x:c r="B577" s="311" t="str">
        <x:v>11|3|1</x:v>
      </x:c>
      <x:c r="C577" s="311" t="n">
        <x:v>11</x:v>
      </x:c>
      <x:c r="D577" s="311" t="n">
        <x:v>3</x:v>
      </x:c>
      <x:c r="E577" s="311" t="str">
        <x:v>Realization</x:v>
      </x:c>
      <x:c r="F577" s="311" t="str">
        <x:v>Upper Power + Bench</x:v>
      </x:c>
      <x:c r="G577" s="311" t="str">
        <x:v>Bench strength and upper-body power</x:v>
      </x:c>
      <x:c r="H577" s="311" t="n">
        <x:v>1</x:v>
      </x:c>
      <x:c r="I577" s="311" t="str">
        <x:v>Medicine Ball Chest Pass</x:v>
      </x:c>
      <x:c r="J577" s="311" t="str">
        <x:v>Power</x:v>
      </x:c>
      <x:c r="K577" s="311" t="str">
        <x:v>Chest</x:v>
      </x:c>
      <x:c r="L577" s="311" t="str">
        <x:v>Max intent, full reset</x:v>
      </x:c>
      <x:c r="M577" s="311" t="str"/>
      <x:c r="N577" s="311" t="n">
        <x:v>4</x:v>
      </x:c>
      <x:c r="O577" s="311" t="n">
        <x:v>3</x:v>
      </x:c>
      <x:c r="P577" s="311" t="n">
        <x:v>3</x:v>
      </x:c>
      <x:c r="Q577" s="311" t="n">
        <x:v>2</x:v>
      </x:c>
      <x:c r="R577" s="311" t="n">
        <x:v>60</x:v>
      </x:c>
      <x:c r="S577" s="311" t="str">
        <x:v>Explosive</x:v>
      </x:c>
      <x:c r="T577" s="330" t="n">
        <x:v>1</x:v>
      </x:c>
      <x:c r="U577" s="330" t="n">
        <x:v>0</x:v>
      </x:c>
      <x:c r="V577" s="331" t="str">
        <x:v>throw quality</x:v>
      </x:c>
      <x:c r="W577" s="332" t="str">
        <x:f>'Readiness'!K69</x:f>
      </x:c>
      <x:c r="X577" s="314" t="n">
        <x:f>'Readiness'!L69</x:f>
        <x:v>1</x:v>
      </x:c>
      <x:c r="Y577" s="315" t="n">
        <x:f>IF(J577="Mobility",N577,MAX(1,ROUND(N577*X577,0)))</x:f>
        <x:v>4</x:v>
      </x:c>
      <x:c r="Z577" s="333" t="n">
        <x:f>0</x:f>
        <x:v>0</x:v>
      </x:c>
      <x:c r="AA577" s="334"/>
      <x:c r="AB577" s="334"/>
      <x:c r="AC577" s="334"/>
      <x:c r="AD577" s="334"/>
      <x:c r="AE577" s="334"/>
      <x:c r="AF577" s="334"/>
      <x:c r="AG577" s="334"/>
      <x:c r="AH577" s="334"/>
      <x:c r="AI577" s="334"/>
      <x:c r="AJ577" s="312"/>
      <x:c r="AK577" s="312"/>
      <x:c r="AL577" s="312"/>
      <x:c r="AM577" s="312"/>
      <x:c r="AN577" s="312"/>
      <x:c r="AO577" s="315" t="n">
        <x:f>COUNT(AB577,AD577,AF577,AH577,AJ577)</x:f>
        <x:v>0</x:v>
      </x:c>
      <x:c r="AP577" s="315" t="n">
        <x:f>SUM(AB577,AD577,AF577,AH577,AJ577)</x:f>
        <x:v>0</x:v>
      </x:c>
      <x:c r="AQ577" s="333" t="n">
        <x:f>AA577*AB577+AC577*AD577+AE577*AF577+AG577*AH577+AI577*AJ577</x:f>
        <x:v>0</x:v>
      </x:c>
      <x:c r="AR577" s="333" t="n">
        <x:f>IF(OR(J577="Strength",J577="Hypertrophy"),MAX(IF(AB577&gt;0,AA577*(1+AB577/30),0),IF(AD577&gt;0,AC577*(1+AD577/30),0),IF(AF577&gt;0,AE577*(1+AF577/30),0),IF(AH577&gt;0,AG577*(1+AH577/30),0),IF(AJ577&gt;0,AI577*(1+AJ577/30),0)),0)</x:f>
        <x:v>0</x:v>
      </x:c>
      <x:c r="AS577" s="315" t="str">
        <x:f>IF(AN577&lt;&gt;"Yes","Not logged",IF(AL577&gt;='Setup'!$B$14,"STOP / MODIFY",IF(Z577=0,"Complete",IF(OR(AO577=0,AK577=""),"Add set data + RIR",IF(AND(MAX(AB577,AD577,AF577,AH577,AJ577)&gt;=P577,AK577&gt;=Q577+1),"Progress",IF(OR(MAX(AB577,AD577,AF577,AH577,AJ577)&lt;O577,AK577&lt;Q577-1),"Regress","Hold"))))))</x:f>
        <x:v>Not logged</x:v>
      </x:c>
      <x:c r="AT577" s="335" t="n">
        <x:f>IF(OR(Z577=0,AN577&lt;&gt;"Yes",AO577=0,AK577=""),0,IF(AL577&gt;='Setup'!$B$14,-2*'Setup'!$B$11,IF(AND(MAX(AB577,AD577,AF577,AH577,AJ577)&gt;=P577,AK577&gt;=Q577+1),'Setup'!$B$10,IF(OR(MAX(AB577,AD577,AF577,AH577,AJ577)&lt;O577,AK577&lt;Q577-1),-'Setup'!$B$11,0))))</x:f>
        <x:v>0</x:v>
      </x:c>
      <x:c r="AU577" s="333" t="n">
        <x:f>IF(Z577=0,0,IF(AN577&lt;&gt;"Yes",Z577,IF(COUNT(AA577,AC577,AE577,AG577,AI577)=0,Z577,ROUND((MAX(AA577,AC577,AE577,AG577,AI577)*(1+AT577))/'Setup'!$B$9,0)*'Setup'!$B$9)))</x:f>
        <x:v>0</x:v>
      </x:c>
      <x:c r="AV577" s="336"/>
    </x:row>
    <x:row r="578">
      <x:c r="A578" s="310" t="n">
        <x:f>'Setup'!$B$3+(C578-1)*7+(D578-1)</x:f>
        <x:v>46316</x:v>
      </x:c>
      <x:c r="B578" s="311" t="str">
        <x:v>11|3|2</x:v>
      </x:c>
      <x:c r="C578" s="311" t="n">
        <x:v>11</x:v>
      </x:c>
      <x:c r="D578" s="311" t="n">
        <x:v>3</x:v>
      </x:c>
      <x:c r="E578" s="311" t="str">
        <x:v>Realization</x:v>
      </x:c>
      <x:c r="F578" s="311" t="str">
        <x:v>Upper Power + Bench</x:v>
      </x:c>
      <x:c r="G578" s="311" t="str">
        <x:v>Bench strength and upper-body power</x:v>
      </x:c>
      <x:c r="H578" s="311" t="n">
        <x:v>2</x:v>
      </x:c>
      <x:c r="I578" s="311" t="str">
        <x:v>Bench Press</x:v>
      </x:c>
      <x:c r="J578" s="311" t="str">
        <x:v>Strength</x:v>
      </x:c>
      <x:c r="K578" s="311" t="str">
        <x:v>Chest</x:v>
      </x:c>
      <x:c r="L578" s="311" t="str">
        <x:v>Top set + back-offs</x:v>
      </x:c>
      <x:c r="M578" s="311" t="str"/>
      <x:c r="N578" s="311" t="n">
        <x:v>4</x:v>
      </x:c>
      <x:c r="O578" s="311" t="n">
        <x:v>3</x:v>
      </x:c>
      <x:c r="P578" s="311" t="n">
        <x:v>5</x:v>
      </x:c>
      <x:c r="Q578" s="311" t="n">
        <x:v>1</x:v>
      </x:c>
      <x:c r="R578" s="311" t="n">
        <x:v>180</x:v>
      </x:c>
      <x:c r="S578" s="311" t="str">
        <x:v>2-0-X</x:v>
      </x:c>
      <x:c r="T578" s="330" t="n">
        <x:v>1</x:v>
      </x:c>
      <x:c r="U578" s="330" t="n">
        <x:v>0.82</x:v>
      </x:c>
      <x:c r="V578" s="331" t="str">
        <x:v>load × reps</x:v>
      </x:c>
      <x:c r="W578" s="332" t="str">
        <x:f>'Readiness'!K69</x:f>
      </x:c>
      <x:c r="X578" s="314" t="n">
        <x:f>'Readiness'!L69</x:f>
        <x:v>1</x:v>
      </x:c>
      <x:c r="Y578" s="315" t="n">
        <x:f>IF(J578="Mobility",N578,MAX(1,ROUND(N578*X578,0)))</x:f>
        <x:v>4</x:v>
      </x:c>
      <x:c r="Z578" s="333" t="n">
        <x:f>ROUND((IF(AU522&gt;0,AU522,IF(Z522&gt;0,Z522,'Setup'!$D$27))*T578)/'Setup'!$B$9,0)*'Setup'!$B$9</x:f>
        <x:v>0</x:v>
      </x:c>
      <x:c r="AA578" s="334"/>
      <x:c r="AB578" s="334"/>
      <x:c r="AC578" s="334"/>
      <x:c r="AD578" s="334"/>
      <x:c r="AE578" s="334"/>
      <x:c r="AF578" s="334"/>
      <x:c r="AG578" s="334"/>
      <x:c r="AH578" s="334"/>
      <x:c r="AI578" s="334"/>
      <x:c r="AJ578" s="312"/>
      <x:c r="AK578" s="312"/>
      <x:c r="AL578" s="312"/>
      <x:c r="AM578" s="312"/>
      <x:c r="AN578" s="312"/>
      <x:c r="AO578" s="315" t="n">
        <x:f>COUNT(AB578,AD578,AF578,AH578,AJ578)</x:f>
        <x:v>0</x:v>
      </x:c>
      <x:c r="AP578" s="315" t="n">
        <x:f>SUM(AB578,AD578,AF578,AH578,AJ578)</x:f>
        <x:v>0</x:v>
      </x:c>
      <x:c r="AQ578" s="333" t="n">
        <x:f>AA578*AB578+AC578*AD578+AE578*AF578+AG578*AH578+AI578*AJ578</x:f>
        <x:v>0</x:v>
      </x:c>
      <x:c r="AR578" s="333" t="n">
        <x:f>IF(OR(J578="Strength",J578="Hypertrophy"),MAX(IF(AB578&gt;0,AA578*(1+AB578/30),0),IF(AD578&gt;0,AC578*(1+AD578/30),0),IF(AF578&gt;0,AE578*(1+AF578/30),0),IF(AH578&gt;0,AG578*(1+AH578/30),0),IF(AJ578&gt;0,AI578*(1+AJ578/30),0)),0)</x:f>
        <x:v>0</x:v>
      </x:c>
      <x:c r="AS578" s="315" t="str">
        <x:f>IF(AN578&lt;&gt;"Yes","Not logged",IF(AL578&gt;='Setup'!$B$14,"STOP / MODIFY",IF(Z578=0,"Complete",IF(OR(AO578=0,AK578=""),"Add set data + RIR",IF(AND(MAX(AB578,AD578,AF578,AH578,AJ578)&gt;=P578,AK578&gt;=Q578+1),"Progress",IF(OR(MAX(AB578,AD578,AF578,AH578,AJ578)&lt;O578,AK578&lt;Q578-1),"Regress","Hold"))))))</x:f>
        <x:v>Not logged</x:v>
      </x:c>
      <x:c r="AT578" s="335" t="n">
        <x:f>IF(OR(Z578=0,AN578&lt;&gt;"Yes",AO578=0,AK578=""),0,IF(AL578&gt;='Setup'!$B$14,-2*'Setup'!$B$11,IF(AND(MAX(AB578,AD578,AF578,AH578,AJ578)&gt;=P578,AK578&gt;=Q578+1),'Setup'!$B$10,IF(OR(MAX(AB578,AD578,AF578,AH578,AJ578)&lt;O578,AK578&lt;Q578-1),-'Setup'!$B$11,0))))</x:f>
        <x:v>0</x:v>
      </x:c>
      <x:c r="AU578" s="333" t="n">
        <x:f>IF(Z578=0,0,IF(AN578&lt;&gt;"Yes",Z578,IF(COUNT(AA578,AC578,AE578,AG578,AI578)=0,Z578,ROUND((MAX(AA578,AC578,AE578,AG578,AI578)*(1+AT578))/'Setup'!$B$9,0)*'Setup'!$B$9)))</x:f>
        <x:v>0</x:v>
      </x:c>
      <x:c r="AV578" s="336"/>
    </x:row>
    <x:row r="579">
      <x:c r="A579" s="310" t="n">
        <x:f>'Setup'!$B$3+(C579-1)*7+(D579-1)</x:f>
        <x:v>46316</x:v>
      </x:c>
      <x:c r="B579" s="311" t="str">
        <x:v>11|3|3</x:v>
      </x:c>
      <x:c r="C579" s="311" t="n">
        <x:v>11</x:v>
      </x:c>
      <x:c r="D579" s="311" t="n">
        <x:v>3</x:v>
      </x:c>
      <x:c r="E579" s="311" t="str">
        <x:v>Realization</x:v>
      </x:c>
      <x:c r="F579" s="311" t="str">
        <x:v>Upper Power + Bench</x:v>
      </x:c>
      <x:c r="G579" s="311" t="str">
        <x:v>Bench strength and upper-body power</x:v>
      </x:c>
      <x:c r="H579" s="311" t="n">
        <x:v>3</x:v>
      </x:c>
      <x:c r="I579" s="311" t="str">
        <x:v>Speed Bench Press</x:v>
      </x:c>
      <x:c r="J579" s="311" t="str">
        <x:v>Power</x:v>
      </x:c>
      <x:c r="K579" s="311" t="str">
        <x:v>Chest</x:v>
      </x:c>
      <x:c r="L579" s="311" t="str">
        <x:v>Speed sets, stop if bar slows</x:v>
      </x:c>
      <x:c r="M579" s="311" t="str"/>
      <x:c r="N579" s="311" t="n">
        <x:v>5</x:v>
      </x:c>
      <x:c r="O579" s="311" t="n">
        <x:v>3</x:v>
      </x:c>
      <x:c r="P579" s="311" t="n">
        <x:v>3</x:v>
      </x:c>
      <x:c r="Q579" s="311" t="n">
        <x:v>2</x:v>
      </x:c>
      <x:c r="R579" s="311" t="n">
        <x:v>60</x:v>
      </x:c>
      <x:c r="S579" s="311" t="str">
        <x:v>1-0-X</x:v>
      </x:c>
      <x:c r="T579" s="330" t="n">
        <x:v>1</x:v>
      </x:c>
      <x:c r="U579" s="330" t="n">
        <x:v>0.55</x:v>
      </x:c>
      <x:c r="V579" s="331" t="str">
        <x:v>load × reps</x:v>
      </x:c>
      <x:c r="W579" s="332" t="str">
        <x:f>'Readiness'!K69</x:f>
      </x:c>
      <x:c r="X579" s="314" t="n">
        <x:f>'Readiness'!L69</x:f>
        <x:v>1</x:v>
      </x:c>
      <x:c r="Y579" s="315" t="n">
        <x:f>IF(J579="Mobility",N579,MAX(1,ROUND(N579*X579,0)))</x:f>
        <x:v>5</x:v>
      </x:c>
      <x:c r="Z579" s="333" t="n">
        <x:f>ROUND((IF(AU523&gt;0,AU523,IF(Z523&gt;0,Z523,'Setup'!$D$89))*T579)/'Setup'!$B$9,0)*'Setup'!$B$9</x:f>
        <x:v>0</x:v>
      </x:c>
      <x:c r="AA579" s="334"/>
      <x:c r="AB579" s="334"/>
      <x:c r="AC579" s="334"/>
      <x:c r="AD579" s="334"/>
      <x:c r="AE579" s="334"/>
      <x:c r="AF579" s="334"/>
      <x:c r="AG579" s="334"/>
      <x:c r="AH579" s="334"/>
      <x:c r="AI579" s="334"/>
      <x:c r="AJ579" s="312"/>
      <x:c r="AK579" s="312"/>
      <x:c r="AL579" s="312"/>
      <x:c r="AM579" s="312"/>
      <x:c r="AN579" s="312"/>
      <x:c r="AO579" s="315" t="n">
        <x:f>COUNT(AB579,AD579,AF579,AH579,AJ579)</x:f>
        <x:v>0</x:v>
      </x:c>
      <x:c r="AP579" s="315" t="n">
        <x:f>SUM(AB579,AD579,AF579,AH579,AJ579)</x:f>
        <x:v>0</x:v>
      </x:c>
      <x:c r="AQ579" s="333" t="n">
        <x:f>AA579*AB579+AC579*AD579+AE579*AF579+AG579*AH579+AI579*AJ579</x:f>
        <x:v>0</x:v>
      </x:c>
      <x:c r="AR579" s="333" t="n">
        <x:f>IF(OR(J579="Strength",J579="Hypertrophy"),MAX(IF(AB579&gt;0,AA579*(1+AB579/30),0),IF(AD579&gt;0,AC579*(1+AD579/30),0),IF(AF579&gt;0,AE579*(1+AF579/30),0),IF(AH579&gt;0,AG579*(1+AH579/30),0),IF(AJ579&gt;0,AI579*(1+AJ579/30),0)),0)</x:f>
        <x:v>0</x:v>
      </x:c>
      <x:c r="AS579" s="315" t="str">
        <x:f>IF(AN579&lt;&gt;"Yes","Not logged",IF(AL579&gt;='Setup'!$B$14,"STOP / MODIFY",IF(Z579=0,"Complete",IF(OR(AO579=0,AK579=""),"Add set data + RIR",IF(AND(MAX(AB579,AD579,AF579,AH579,AJ579)&gt;=P579,AK579&gt;=Q579+1),"Progress",IF(OR(MAX(AB579,AD579,AF579,AH579,AJ579)&lt;O579,AK579&lt;Q579-1),"Regress","Hold"))))))</x:f>
        <x:v>Not logged</x:v>
      </x:c>
      <x:c r="AT579" s="335" t="n">
        <x:f>IF(OR(Z579=0,AN579&lt;&gt;"Yes",AO579=0,AK579=""),0,IF(AL579&gt;='Setup'!$B$14,-2*'Setup'!$B$11,IF(AND(MAX(AB579,AD579,AF579,AH579,AJ579)&gt;=P579,AK579&gt;=Q579+1),'Setup'!$B$10,IF(OR(MAX(AB579,AD579,AF579,AH579,AJ579)&lt;O579,AK579&lt;Q579-1),-'Setup'!$B$11,0))))</x:f>
        <x:v>0</x:v>
      </x:c>
      <x:c r="AU579" s="333" t="n">
        <x:f>IF(Z579=0,0,IF(AN579&lt;&gt;"Yes",Z579,IF(COUNT(AA579,AC579,AE579,AG579,AI579)=0,Z579,ROUND((MAX(AA579,AC579,AE579,AG579,AI579)*(1+AT579))/'Setup'!$B$9,0)*'Setup'!$B$9)))</x:f>
        <x:v>0</x:v>
      </x:c>
      <x:c r="AV579" s="336"/>
    </x:row>
    <x:row r="580">
      <x:c r="A580" s="310" t="n">
        <x:f>'Setup'!$B$3+(C580-1)*7+(D580-1)</x:f>
        <x:v>46316</x:v>
      </x:c>
      <x:c r="B580" s="311" t="str">
        <x:v>11|3|4</x:v>
      </x:c>
      <x:c r="C580" s="311" t="n">
        <x:v>11</x:v>
      </x:c>
      <x:c r="D580" s="311" t="n">
        <x:v>3</x:v>
      </x:c>
      <x:c r="E580" s="311" t="str">
        <x:v>Realization</x:v>
      </x:c>
      <x:c r="F580" s="311" t="str">
        <x:v>Upper Power + Bench</x:v>
      </x:c>
      <x:c r="G580" s="311" t="str">
        <x:v>Bench strength and upper-body power</x:v>
      </x:c>
      <x:c r="H580" s="311" t="n">
        <x:v>4</x:v>
      </x:c>
      <x:c r="I580" s="311" t="str">
        <x:v>Weighted Pull-Up</x:v>
      </x:c>
      <x:c r="J580" s="311" t="str">
        <x:v>Strength</x:v>
      </x:c>
      <x:c r="K580" s="311" t="str">
        <x:v>Back</x:v>
      </x:c>
      <x:c r="L580" s="311" t="str">
        <x:v>Straight sets</x:v>
      </x:c>
      <x:c r="M580" s="311" t="str"/>
      <x:c r="N580" s="311" t="n">
        <x:v>4</x:v>
      </x:c>
      <x:c r="O580" s="311" t="n">
        <x:v>4</x:v>
      </x:c>
      <x:c r="P580" s="311" t="n">
        <x:v>6</x:v>
      </x:c>
      <x:c r="Q580" s="311" t="n">
        <x:v>1</x:v>
      </x:c>
      <x:c r="R580" s="311" t="n">
        <x:v>150</x:v>
      </x:c>
      <x:c r="S580" s="311" t="str">
        <x:v>2-1-X</x:v>
      </x:c>
      <x:c r="T580" s="330" t="n">
        <x:v>1</x:v>
      </x:c>
      <x:c r="U580" s="330" t="n">
        <x:v>0</x:v>
      </x:c>
      <x:c r="V580" s="331" t="str">
        <x:v>load × reps</x:v>
      </x:c>
      <x:c r="W580" s="332" t="str">
        <x:f>'Readiness'!K69</x:f>
      </x:c>
      <x:c r="X580" s="314" t="n">
        <x:f>'Readiness'!L69</x:f>
        <x:v>1</x:v>
      </x:c>
      <x:c r="Y580" s="315" t="n">
        <x:f>IF(J580="Mobility",N580,MAX(1,ROUND(N580*X580,0)))</x:f>
        <x:v>4</x:v>
      </x:c>
      <x:c r="Z580" s="333" t="n">
        <x:f>ROUND((IF(AU524&gt;0,AU524,IF(Z524&gt;0,Z524,'Setup'!$D$94))*T580)/'Setup'!$B$9,0)*'Setup'!$B$9</x:f>
        <x:v>0</x:v>
      </x:c>
      <x:c r="AA580" s="334"/>
      <x:c r="AB580" s="334"/>
      <x:c r="AC580" s="334"/>
      <x:c r="AD580" s="334"/>
      <x:c r="AE580" s="334"/>
      <x:c r="AF580" s="334"/>
      <x:c r="AG580" s="334"/>
      <x:c r="AH580" s="334"/>
      <x:c r="AI580" s="334"/>
      <x:c r="AJ580" s="312"/>
      <x:c r="AK580" s="312"/>
      <x:c r="AL580" s="312"/>
      <x:c r="AM580" s="312"/>
      <x:c r="AN580" s="312"/>
      <x:c r="AO580" s="315" t="n">
        <x:f>COUNT(AB580,AD580,AF580,AH580,AJ580)</x:f>
        <x:v>0</x:v>
      </x:c>
      <x:c r="AP580" s="315" t="n">
        <x:f>SUM(AB580,AD580,AF580,AH580,AJ580)</x:f>
        <x:v>0</x:v>
      </x:c>
      <x:c r="AQ580" s="333" t="n">
        <x:f>AA580*AB580+AC580*AD580+AE580*AF580+AG580*AH580+AI580*AJ580</x:f>
        <x:v>0</x:v>
      </x:c>
      <x:c r="AR580" s="333" t="n">
        <x:f>IF(OR(J580="Strength",J580="Hypertrophy"),MAX(IF(AB580&gt;0,AA580*(1+AB580/30),0),IF(AD580&gt;0,AC580*(1+AD580/30),0),IF(AF580&gt;0,AE580*(1+AF580/30),0),IF(AH580&gt;0,AG580*(1+AH580/30),0),IF(AJ580&gt;0,AI580*(1+AJ580/30),0)),0)</x:f>
        <x:v>0</x:v>
      </x:c>
      <x:c r="AS580" s="315" t="str">
        <x:f>IF(AN580&lt;&gt;"Yes","Not logged",IF(AL580&gt;='Setup'!$B$14,"STOP / MODIFY",IF(Z580=0,"Complete",IF(OR(AO580=0,AK580=""),"Add set data + RIR",IF(AND(MAX(AB580,AD580,AF580,AH580,AJ580)&gt;=P580,AK580&gt;=Q580+1),"Progress",IF(OR(MAX(AB580,AD580,AF580,AH580,AJ580)&lt;O580,AK580&lt;Q580-1),"Regress","Hold"))))))</x:f>
        <x:v>Not logged</x:v>
      </x:c>
      <x:c r="AT580" s="335" t="n">
        <x:f>IF(OR(Z580=0,AN580&lt;&gt;"Yes",AO580=0,AK580=""),0,IF(AL580&gt;='Setup'!$B$14,-2*'Setup'!$B$11,IF(AND(MAX(AB580,AD580,AF580,AH580,AJ580)&gt;=P580,AK580&gt;=Q580+1),'Setup'!$B$10,IF(OR(MAX(AB580,AD580,AF580,AH580,AJ580)&lt;O580,AK580&lt;Q580-1),-'Setup'!$B$11,0))))</x:f>
        <x:v>0</x:v>
      </x:c>
      <x:c r="AU580" s="333" t="n">
        <x:f>IF(Z580=0,0,IF(AN580&lt;&gt;"Yes",Z580,IF(COUNT(AA580,AC580,AE580,AG580,AI580)=0,Z580,ROUND((MAX(AA580,AC580,AE580,AG580,AI580)*(1+AT580))/'Setup'!$B$9,0)*'Setup'!$B$9)))</x:f>
        <x:v>0</x:v>
      </x:c>
      <x:c r="AV580" s="336"/>
    </x:row>
    <x:row r="581">
      <x:c r="A581" s="310" t="n">
        <x:f>'Setup'!$B$3+(C581-1)*7+(D581-1)</x:f>
        <x:v>46316</x:v>
      </x:c>
      <x:c r="B581" s="311" t="str">
        <x:v>11|3|5</x:v>
      </x:c>
      <x:c r="C581" s="311" t="n">
        <x:v>11</x:v>
      </x:c>
      <x:c r="D581" s="311" t="n">
        <x:v>3</x:v>
      </x:c>
      <x:c r="E581" s="311" t="str">
        <x:v>Realization</x:v>
      </x:c>
      <x:c r="F581" s="311" t="str">
        <x:v>Upper Power + Bench</x:v>
      </x:c>
      <x:c r="G581" s="311" t="str">
        <x:v>Bench strength and upper-body power</x:v>
      </x:c>
      <x:c r="H581" s="311" t="n">
        <x:v>5</x:v>
      </x:c>
      <x:c r="I581" s="311" t="str">
        <x:v>Push Press</x:v>
      </x:c>
      <x:c r="J581" s="311" t="str">
        <x:v>Power</x:v>
      </x:c>
      <x:c r="K581" s="311" t="str">
        <x:v>Shoulders</x:v>
      </x:c>
      <x:c r="L581" s="311" t="str">
        <x:v>Cluster 2+2+1 with 15 s intra-set</x:v>
      </x:c>
      <x:c r="M581" s="311" t="str"/>
      <x:c r="N581" s="311" t="n">
        <x:v>4</x:v>
      </x:c>
      <x:c r="O581" s="311" t="n">
        <x:v>3</x:v>
      </x:c>
      <x:c r="P581" s="311" t="n">
        <x:v>5</x:v>
      </x:c>
      <x:c r="Q581" s="311" t="n">
        <x:v>2</x:v>
      </x:c>
      <x:c r="R581" s="311" t="n">
        <x:v>120</x:v>
      </x:c>
      <x:c r="S581" s="311" t="str">
        <x:v>Dip-X</x:v>
      </x:c>
      <x:c r="T581" s="330" t="n">
        <x:v>1</x:v>
      </x:c>
      <x:c r="U581" s="330" t="n">
        <x:v>0.68</x:v>
      </x:c>
      <x:c r="V581" s="331" t="str">
        <x:v>load × reps</x:v>
      </x:c>
      <x:c r="W581" s="332" t="str">
        <x:f>'Readiness'!K69</x:f>
      </x:c>
      <x:c r="X581" s="314" t="n">
        <x:f>'Readiness'!L69</x:f>
        <x:v>1</x:v>
      </x:c>
      <x:c r="Y581" s="315" t="n">
        <x:f>IF(J581="Mobility",N581,MAX(1,ROUND(N581*X581,0)))</x:f>
        <x:v>4</x:v>
      </x:c>
      <x:c r="Z581" s="333" t="n">
        <x:f>ROUND((IF(AU525&gt;0,AU525,IF(Z525&gt;0,Z525,'Setup'!$D$77))*T581)/'Setup'!$B$9,0)*'Setup'!$B$9</x:f>
        <x:v>0</x:v>
      </x:c>
      <x:c r="AA581" s="334"/>
      <x:c r="AB581" s="334"/>
      <x:c r="AC581" s="334"/>
      <x:c r="AD581" s="334"/>
      <x:c r="AE581" s="334"/>
      <x:c r="AF581" s="334"/>
      <x:c r="AG581" s="334"/>
      <x:c r="AH581" s="334"/>
      <x:c r="AI581" s="334"/>
      <x:c r="AJ581" s="312"/>
      <x:c r="AK581" s="312"/>
      <x:c r="AL581" s="312"/>
      <x:c r="AM581" s="312"/>
      <x:c r="AN581" s="312"/>
      <x:c r="AO581" s="315" t="n">
        <x:f>COUNT(AB581,AD581,AF581,AH581,AJ581)</x:f>
        <x:v>0</x:v>
      </x:c>
      <x:c r="AP581" s="315" t="n">
        <x:f>SUM(AB581,AD581,AF581,AH581,AJ581)</x:f>
        <x:v>0</x:v>
      </x:c>
      <x:c r="AQ581" s="333" t="n">
        <x:f>AA581*AB581+AC581*AD581+AE581*AF581+AG581*AH581+AI581*AJ581</x:f>
        <x:v>0</x:v>
      </x:c>
      <x:c r="AR581" s="333" t="n">
        <x:f>IF(OR(J581="Strength",J581="Hypertrophy"),MAX(IF(AB581&gt;0,AA581*(1+AB581/30),0),IF(AD581&gt;0,AC581*(1+AD581/30),0),IF(AF581&gt;0,AE581*(1+AF581/30),0),IF(AH581&gt;0,AG581*(1+AH581/30),0),IF(AJ581&gt;0,AI581*(1+AJ581/30),0)),0)</x:f>
        <x:v>0</x:v>
      </x:c>
      <x:c r="AS581" s="315" t="str">
        <x:f>IF(AN581&lt;&gt;"Yes","Not logged",IF(AL581&gt;='Setup'!$B$14,"STOP / MODIFY",IF(Z581=0,"Complete",IF(OR(AO581=0,AK581=""),"Add set data + RIR",IF(AND(MAX(AB581,AD581,AF581,AH581,AJ581)&gt;=P581,AK581&gt;=Q581+1),"Progress",IF(OR(MAX(AB581,AD581,AF581,AH581,AJ581)&lt;O581,AK581&lt;Q581-1),"Regress","Hold"))))))</x:f>
        <x:v>Not logged</x:v>
      </x:c>
      <x:c r="AT581" s="335" t="n">
        <x:f>IF(OR(Z581=0,AN581&lt;&gt;"Yes",AO581=0,AK581=""),0,IF(AL581&gt;='Setup'!$B$14,-2*'Setup'!$B$11,IF(AND(MAX(AB581,AD581,AF581,AH581,AJ581)&gt;=P581,AK581&gt;=Q581+1),'Setup'!$B$10,IF(OR(MAX(AB581,AD581,AF581,AH581,AJ581)&lt;O581,AK581&lt;Q581-1),-'Setup'!$B$11,0))))</x:f>
        <x:v>0</x:v>
      </x:c>
      <x:c r="AU581" s="333" t="n">
        <x:f>IF(Z581=0,0,IF(AN581&lt;&gt;"Yes",Z581,IF(COUNT(AA581,AC581,AE581,AG581,AI581)=0,Z581,ROUND((MAX(AA581,AC581,AE581,AG581,AI581)*(1+AT581))/'Setup'!$B$9,0)*'Setup'!$B$9)))</x:f>
        <x:v>0</x:v>
      </x:c>
      <x:c r="AV581" s="336"/>
    </x:row>
    <x:row r="582">
      <x:c r="A582" s="310" t="n">
        <x:f>'Setup'!$B$3+(C582-1)*7+(D582-1)</x:f>
        <x:v>46316</x:v>
      </x:c>
      <x:c r="B582" s="311" t="str">
        <x:v>11|3|6</x:v>
      </x:c>
      <x:c r="C582" s="311" t="n">
        <x:v>11</x:v>
      </x:c>
      <x:c r="D582" s="311" t="n">
        <x:v>3</x:v>
      </x:c>
      <x:c r="E582" s="311" t="str">
        <x:v>Realization</x:v>
      </x:c>
      <x:c r="F582" s="311" t="str">
        <x:v>Upper Power + Bench</x:v>
      </x:c>
      <x:c r="G582" s="311" t="str">
        <x:v>Bench strength and upper-body power</x:v>
      </x:c>
      <x:c r="H582" s="311" t="n">
        <x:v>6</x:v>
      </x:c>
      <x:c r="I582" s="311" t="str">
        <x:v>Chest-Supported Dumbbell Row</x:v>
      </x:c>
      <x:c r="J582" s="311" t="str">
        <x:v>Strength</x:v>
      </x:c>
      <x:c r="K582" s="311" t="str">
        <x:v>Back</x:v>
      </x:c>
      <x:c r="L582" s="311" t="str">
        <x:v>Straight sets</x:v>
      </x:c>
      <x:c r="M582" s="311" t="str"/>
      <x:c r="N582" s="311" t="n">
        <x:v>3</x:v>
      </x:c>
      <x:c r="O582" s="311" t="n">
        <x:v>6</x:v>
      </x:c>
      <x:c r="P582" s="311" t="n">
        <x:v>8</x:v>
      </x:c>
      <x:c r="Q582" s="311" t="n">
        <x:v>1</x:v>
      </x:c>
      <x:c r="R582" s="311" t="n">
        <x:v>90</x:v>
      </x:c>
      <x:c r="S582" s="311" t="str">
        <x:v>2-1-1</x:v>
      </x:c>
      <x:c r="T582" s="330" t="n">
        <x:v>1</x:v>
      </x:c>
      <x:c r="U582" s="330" t="n">
        <x:v>0</x:v>
      </x:c>
      <x:c r="V582" s="331" t="str">
        <x:v>load × reps</x:v>
      </x:c>
      <x:c r="W582" s="332" t="str">
        <x:f>'Readiness'!K69</x:f>
      </x:c>
      <x:c r="X582" s="314" t="n">
        <x:f>'Readiness'!L69</x:f>
        <x:v>1</x:v>
      </x:c>
      <x:c r="Y582" s="315" t="n">
        <x:f>IF(J582="Mobility",N582,MAX(1,ROUND(N582*X582,0)))</x:f>
        <x:v>3</x:v>
      </x:c>
      <x:c r="Z582" s="333" t="n">
        <x:f>ROUND((IF(AU526&gt;0,AU526,IF(Z526&gt;0,Z526,'Setup'!$D$34))*T582)/'Setup'!$B$9,0)*'Setup'!$B$9</x:f>
        <x:v>0</x:v>
      </x:c>
      <x:c r="AA582" s="334"/>
      <x:c r="AB582" s="334"/>
      <x:c r="AC582" s="334"/>
      <x:c r="AD582" s="334"/>
      <x:c r="AE582" s="334"/>
      <x:c r="AF582" s="334"/>
      <x:c r="AG582" s="334"/>
      <x:c r="AH582" s="334"/>
      <x:c r="AI582" s="334"/>
      <x:c r="AJ582" s="312"/>
      <x:c r="AK582" s="312"/>
      <x:c r="AL582" s="312"/>
      <x:c r="AM582" s="312"/>
      <x:c r="AN582" s="312"/>
      <x:c r="AO582" s="315" t="n">
        <x:f>COUNT(AB582,AD582,AF582,AH582,AJ582)</x:f>
        <x:v>0</x:v>
      </x:c>
      <x:c r="AP582" s="315" t="n">
        <x:f>SUM(AB582,AD582,AF582,AH582,AJ582)</x:f>
        <x:v>0</x:v>
      </x:c>
      <x:c r="AQ582" s="333" t="n">
        <x:f>AA582*AB582+AC582*AD582+AE582*AF582+AG582*AH582+AI582*AJ582</x:f>
        <x:v>0</x:v>
      </x:c>
      <x:c r="AR582" s="333" t="n">
        <x:f>IF(OR(J582="Strength",J582="Hypertrophy"),MAX(IF(AB582&gt;0,AA582*(1+AB582/30),0),IF(AD582&gt;0,AC582*(1+AD582/30),0),IF(AF582&gt;0,AE582*(1+AF582/30),0),IF(AH582&gt;0,AG582*(1+AH582/30),0),IF(AJ582&gt;0,AI582*(1+AJ582/30),0)),0)</x:f>
        <x:v>0</x:v>
      </x:c>
      <x:c r="AS582" s="315" t="str">
        <x:f>IF(AN582&lt;&gt;"Yes","Not logged",IF(AL582&gt;='Setup'!$B$14,"STOP / MODIFY",IF(Z582=0,"Complete",IF(OR(AO582=0,AK582=""),"Add set data + RIR",IF(AND(MAX(AB582,AD582,AF582,AH582,AJ582)&gt;=P582,AK582&gt;=Q582+1),"Progress",IF(OR(MAX(AB582,AD582,AF582,AH582,AJ582)&lt;O582,AK582&lt;Q582-1),"Regress","Hold"))))))</x:f>
        <x:v>Not logged</x:v>
      </x:c>
      <x:c r="AT582" s="335" t="n">
        <x:f>IF(OR(Z582=0,AN582&lt;&gt;"Yes",AO582=0,AK582=""),0,IF(AL582&gt;='Setup'!$B$14,-2*'Setup'!$B$11,IF(AND(MAX(AB582,AD582,AF582,AH582,AJ582)&gt;=P582,AK582&gt;=Q582+1),'Setup'!$B$10,IF(OR(MAX(AB582,AD582,AF582,AH582,AJ582)&lt;O582,AK582&lt;Q582-1),-'Setup'!$B$11,0))))</x:f>
        <x:v>0</x:v>
      </x:c>
      <x:c r="AU582" s="333" t="n">
        <x:f>IF(Z582=0,0,IF(AN582&lt;&gt;"Yes",Z582,IF(COUNT(AA582,AC582,AE582,AG582,AI582)=0,Z582,ROUND((MAX(AA582,AC582,AE582,AG582,AI582)*(1+AT582))/'Setup'!$B$9,0)*'Setup'!$B$9)))</x:f>
        <x:v>0</x:v>
      </x:c>
      <x:c r="AV582" s="336"/>
    </x:row>
    <x:row r="583">
      <x:c r="A583" s="310" t="n">
        <x:f>'Setup'!$B$3+(C583-1)*7+(D583-1)</x:f>
        <x:v>46316</x:v>
      </x:c>
      <x:c r="B583" s="311" t="str">
        <x:v>11|3|7</x:v>
      </x:c>
      <x:c r="C583" s="311" t="n">
        <x:v>11</x:v>
      </x:c>
      <x:c r="D583" s="311" t="n">
        <x:v>3</x:v>
      </x:c>
      <x:c r="E583" s="311" t="str">
        <x:v>Realization</x:v>
      </x:c>
      <x:c r="F583" s="311" t="str">
        <x:v>Upper Power + Bench</x:v>
      </x:c>
      <x:c r="G583" s="311" t="str">
        <x:v>Bench strength and upper-body power</x:v>
      </x:c>
      <x:c r="H583" s="311" t="n">
        <x:v>7</x:v>
      </x:c>
      <x:c r="I583" s="311" t="str">
        <x:v>Cable Lateral Raise</x:v>
      </x:c>
      <x:c r="J583" s="311" t="str">
        <x:v>Hypertrophy</x:v>
      </x:c>
      <x:c r="K583" s="311" t="str">
        <x:v>Shoulders</x:v>
      </x:c>
      <x:c r="L583" s="311" t="str">
        <x:v>Straight sets</x:v>
      </x:c>
      <x:c r="M583" s="311" t="str"/>
      <x:c r="N583" s="311" t="n">
        <x:v>3</x:v>
      </x:c>
      <x:c r="O583" s="311" t="n">
        <x:v>12</x:v>
      </x:c>
      <x:c r="P583" s="311" t="n">
        <x:v>20</x:v>
      </x:c>
      <x:c r="Q583" s="311" t="n">
        <x:v>1</x:v>
      </x:c>
      <x:c r="R583" s="311" t="n">
        <x:v>45</x:v>
      </x:c>
      <x:c r="S583" s="311" t="str">
        <x:v>2-1-2</x:v>
      </x:c>
      <x:c r="T583" s="330" t="n">
        <x:v>1</x:v>
      </x:c>
      <x:c r="U583" s="330" t="n">
        <x:v>0</x:v>
      </x:c>
      <x:c r="V583" s="331" t="str">
        <x:v>load × reps</x:v>
      </x:c>
      <x:c r="W583" s="332" t="str">
        <x:f>'Readiness'!K69</x:f>
      </x:c>
      <x:c r="X583" s="314" t="n">
        <x:f>'Readiness'!L69</x:f>
        <x:v>1</x:v>
      </x:c>
      <x:c r="Y583" s="315" t="n">
        <x:f>IF(J583="Mobility",N583,MAX(1,ROUND(N583*X583,0)))</x:f>
        <x:v>3</x:v>
      </x:c>
      <x:c r="Z583" s="333" t="n">
        <x:f>ROUND((IF(AU543&gt;0,AU543,IF(Z543&gt;0,Z543,'Setup'!$D$33))*T583)/'Setup'!$B$9,0)*'Setup'!$B$9</x:f>
        <x:v>0</x:v>
      </x:c>
      <x:c r="AA583" s="334"/>
      <x:c r="AB583" s="334"/>
      <x:c r="AC583" s="334"/>
      <x:c r="AD583" s="334"/>
      <x:c r="AE583" s="334"/>
      <x:c r="AF583" s="334"/>
      <x:c r="AG583" s="334"/>
      <x:c r="AH583" s="334"/>
      <x:c r="AI583" s="334"/>
      <x:c r="AJ583" s="312"/>
      <x:c r="AK583" s="312"/>
      <x:c r="AL583" s="312"/>
      <x:c r="AM583" s="312"/>
      <x:c r="AN583" s="312"/>
      <x:c r="AO583" s="315" t="n">
        <x:f>COUNT(AB583,AD583,AF583,AH583,AJ583)</x:f>
        <x:v>0</x:v>
      </x:c>
      <x:c r="AP583" s="315" t="n">
        <x:f>SUM(AB583,AD583,AF583,AH583,AJ583)</x:f>
        <x:v>0</x:v>
      </x:c>
      <x:c r="AQ583" s="333" t="n">
        <x:f>AA583*AB583+AC583*AD583+AE583*AF583+AG583*AH583+AI583*AJ583</x:f>
        <x:v>0</x:v>
      </x:c>
      <x:c r="AR583" s="333" t="n">
        <x:f>IF(OR(J583="Strength",J583="Hypertrophy"),MAX(IF(AB583&gt;0,AA583*(1+AB583/30),0),IF(AD583&gt;0,AC583*(1+AD583/30),0),IF(AF583&gt;0,AE583*(1+AF583/30),0),IF(AH583&gt;0,AG583*(1+AH583/30),0),IF(AJ583&gt;0,AI583*(1+AJ583/30),0)),0)</x:f>
        <x:v>0</x:v>
      </x:c>
      <x:c r="AS583" s="315" t="str">
        <x:f>IF(AN583&lt;&gt;"Yes","Not logged",IF(AL583&gt;='Setup'!$B$14,"STOP / MODIFY",IF(Z583=0,"Complete",IF(OR(AO583=0,AK583=""),"Add set data + RIR",IF(AND(MAX(AB583,AD583,AF583,AH583,AJ583)&gt;=P583,AK583&gt;=Q583+1),"Progress",IF(OR(MAX(AB583,AD583,AF583,AH583,AJ583)&lt;O583,AK583&lt;Q583-1),"Regress","Hold"))))))</x:f>
        <x:v>Not logged</x:v>
      </x:c>
      <x:c r="AT583" s="335" t="n">
        <x:f>IF(OR(Z583=0,AN583&lt;&gt;"Yes",AO583=0,AK583=""),0,IF(AL583&gt;='Setup'!$B$14,-2*'Setup'!$B$11,IF(AND(MAX(AB583,AD583,AF583,AH583,AJ583)&gt;=P583,AK583&gt;=Q583+1),'Setup'!$B$10,IF(OR(MAX(AB583,AD583,AF583,AH583,AJ583)&lt;O583,AK583&lt;Q583-1),-'Setup'!$B$11,0))))</x:f>
        <x:v>0</x:v>
      </x:c>
      <x:c r="AU583" s="333" t="n">
        <x:f>IF(Z583=0,0,IF(AN583&lt;&gt;"Yes",Z583,IF(COUNT(AA583,AC583,AE583,AG583,AI583)=0,Z583,ROUND((MAX(AA583,AC583,AE583,AG583,AI583)*(1+AT583))/'Setup'!$B$9,0)*'Setup'!$B$9)))</x:f>
        <x:v>0</x:v>
      </x:c>
      <x:c r="AV583" s="336"/>
    </x:row>
    <x:row r="584">
      <x:c r="A584" s="310" t="n">
        <x:f>'Setup'!$B$3+(C584-1)*7+(D584-1)</x:f>
        <x:v>46316</x:v>
      </x:c>
      <x:c r="B584" s="311" t="str">
        <x:v>11|3|8</x:v>
      </x:c>
      <x:c r="C584" s="311" t="n">
        <x:v>11</x:v>
      </x:c>
      <x:c r="D584" s="311" t="n">
        <x:v>3</x:v>
      </x:c>
      <x:c r="E584" s="311" t="str">
        <x:v>Realization</x:v>
      </x:c>
      <x:c r="F584" s="311" t="str">
        <x:v>Upper Power + Bench</x:v>
      </x:c>
      <x:c r="G584" s="311" t="str">
        <x:v>Bench strength and upper-body power</x:v>
      </x:c>
      <x:c r="H584" s="311" t="n">
        <x:v>8</x:v>
      </x:c>
      <x:c r="I584" s="311" t="str">
        <x:v>Kettlebell Bottom-Up Carry</x:v>
      </x:c>
      <x:c r="J584" s="311" t="str">
        <x:v>Athletic</x:v>
      </x:c>
      <x:c r="K584" s="311" t="str">
        <x:v>Shoulders</x:v>
      </x:c>
      <x:c r="L584" s="311" t="str">
        <x:v>Stable wrist and stacked ribs</x:v>
      </x:c>
      <x:c r="M584" s="311" t="str"/>
      <x:c r="N584" s="311" t="n">
        <x:v>3</x:v>
      </x:c>
      <x:c r="O584" s="311" t="n">
        <x:v>20</x:v>
      </x:c>
      <x:c r="P584" s="311" t="n">
        <x:v>30</x:v>
      </x:c>
      <x:c r="Q584" s="311" t="n">
        <x:v>2</x:v>
      </x:c>
      <x:c r="R584" s="311" t="n">
        <x:v>60</x:v>
      </x:c>
      <x:c r="S584" s="311" t="str">
        <x:v>Controlled</x:v>
      </x:c>
      <x:c r="T584" s="330" t="n">
        <x:v>1</x:v>
      </x:c>
      <x:c r="U584" s="330" t="n">
        <x:v>0</x:v>
      </x:c>
      <x:c r="V584" s="331" t="str">
        <x:v>load + meters</x:v>
      </x:c>
      <x:c r="W584" s="332" t="str">
        <x:f>'Readiness'!K69</x:f>
      </x:c>
      <x:c r="X584" s="314" t="n">
        <x:f>'Readiness'!L69</x:f>
        <x:v>1</x:v>
      </x:c>
      <x:c r="Y584" s="315" t="n">
        <x:f>IF(J584="Mobility",N584,MAX(1,ROUND(N584*X584,0)))</x:f>
        <x:v>3</x:v>
      </x:c>
      <x:c r="Z584" s="333" t="n">
        <x:f>0</x:f>
        <x:v>0</x:v>
      </x:c>
      <x:c r="AA584" s="334"/>
      <x:c r="AB584" s="334"/>
      <x:c r="AC584" s="334"/>
      <x:c r="AD584" s="334"/>
      <x:c r="AE584" s="334"/>
      <x:c r="AF584" s="334"/>
      <x:c r="AG584" s="334"/>
      <x:c r="AH584" s="334"/>
      <x:c r="AI584" s="334"/>
      <x:c r="AJ584" s="312"/>
      <x:c r="AK584" s="312"/>
      <x:c r="AL584" s="312"/>
      <x:c r="AM584" s="312"/>
      <x:c r="AN584" s="312"/>
      <x:c r="AO584" s="315" t="n">
        <x:f>COUNT(AB584,AD584,AF584,AH584,AJ584)</x:f>
        <x:v>0</x:v>
      </x:c>
      <x:c r="AP584" s="315" t="n">
        <x:f>SUM(AB584,AD584,AF584,AH584,AJ584)</x:f>
        <x:v>0</x:v>
      </x:c>
      <x:c r="AQ584" s="333" t="n">
        <x:f>AA584*AB584+AC584*AD584+AE584*AF584+AG584*AH584+AI584*AJ584</x:f>
        <x:v>0</x:v>
      </x:c>
      <x:c r="AR584" s="333" t="n">
        <x:f>IF(OR(J584="Strength",J584="Hypertrophy"),MAX(IF(AB584&gt;0,AA584*(1+AB584/30),0),IF(AD584&gt;0,AC584*(1+AD584/30),0),IF(AF584&gt;0,AE584*(1+AF584/30),0),IF(AH584&gt;0,AG584*(1+AH584/30),0),IF(AJ584&gt;0,AI584*(1+AJ584/30),0)),0)</x:f>
        <x:v>0</x:v>
      </x:c>
      <x:c r="AS584" s="315" t="str">
        <x:f>IF(AN584&lt;&gt;"Yes","Not logged",IF(AL584&gt;='Setup'!$B$14,"STOP / MODIFY",IF(Z584=0,"Complete",IF(OR(AO584=0,AK584=""),"Add set data + RIR",IF(AND(MAX(AB584,AD584,AF584,AH584,AJ584)&gt;=P584,AK584&gt;=Q584+1),"Progress",IF(OR(MAX(AB584,AD584,AF584,AH584,AJ584)&lt;O584,AK584&lt;Q584-1),"Regress","Hold"))))))</x:f>
        <x:v>Not logged</x:v>
      </x:c>
      <x:c r="AT584" s="335" t="n">
        <x:f>IF(OR(Z584=0,AN584&lt;&gt;"Yes",AO584=0,AK584=""),0,IF(AL584&gt;='Setup'!$B$14,-2*'Setup'!$B$11,IF(AND(MAX(AB584,AD584,AF584,AH584,AJ584)&gt;=P584,AK584&gt;=Q584+1),'Setup'!$B$10,IF(OR(MAX(AB584,AD584,AF584,AH584,AJ584)&lt;O584,AK584&lt;Q584-1),-'Setup'!$B$11,0))))</x:f>
        <x:v>0</x:v>
      </x:c>
      <x:c r="AU584" s="333" t="n">
        <x:f>IF(Z584=0,0,IF(AN584&lt;&gt;"Yes",Z584,IF(COUNT(AA584,AC584,AE584,AG584,AI584)=0,Z584,ROUND((MAX(AA584,AC584,AE584,AG584,AI584)*(1+AT584))/'Setup'!$B$9,0)*'Setup'!$B$9)))</x:f>
        <x:v>0</x:v>
      </x:c>
      <x:c r="AV584" s="336"/>
    </x:row>
    <x:row r="585">
      <x:c r="A585" s="310" t="n">
        <x:f>'Setup'!$B$3+(C585-1)*7+(D585-1)</x:f>
        <x:v>46316</x:v>
      </x:c>
      <x:c r="B585" s="311" t="str">
        <x:v>11|3|9</x:v>
      </x:c>
      <x:c r="C585" s="311" t="n">
        <x:v>11</x:v>
      </x:c>
      <x:c r="D585" s="311" t="n">
        <x:v>3</x:v>
      </x:c>
      <x:c r="E585" s="311" t="str">
        <x:v>Realization</x:v>
      </x:c>
      <x:c r="F585" s="311" t="str">
        <x:v>Upper Power + Bench</x:v>
      </x:c>
      <x:c r="G585" s="311" t="str">
        <x:v>Bench strength and upper-body power</x:v>
      </x:c>
      <x:c r="H585" s="311" t="n">
        <x:v>9</x:v>
      </x:c>
      <x:c r="I585" s="311" t="str">
        <x:v>Shoulder CARs</x:v>
      </x:c>
      <x:c r="J585" s="311" t="str">
        <x:v>Mobility</x:v>
      </x:c>
      <x:c r="K585" s="311" t="str">
        <x:v>Shoulders</x:v>
      </x:c>
      <x:c r="L585" s="311" t="str">
        <x:v>Controlled articular rotation</x:v>
      </x:c>
      <x:c r="M585" s="311" t="str"/>
      <x:c r="N585" s="311" t="n">
        <x:v>2</x:v>
      </x:c>
      <x:c r="O585" s="311" t="n">
        <x:v>3</x:v>
      </x:c>
      <x:c r="P585" s="311" t="n">
        <x:v>5</x:v>
      </x:c>
      <x:c r="Q585" s="311" t="str"/>
      <x:c r="R585" s="311" t="n">
        <x:v>20</x:v>
      </x:c>
      <x:c r="S585" s="311" t="str">
        <x:v>Slow</x:v>
      </x:c>
      <x:c r="T585" s="330" t="n">
        <x:v>1</x:v>
      </x:c>
      <x:c r="U585" s="330" t="n">
        <x:v>0</x:v>
      </x:c>
      <x:c r="V585" s="331" t="str">
        <x:v>reps</x:v>
      </x:c>
      <x:c r="W585" s="332" t="str">
        <x:f>'Readiness'!K69</x:f>
      </x:c>
      <x:c r="X585" s="314" t="n">
        <x:f>'Readiness'!L69</x:f>
        <x:v>1</x:v>
      </x:c>
      <x:c r="Y585" s="315" t="n">
        <x:f>IF(J585="Mobility",N585,MAX(1,ROUND(N585*X585,0)))</x:f>
        <x:v>2</x:v>
      </x:c>
      <x:c r="Z585" s="333" t="n">
        <x:f>0</x:f>
        <x:v>0</x:v>
      </x:c>
      <x:c r="AA585" s="334"/>
      <x:c r="AB585" s="334"/>
      <x:c r="AC585" s="334"/>
      <x:c r="AD585" s="334"/>
      <x:c r="AE585" s="334"/>
      <x:c r="AF585" s="334"/>
      <x:c r="AG585" s="334"/>
      <x:c r="AH585" s="334"/>
      <x:c r="AI585" s="334"/>
      <x:c r="AJ585" s="312"/>
      <x:c r="AK585" s="312"/>
      <x:c r="AL585" s="312"/>
      <x:c r="AM585" s="312"/>
      <x:c r="AN585" s="312"/>
      <x:c r="AO585" s="315" t="n">
        <x:f>COUNT(AB585,AD585,AF585,AH585,AJ585)</x:f>
        <x:v>0</x:v>
      </x:c>
      <x:c r="AP585" s="315" t="n">
        <x:f>SUM(AB585,AD585,AF585,AH585,AJ585)</x:f>
        <x:v>0</x:v>
      </x:c>
      <x:c r="AQ585" s="333" t="n">
        <x:f>AA585*AB585+AC585*AD585+AE585*AF585+AG585*AH585+AI585*AJ585</x:f>
        <x:v>0</x:v>
      </x:c>
      <x:c r="AR585" s="333" t="n">
        <x:f>IF(OR(J585="Strength",J585="Hypertrophy"),MAX(IF(AB585&gt;0,AA585*(1+AB585/30),0),IF(AD585&gt;0,AC585*(1+AD585/30),0),IF(AF585&gt;0,AE585*(1+AF585/30),0),IF(AH585&gt;0,AG585*(1+AH585/30),0),IF(AJ585&gt;0,AI585*(1+AJ585/30),0)),0)</x:f>
        <x:v>0</x:v>
      </x:c>
      <x:c r="AS585" s="315" t="str">
        <x:f>IF(AN585&lt;&gt;"Yes","Not logged",IF(AL585&gt;='Setup'!$B$14,"STOP / MODIFY",IF(Z585=0,"Complete",IF(OR(AO585=0,AK585=""),"Add set data + RIR",IF(AND(MAX(AB585,AD585,AF585,AH585,AJ585)&gt;=P585,AK585&gt;=Q585+1),"Progress",IF(OR(MAX(AB585,AD585,AF585,AH585,AJ585)&lt;O585,AK585&lt;Q585-1),"Regress","Hold"))))))</x:f>
        <x:v>Not logged</x:v>
      </x:c>
      <x:c r="AT585" s="335" t="n">
        <x:f>IF(OR(Z585=0,AN585&lt;&gt;"Yes",AO585=0,AK585=""),0,IF(AL585&gt;='Setup'!$B$14,-2*'Setup'!$B$11,IF(AND(MAX(AB585,AD585,AF585,AH585,AJ585)&gt;=P585,AK585&gt;=Q585+1),'Setup'!$B$10,IF(OR(MAX(AB585,AD585,AF585,AH585,AJ585)&lt;O585,AK585&lt;Q585-1),-'Setup'!$B$11,0))))</x:f>
        <x:v>0</x:v>
      </x:c>
      <x:c r="AU585" s="333" t="n">
        <x:f>IF(Z585=0,0,IF(AN585&lt;&gt;"Yes",Z585,IF(COUNT(AA585,AC585,AE585,AG585,AI585)=0,Z585,ROUND((MAX(AA585,AC585,AE585,AG585,AI585)*(1+AT585))/'Setup'!$B$9,0)*'Setup'!$B$9)))</x:f>
        <x:v>0</x:v>
      </x:c>
      <x:c r="AV585" s="336"/>
    </x:row>
    <x:row r="586">
      <x:c r="A586" s="310" t="n">
        <x:f>'Setup'!$B$3+(C586-1)*7+(D586-1)</x:f>
        <x:v>46317</x:v>
      </x:c>
      <x:c r="B586" s="311" t="str">
        <x:v>11|4|1</x:v>
      </x:c>
      <x:c r="C586" s="311" t="n">
        <x:v>11</x:v>
      </x:c>
      <x:c r="D586" s="311" t="n">
        <x:v>4</x:v>
      </x:c>
      <x:c r="E586" s="311" t="str">
        <x:v>Realization</x:v>
      </x:c>
      <x:c r="F586" s="311" t="str">
        <x:v>Posterior Strength</x:v>
      </x:c>
      <x:c r="G586" s="311" t="str">
        <x:v>Deadlift strength + posterior chain</x:v>
      </x:c>
      <x:c r="H586" s="311" t="n">
        <x:v>1</x:v>
      </x:c>
      <x:c r="I586" s="311" t="str">
        <x:v>Broad Jump</x:v>
      </x:c>
      <x:c r="J586" s="311" t="str">
        <x:v>Power</x:v>
      </x:c>
      <x:c r="K586" s="311" t="str">
        <x:v>Quads</x:v>
      </x:c>
      <x:c r="L586" s="311" t="str">
        <x:v>Full reset, stick landing</x:v>
      </x:c>
      <x:c r="M586" s="311" t="str"/>
      <x:c r="N586" s="311" t="n">
        <x:v>4</x:v>
      </x:c>
      <x:c r="O586" s="311" t="n">
        <x:v>3</x:v>
      </x:c>
      <x:c r="P586" s="311" t="n">
        <x:v>3</x:v>
      </x:c>
      <x:c r="Q586" s="311" t="n">
        <x:v>2</x:v>
      </x:c>
      <x:c r="R586" s="311" t="n">
        <x:v>75</x:v>
      </x:c>
      <x:c r="S586" s="311" t="str">
        <x:v>Explosive</x:v>
      </x:c>
      <x:c r="T586" s="330" t="n">
        <x:v>1</x:v>
      </x:c>
      <x:c r="U586" s="330" t="n">
        <x:v>0</x:v>
      </x:c>
      <x:c r="V586" s="331" t="str">
        <x:v>distance</x:v>
      </x:c>
      <x:c r="W586" s="332" t="str">
        <x:f>'Readiness'!K70</x:f>
      </x:c>
      <x:c r="X586" s="314" t="n">
        <x:f>'Readiness'!L70</x:f>
        <x:v>1</x:v>
      </x:c>
      <x:c r="Y586" s="315" t="n">
        <x:f>IF(J586="Mobility",N586,MAX(1,ROUND(N586*X586,0)))</x:f>
        <x:v>4</x:v>
      </x:c>
      <x:c r="Z586" s="333" t="n">
        <x:f>0</x:f>
        <x:v>0</x:v>
      </x:c>
      <x:c r="AA586" s="334"/>
      <x:c r="AB586" s="334"/>
      <x:c r="AC586" s="334"/>
      <x:c r="AD586" s="334"/>
      <x:c r="AE586" s="334"/>
      <x:c r="AF586" s="334"/>
      <x:c r="AG586" s="334"/>
      <x:c r="AH586" s="334"/>
      <x:c r="AI586" s="334"/>
      <x:c r="AJ586" s="312"/>
      <x:c r="AK586" s="312"/>
      <x:c r="AL586" s="312"/>
      <x:c r="AM586" s="312"/>
      <x:c r="AN586" s="312"/>
      <x:c r="AO586" s="315" t="n">
        <x:f>COUNT(AB586,AD586,AF586,AH586,AJ586)</x:f>
        <x:v>0</x:v>
      </x:c>
      <x:c r="AP586" s="315" t="n">
        <x:f>SUM(AB586,AD586,AF586,AH586,AJ586)</x:f>
        <x:v>0</x:v>
      </x:c>
      <x:c r="AQ586" s="333" t="n">
        <x:f>AA586*AB586+AC586*AD586+AE586*AF586+AG586*AH586+AI586*AJ586</x:f>
        <x:v>0</x:v>
      </x:c>
      <x:c r="AR586" s="333" t="n">
        <x:f>IF(OR(J586="Strength",J586="Hypertrophy"),MAX(IF(AB586&gt;0,AA586*(1+AB586/30),0),IF(AD586&gt;0,AC586*(1+AD586/30),0),IF(AF586&gt;0,AE586*(1+AF586/30),0),IF(AH586&gt;0,AG586*(1+AH586/30),0),IF(AJ586&gt;0,AI586*(1+AJ586/30),0)),0)</x:f>
        <x:v>0</x:v>
      </x:c>
      <x:c r="AS586" s="315" t="str">
        <x:f>IF(AN586&lt;&gt;"Yes","Not logged",IF(AL586&gt;='Setup'!$B$14,"STOP / MODIFY",IF(Z586=0,"Complete",IF(OR(AO586=0,AK586=""),"Add set data + RIR",IF(AND(MAX(AB586,AD586,AF586,AH586,AJ586)&gt;=P586,AK586&gt;=Q586+1),"Progress",IF(OR(MAX(AB586,AD586,AF586,AH586,AJ586)&lt;O586,AK586&lt;Q586-1),"Regress","Hold"))))))</x:f>
        <x:v>Not logged</x:v>
      </x:c>
      <x:c r="AT586" s="335" t="n">
        <x:f>IF(OR(Z586=0,AN586&lt;&gt;"Yes",AO586=0,AK586=""),0,IF(AL586&gt;='Setup'!$B$14,-2*'Setup'!$B$11,IF(AND(MAX(AB586,AD586,AF586,AH586,AJ586)&gt;=P586,AK586&gt;=Q586+1),'Setup'!$B$10,IF(OR(MAX(AB586,AD586,AF586,AH586,AJ586)&lt;O586,AK586&lt;Q586-1),-'Setup'!$B$11,0))))</x:f>
        <x:v>0</x:v>
      </x:c>
      <x:c r="AU586" s="333" t="n">
        <x:f>IF(Z586=0,0,IF(AN586&lt;&gt;"Yes",Z586,IF(COUNT(AA586,AC586,AE586,AG586,AI586)=0,Z586,ROUND((MAX(AA586,AC586,AE586,AG586,AI586)*(1+AT586))/'Setup'!$B$9,0)*'Setup'!$B$9)))</x:f>
        <x:v>0</x:v>
      </x:c>
      <x:c r="AV586" s="336"/>
    </x:row>
    <x:row r="587">
      <x:c r="A587" s="310" t="n">
        <x:f>'Setup'!$B$3+(C587-1)*7+(D587-1)</x:f>
        <x:v>46317</x:v>
      </x:c>
      <x:c r="B587" s="311" t="str">
        <x:v>11|4|2</x:v>
      </x:c>
      <x:c r="C587" s="311" t="n">
        <x:v>11</x:v>
      </x:c>
      <x:c r="D587" s="311" t="n">
        <x:v>4</x:v>
      </x:c>
      <x:c r="E587" s="311" t="str">
        <x:v>Realization</x:v>
      </x:c>
      <x:c r="F587" s="311" t="str">
        <x:v>Posterior Strength</x:v>
      </x:c>
      <x:c r="G587" s="311" t="str">
        <x:v>Deadlift strength + posterior chain</x:v>
      </x:c>
      <x:c r="H587" s="311" t="n">
        <x:v>2</x:v>
      </x:c>
      <x:c r="I587" s="311" t="str">
        <x:v>Conventional Deadlift</x:v>
      </x:c>
      <x:c r="J587" s="311" t="str">
        <x:v>Strength</x:v>
      </x:c>
      <x:c r="K587" s="311" t="str">
        <x:v>Hamstrings</x:v>
      </x:c>
      <x:c r="L587" s="311" t="str">
        <x:v>Top set + back-offs</x:v>
      </x:c>
      <x:c r="M587" s="311" t="str"/>
      <x:c r="N587" s="311" t="n">
        <x:v>4</x:v>
      </x:c>
      <x:c r="O587" s="311" t="n">
        <x:v>3</x:v>
      </x:c>
      <x:c r="P587" s="311" t="n">
        <x:v>5</x:v>
      </x:c>
      <x:c r="Q587" s="311" t="n">
        <x:v>1</x:v>
      </x:c>
      <x:c r="R587" s="311" t="n">
        <x:v>210</x:v>
      </x:c>
      <x:c r="S587" s="311" t="str">
        <x:v>2-1-X</x:v>
      </x:c>
      <x:c r="T587" s="330" t="n">
        <x:v>1</x:v>
      </x:c>
      <x:c r="U587" s="330" t="n">
        <x:v>0.82</x:v>
      </x:c>
      <x:c r="V587" s="331" t="str">
        <x:v>load × reps</x:v>
      </x:c>
      <x:c r="W587" s="332" t="str">
        <x:f>'Readiness'!K70</x:f>
      </x:c>
      <x:c r="X587" s="314" t="n">
        <x:f>'Readiness'!L70</x:f>
        <x:v>1</x:v>
      </x:c>
      <x:c r="Y587" s="315" t="n">
        <x:f>IF(J587="Mobility",N587,MAX(1,ROUND(N587*X587,0)))</x:f>
        <x:v>4</x:v>
      </x:c>
      <x:c r="Z587" s="333" t="n">
        <x:f>ROUND((IF(AU531&gt;0,AU531,IF(Z531&gt;0,Z531,'Setup'!$D$35))*T587)/'Setup'!$B$9,0)*'Setup'!$B$9</x:f>
        <x:v>0</x:v>
      </x:c>
      <x:c r="AA587" s="334"/>
      <x:c r="AB587" s="334"/>
      <x:c r="AC587" s="334"/>
      <x:c r="AD587" s="334"/>
      <x:c r="AE587" s="334"/>
      <x:c r="AF587" s="334"/>
      <x:c r="AG587" s="334"/>
      <x:c r="AH587" s="334"/>
      <x:c r="AI587" s="334"/>
      <x:c r="AJ587" s="312"/>
      <x:c r="AK587" s="312"/>
      <x:c r="AL587" s="312"/>
      <x:c r="AM587" s="312"/>
      <x:c r="AN587" s="312"/>
      <x:c r="AO587" s="315" t="n">
        <x:f>COUNT(AB587,AD587,AF587,AH587,AJ587)</x:f>
        <x:v>0</x:v>
      </x:c>
      <x:c r="AP587" s="315" t="n">
        <x:f>SUM(AB587,AD587,AF587,AH587,AJ587)</x:f>
        <x:v>0</x:v>
      </x:c>
      <x:c r="AQ587" s="333" t="n">
        <x:f>AA587*AB587+AC587*AD587+AE587*AF587+AG587*AH587+AI587*AJ587</x:f>
        <x:v>0</x:v>
      </x:c>
      <x:c r="AR587" s="333" t="n">
        <x:f>IF(OR(J587="Strength",J587="Hypertrophy"),MAX(IF(AB587&gt;0,AA587*(1+AB587/30),0),IF(AD587&gt;0,AC587*(1+AD587/30),0),IF(AF587&gt;0,AE587*(1+AF587/30),0),IF(AH587&gt;0,AG587*(1+AH587/30),0),IF(AJ587&gt;0,AI587*(1+AJ587/30),0)),0)</x:f>
        <x:v>0</x:v>
      </x:c>
      <x:c r="AS587" s="315" t="str">
        <x:f>IF(AN587&lt;&gt;"Yes","Not logged",IF(AL587&gt;='Setup'!$B$14,"STOP / MODIFY",IF(Z587=0,"Complete",IF(OR(AO587=0,AK587=""),"Add set data + RIR",IF(AND(MAX(AB587,AD587,AF587,AH587,AJ587)&gt;=P587,AK587&gt;=Q587+1),"Progress",IF(OR(MAX(AB587,AD587,AF587,AH587,AJ587)&lt;O587,AK587&lt;Q587-1),"Regress","Hold"))))))</x:f>
        <x:v>Not logged</x:v>
      </x:c>
      <x:c r="AT587" s="335" t="n">
        <x:f>IF(OR(Z587=0,AN587&lt;&gt;"Yes",AO587=0,AK587=""),0,IF(AL587&gt;='Setup'!$B$14,-2*'Setup'!$B$11,IF(AND(MAX(AB587,AD587,AF587,AH587,AJ587)&gt;=P587,AK587&gt;=Q587+1),'Setup'!$B$10,IF(OR(MAX(AB587,AD587,AF587,AH587,AJ587)&lt;O587,AK587&lt;Q587-1),-'Setup'!$B$11,0))))</x:f>
        <x:v>0</x:v>
      </x:c>
      <x:c r="AU587" s="333" t="n">
        <x:f>IF(Z587=0,0,IF(AN587&lt;&gt;"Yes",Z587,IF(COUNT(AA587,AC587,AE587,AG587,AI587)=0,Z587,ROUND((MAX(AA587,AC587,AE587,AG587,AI587)*(1+AT587))/'Setup'!$B$9,0)*'Setup'!$B$9)))</x:f>
        <x:v>0</x:v>
      </x:c>
      <x:c r="AV587" s="336"/>
    </x:row>
    <x:row r="588">
      <x:c r="A588" s="310" t="n">
        <x:f>'Setup'!$B$3+(C588-1)*7+(D588-1)</x:f>
        <x:v>46317</x:v>
      </x:c>
      <x:c r="B588" s="311" t="str">
        <x:v>11|4|3</x:v>
      </x:c>
      <x:c r="C588" s="311" t="n">
        <x:v>11</x:v>
      </x:c>
      <x:c r="D588" s="311" t="n">
        <x:v>4</x:v>
      </x:c>
      <x:c r="E588" s="311" t="str">
        <x:v>Realization</x:v>
      </x:c>
      <x:c r="F588" s="311" t="str">
        <x:v>Posterior Strength</x:v>
      </x:c>
      <x:c r="G588" s="311" t="str">
        <x:v>Deadlift strength + posterior chain</x:v>
      </x:c>
      <x:c r="H588" s="311" t="n">
        <x:v>3</x:v>
      </x:c>
      <x:c r="I588" s="311" t="str">
        <x:v>Front Squat</x:v>
      </x:c>
      <x:c r="J588" s="311" t="str">
        <x:v>Strength</x:v>
      </x:c>
      <x:c r="K588" s="311" t="str">
        <x:v>Quads</x:v>
      </x:c>
      <x:c r="L588" s="311" t="str">
        <x:v>Straight sets</x:v>
      </x:c>
      <x:c r="M588" s="311" t="str"/>
      <x:c r="N588" s="311" t="n">
        <x:v>3</x:v>
      </x:c>
      <x:c r="O588" s="311" t="n">
        <x:v>5</x:v>
      </x:c>
      <x:c r="P588" s="311" t="n">
        <x:v>7</x:v>
      </x:c>
      <x:c r="Q588" s="311" t="n">
        <x:v>1</x:v>
      </x:c>
      <x:c r="R588" s="311" t="n">
        <x:v>150</x:v>
      </x:c>
      <x:c r="S588" s="311" t="str">
        <x:v>3-1-X</x:v>
      </x:c>
      <x:c r="T588" s="330" t="n">
        <x:v>1</x:v>
      </x:c>
      <x:c r="U588" s="330" t="n">
        <x:v>0.7</x:v>
      </x:c>
      <x:c r="V588" s="331" t="str">
        <x:v>load × reps</x:v>
      </x:c>
      <x:c r="W588" s="332" t="str">
        <x:f>'Readiness'!K70</x:f>
      </x:c>
      <x:c r="X588" s="314" t="n">
        <x:f>'Readiness'!L70</x:f>
        <x:v>1</x:v>
      </x:c>
      <x:c r="Y588" s="315" t="n">
        <x:f>IF(J588="Mobility",N588,MAX(1,ROUND(N588*X588,0)))</x:f>
        <x:v>3</x:v>
      </x:c>
      <x:c r="Z588" s="333" t="n">
        <x:f>ROUND((IF(AU532&gt;0,AU532,IF(Z532&gt;0,Z532,'Setup'!$D$43))*T588)/'Setup'!$B$9,0)*'Setup'!$B$9</x:f>
        <x:v>0</x:v>
      </x:c>
      <x:c r="AA588" s="334"/>
      <x:c r="AB588" s="334"/>
      <x:c r="AC588" s="334"/>
      <x:c r="AD588" s="334"/>
      <x:c r="AE588" s="334"/>
      <x:c r="AF588" s="334"/>
      <x:c r="AG588" s="334"/>
      <x:c r="AH588" s="334"/>
      <x:c r="AI588" s="334"/>
      <x:c r="AJ588" s="312"/>
      <x:c r="AK588" s="312"/>
      <x:c r="AL588" s="312"/>
      <x:c r="AM588" s="312"/>
      <x:c r="AN588" s="312"/>
      <x:c r="AO588" s="315" t="n">
        <x:f>COUNT(AB588,AD588,AF588,AH588,AJ588)</x:f>
        <x:v>0</x:v>
      </x:c>
      <x:c r="AP588" s="315" t="n">
        <x:f>SUM(AB588,AD588,AF588,AH588,AJ588)</x:f>
        <x:v>0</x:v>
      </x:c>
      <x:c r="AQ588" s="333" t="n">
        <x:f>AA588*AB588+AC588*AD588+AE588*AF588+AG588*AH588+AI588*AJ588</x:f>
        <x:v>0</x:v>
      </x:c>
      <x:c r="AR588" s="333" t="n">
        <x:f>IF(OR(J588="Strength",J588="Hypertrophy"),MAX(IF(AB588&gt;0,AA588*(1+AB588/30),0),IF(AD588&gt;0,AC588*(1+AD588/30),0),IF(AF588&gt;0,AE588*(1+AF588/30),0),IF(AH588&gt;0,AG588*(1+AH588/30),0),IF(AJ588&gt;0,AI588*(1+AJ588/30),0)),0)</x:f>
        <x:v>0</x:v>
      </x:c>
      <x:c r="AS588" s="315" t="str">
        <x:f>IF(AN588&lt;&gt;"Yes","Not logged",IF(AL588&gt;='Setup'!$B$14,"STOP / MODIFY",IF(Z588=0,"Complete",IF(OR(AO588=0,AK588=""),"Add set data + RIR",IF(AND(MAX(AB588,AD588,AF588,AH588,AJ588)&gt;=P588,AK588&gt;=Q588+1),"Progress",IF(OR(MAX(AB588,AD588,AF588,AH588,AJ588)&lt;O588,AK588&lt;Q588-1),"Regress","Hold"))))))</x:f>
        <x:v>Not logged</x:v>
      </x:c>
      <x:c r="AT588" s="335" t="n">
        <x:f>IF(OR(Z588=0,AN588&lt;&gt;"Yes",AO588=0,AK588=""),0,IF(AL588&gt;='Setup'!$B$14,-2*'Setup'!$B$11,IF(AND(MAX(AB588,AD588,AF588,AH588,AJ588)&gt;=P588,AK588&gt;=Q588+1),'Setup'!$B$10,IF(OR(MAX(AB588,AD588,AF588,AH588,AJ588)&lt;O588,AK588&lt;Q588-1),-'Setup'!$B$11,0))))</x:f>
        <x:v>0</x:v>
      </x:c>
      <x:c r="AU588" s="333" t="n">
        <x:f>IF(Z588=0,0,IF(AN588&lt;&gt;"Yes",Z588,IF(COUNT(AA588,AC588,AE588,AG588,AI588)=0,Z588,ROUND((MAX(AA588,AC588,AE588,AG588,AI588)*(1+AT588))/'Setup'!$B$9,0)*'Setup'!$B$9)))</x:f>
        <x:v>0</x:v>
      </x:c>
      <x:c r="AV588" s="336"/>
    </x:row>
    <x:row r="589">
      <x:c r="A589" s="310" t="n">
        <x:f>'Setup'!$B$3+(C589-1)*7+(D589-1)</x:f>
        <x:v>46317</x:v>
      </x:c>
      <x:c r="B589" s="311" t="str">
        <x:v>11|4|4</x:v>
      </x:c>
      <x:c r="C589" s="311" t="n">
        <x:v>11</x:v>
      </x:c>
      <x:c r="D589" s="311" t="n">
        <x:v>4</x:v>
      </x:c>
      <x:c r="E589" s="311" t="str">
        <x:v>Realization</x:v>
      </x:c>
      <x:c r="F589" s="311" t="str">
        <x:v>Posterior Strength</x:v>
      </x:c>
      <x:c r="G589" s="311" t="str">
        <x:v>Deadlift strength + posterior chain</x:v>
      </x:c>
      <x:c r="H589" s="311" t="n">
        <x:v>4</x:v>
      </x:c>
      <x:c r="I589" s="311" t="str">
        <x:v>Barbell Hip Thrust</x:v>
      </x:c>
      <x:c r="J589" s="311" t="str">
        <x:v>Strength</x:v>
      </x:c>
      <x:c r="K589" s="311" t="str">
        <x:v>Glutes</x:v>
      </x:c>
      <x:c r="L589" s="311" t="str">
        <x:v>Straight sets</x:v>
      </x:c>
      <x:c r="M589" s="311" t="str"/>
      <x:c r="N589" s="311" t="n">
        <x:v>3</x:v>
      </x:c>
      <x:c r="O589" s="311" t="n">
        <x:v>6</x:v>
      </x:c>
      <x:c r="P589" s="311" t="n">
        <x:v>8</x:v>
      </x:c>
      <x:c r="Q589" s="311" t="n">
        <x:v>1</x:v>
      </x:c>
      <x:c r="R589" s="311" t="n">
        <x:v>120</x:v>
      </x:c>
      <x:c r="S589" s="311" t="str">
        <x:v>2-1-1</x:v>
      </x:c>
      <x:c r="T589" s="330" t="n">
        <x:v>1</x:v>
      </x:c>
      <x:c r="U589" s="330" t="n">
        <x:v>0</x:v>
      </x:c>
      <x:c r="V589" s="331" t="str">
        <x:v>load × reps</x:v>
      </x:c>
      <x:c r="W589" s="332" t="str">
        <x:f>'Readiness'!K70</x:f>
      </x:c>
      <x:c r="X589" s="314" t="n">
        <x:f>'Readiness'!L70</x:f>
        <x:v>1</x:v>
      </x:c>
      <x:c r="Y589" s="315" t="n">
        <x:f>IF(J589="Mobility",N589,MAX(1,ROUND(N589*X589,0)))</x:f>
        <x:v>3</x:v>
      </x:c>
      <x:c r="Z589" s="333" t="n">
        <x:f>ROUND((IF(AU533&gt;0,AU533,IF(Z533&gt;0,Z533,'Setup'!$D$25))*T589)/'Setup'!$B$9,0)*'Setup'!$B$9</x:f>
        <x:v>0</x:v>
      </x:c>
      <x:c r="AA589" s="334"/>
      <x:c r="AB589" s="334"/>
      <x:c r="AC589" s="334"/>
      <x:c r="AD589" s="334"/>
      <x:c r="AE589" s="334"/>
      <x:c r="AF589" s="334"/>
      <x:c r="AG589" s="334"/>
      <x:c r="AH589" s="334"/>
      <x:c r="AI589" s="334"/>
      <x:c r="AJ589" s="312"/>
      <x:c r="AK589" s="312"/>
      <x:c r="AL589" s="312"/>
      <x:c r="AM589" s="312"/>
      <x:c r="AN589" s="312"/>
      <x:c r="AO589" s="315" t="n">
        <x:f>COUNT(AB589,AD589,AF589,AH589,AJ589)</x:f>
        <x:v>0</x:v>
      </x:c>
      <x:c r="AP589" s="315" t="n">
        <x:f>SUM(AB589,AD589,AF589,AH589,AJ589)</x:f>
        <x:v>0</x:v>
      </x:c>
      <x:c r="AQ589" s="333" t="n">
        <x:f>AA589*AB589+AC589*AD589+AE589*AF589+AG589*AH589+AI589*AJ589</x:f>
        <x:v>0</x:v>
      </x:c>
      <x:c r="AR589" s="333" t="n">
        <x:f>IF(OR(J589="Strength",J589="Hypertrophy"),MAX(IF(AB589&gt;0,AA589*(1+AB589/30),0),IF(AD589&gt;0,AC589*(1+AD589/30),0),IF(AF589&gt;0,AE589*(1+AF589/30),0),IF(AH589&gt;0,AG589*(1+AH589/30),0),IF(AJ589&gt;0,AI589*(1+AJ589/30),0)),0)</x:f>
        <x:v>0</x:v>
      </x:c>
      <x:c r="AS589" s="315" t="str">
        <x:f>IF(AN589&lt;&gt;"Yes","Not logged",IF(AL589&gt;='Setup'!$B$14,"STOP / MODIFY",IF(Z589=0,"Complete",IF(OR(AO589=0,AK589=""),"Add set data + RIR",IF(AND(MAX(AB589,AD589,AF589,AH589,AJ589)&gt;=P589,AK589&gt;=Q589+1),"Progress",IF(OR(MAX(AB589,AD589,AF589,AH589,AJ589)&lt;O589,AK589&lt;Q589-1),"Regress","Hold"))))))</x:f>
        <x:v>Not logged</x:v>
      </x:c>
      <x:c r="AT589" s="335" t="n">
        <x:f>IF(OR(Z589=0,AN589&lt;&gt;"Yes",AO589=0,AK589=""),0,IF(AL589&gt;='Setup'!$B$14,-2*'Setup'!$B$11,IF(AND(MAX(AB589,AD589,AF589,AH589,AJ589)&gt;=P589,AK589&gt;=Q589+1),'Setup'!$B$10,IF(OR(MAX(AB589,AD589,AF589,AH589,AJ589)&lt;O589,AK589&lt;Q589-1),-'Setup'!$B$11,0))))</x:f>
        <x:v>0</x:v>
      </x:c>
      <x:c r="AU589" s="333" t="n">
        <x:f>IF(Z589=0,0,IF(AN589&lt;&gt;"Yes",Z589,IF(COUNT(AA589,AC589,AE589,AG589,AI589)=0,Z589,ROUND((MAX(AA589,AC589,AE589,AG589,AI589)*(1+AT589))/'Setup'!$B$9,0)*'Setup'!$B$9)))</x:f>
        <x:v>0</x:v>
      </x:c>
      <x:c r="AV589" s="336"/>
    </x:row>
    <x:row r="590">
      <x:c r="A590" s="310" t="n">
        <x:f>'Setup'!$B$3+(C590-1)*7+(D590-1)</x:f>
        <x:v>46317</x:v>
      </x:c>
      <x:c r="B590" s="311" t="str">
        <x:v>11|4|5</x:v>
      </x:c>
      <x:c r="C590" s="311" t="n">
        <x:v>11</x:v>
      </x:c>
      <x:c r="D590" s="311" t="n">
        <x:v>4</x:v>
      </x:c>
      <x:c r="E590" s="311" t="str">
        <x:v>Realization</x:v>
      </x:c>
      <x:c r="F590" s="311" t="str">
        <x:v>Posterior Strength</x:v>
      </x:c>
      <x:c r="G590" s="311" t="str">
        <x:v>Deadlift strength + posterior chain</x:v>
      </x:c>
      <x:c r="H590" s="311" t="n">
        <x:v>5</x:v>
      </x:c>
      <x:c r="I590" s="311" t="str">
        <x:v>Nordic Hamstring Curl</x:v>
      </x:c>
      <x:c r="J590" s="311" t="str">
        <x:v>Strength</x:v>
      </x:c>
      <x:c r="K590" s="311" t="str">
        <x:v>Hamstrings</x:v>
      </x:c>
      <x:c r="L590" s="311" t="str">
        <x:v>Controlled eccentric</x:v>
      </x:c>
      <x:c r="M590" s="311" t="str"/>
      <x:c r="N590" s="311" t="n">
        <x:v>3</x:v>
      </x:c>
      <x:c r="O590" s="311" t="n">
        <x:v>5</x:v>
      </x:c>
      <x:c r="P590" s="311" t="n">
        <x:v>8</x:v>
      </x:c>
      <x:c r="Q590" s="311" t="n">
        <x:v>1</x:v>
      </x:c>
      <x:c r="R590" s="311" t="n">
        <x:v>90</x:v>
      </x:c>
      <x:c r="S590" s="311" t="str">
        <x:v>5-0-X</x:v>
      </x:c>
      <x:c r="T590" s="330" t="n">
        <x:v>1</x:v>
      </x:c>
      <x:c r="U590" s="330" t="n">
        <x:v>0</x:v>
      </x:c>
      <x:c r="V590" s="331" t="str">
        <x:v>reps</x:v>
      </x:c>
      <x:c r="W590" s="332" t="str">
        <x:f>'Readiness'!K70</x:f>
      </x:c>
      <x:c r="X590" s="314" t="n">
        <x:f>'Readiness'!L70</x:f>
        <x:v>1</x:v>
      </x:c>
      <x:c r="Y590" s="315" t="n">
        <x:f>IF(J590="Mobility",N590,MAX(1,ROUND(N590*X590,0)))</x:f>
        <x:v>3</x:v>
      </x:c>
      <x:c r="Z590" s="333" t="n">
        <x:f>0</x:f>
        <x:v>0</x:v>
      </x:c>
      <x:c r="AA590" s="334"/>
      <x:c r="AB590" s="334"/>
      <x:c r="AC590" s="334"/>
      <x:c r="AD590" s="334"/>
      <x:c r="AE590" s="334"/>
      <x:c r="AF590" s="334"/>
      <x:c r="AG590" s="334"/>
      <x:c r="AH590" s="334"/>
      <x:c r="AI590" s="334"/>
      <x:c r="AJ590" s="312"/>
      <x:c r="AK590" s="312"/>
      <x:c r="AL590" s="312"/>
      <x:c r="AM590" s="312"/>
      <x:c r="AN590" s="312"/>
      <x:c r="AO590" s="315" t="n">
        <x:f>COUNT(AB590,AD590,AF590,AH590,AJ590)</x:f>
        <x:v>0</x:v>
      </x:c>
      <x:c r="AP590" s="315" t="n">
        <x:f>SUM(AB590,AD590,AF590,AH590,AJ590)</x:f>
        <x:v>0</x:v>
      </x:c>
      <x:c r="AQ590" s="333" t="n">
        <x:f>AA590*AB590+AC590*AD590+AE590*AF590+AG590*AH590+AI590*AJ590</x:f>
        <x:v>0</x:v>
      </x:c>
      <x:c r="AR590" s="333" t="n">
        <x:f>IF(OR(J590="Strength",J590="Hypertrophy"),MAX(IF(AB590&gt;0,AA590*(1+AB590/30),0),IF(AD590&gt;0,AC590*(1+AD590/30),0),IF(AF590&gt;0,AE590*(1+AF590/30),0),IF(AH590&gt;0,AG590*(1+AH590/30),0),IF(AJ590&gt;0,AI590*(1+AJ590/30),0)),0)</x:f>
        <x:v>0</x:v>
      </x:c>
      <x:c r="AS590" s="315" t="str">
        <x:f>IF(AN590&lt;&gt;"Yes","Not logged",IF(AL590&gt;='Setup'!$B$14,"STOP / MODIFY",IF(Z590=0,"Complete",IF(OR(AO590=0,AK590=""),"Add set data + RIR",IF(AND(MAX(AB590,AD590,AF590,AH590,AJ590)&gt;=P590,AK590&gt;=Q590+1),"Progress",IF(OR(MAX(AB590,AD590,AF590,AH590,AJ590)&lt;O590,AK590&lt;Q590-1),"Regress","Hold"))))))</x:f>
        <x:v>Not logged</x:v>
      </x:c>
      <x:c r="AT590" s="335" t="n">
        <x:f>IF(OR(Z590=0,AN590&lt;&gt;"Yes",AO590=0,AK590=""),0,IF(AL590&gt;='Setup'!$B$14,-2*'Setup'!$B$11,IF(AND(MAX(AB590,AD590,AF590,AH590,AJ590)&gt;=P590,AK590&gt;=Q590+1),'Setup'!$B$10,IF(OR(MAX(AB590,AD590,AF590,AH590,AJ590)&lt;O590,AK590&lt;Q590-1),-'Setup'!$B$11,0))))</x:f>
        <x:v>0</x:v>
      </x:c>
      <x:c r="AU590" s="333" t="n">
        <x:f>IF(Z590=0,0,IF(AN590&lt;&gt;"Yes",Z590,IF(COUNT(AA590,AC590,AE590,AG590,AI590)=0,Z590,ROUND((MAX(AA590,AC590,AE590,AG590,AI590)*(1+AT590))/'Setup'!$B$9,0)*'Setup'!$B$9)))</x:f>
        <x:v>0</x:v>
      </x:c>
      <x:c r="AV590" s="336"/>
    </x:row>
    <x:row r="591">
      <x:c r="A591" s="310" t="n">
        <x:f>'Setup'!$B$3+(C591-1)*7+(D591-1)</x:f>
        <x:v>46317</x:v>
      </x:c>
      <x:c r="B591" s="311" t="str">
        <x:v>11|4|6</x:v>
      </x:c>
      <x:c r="C591" s="311" t="n">
        <x:v>11</x:v>
      </x:c>
      <x:c r="D591" s="311" t="n">
        <x:v>4</x:v>
      </x:c>
      <x:c r="E591" s="311" t="str">
        <x:v>Realization</x:v>
      </x:c>
      <x:c r="F591" s="311" t="str">
        <x:v>Posterior Strength</x:v>
      </x:c>
      <x:c r="G591" s="311" t="str">
        <x:v>Deadlift strength + posterior chain</x:v>
      </x:c>
      <x:c r="H591" s="311" t="n">
        <x:v>6</x:v>
      </x:c>
      <x:c r="I591" s="311" t="str">
        <x:v>45-Degree Back Extension</x:v>
      </x:c>
      <x:c r="J591" s="311" t="str">
        <x:v>Hypertrophy</x:v>
      </x:c>
      <x:c r="K591" s="311" t="str">
        <x:v>Hamstrings</x:v>
      </x:c>
      <x:c r="L591" s="311" t="str">
        <x:v>Straight sets</x:v>
      </x:c>
      <x:c r="M591" s="311" t="str"/>
      <x:c r="N591" s="311" t="n">
        <x:v>3</x:v>
      </x:c>
      <x:c r="O591" s="311" t="n">
        <x:v>10</x:v>
      </x:c>
      <x:c r="P591" s="311" t="n">
        <x:v>15</x:v>
      </x:c>
      <x:c r="Q591" s="311" t="n">
        <x:v>1</x:v>
      </x:c>
      <x:c r="R591" s="311" t="n">
        <x:v>60</x:v>
      </x:c>
      <x:c r="S591" s="311" t="str">
        <x:v>3-1-1</x:v>
      </x:c>
      <x:c r="T591" s="330" t="n">
        <x:v>1</x:v>
      </x:c>
      <x:c r="U591" s="330" t="n">
        <x:v>0</x:v>
      </x:c>
      <x:c r="V591" s="331" t="str">
        <x:v>load × reps</x:v>
      </x:c>
      <x:c r="W591" s="332" t="str">
        <x:f>'Readiness'!K70</x:f>
      </x:c>
      <x:c r="X591" s="314" t="n">
        <x:f>'Readiness'!L70</x:f>
        <x:v>1</x:v>
      </x:c>
      <x:c r="Y591" s="315" t="n">
        <x:f>IF(J591="Mobility",N591,MAX(1,ROUND(N591*X591,0)))</x:f>
        <x:v>3</x:v>
      </x:c>
      <x:c r="Z591" s="333" t="n">
        <x:f>ROUND((IF(AU535&gt;0,AU535,IF(Z535&gt;0,Z535,'Setup'!$D$18))*T591)/'Setup'!$B$9,0)*'Setup'!$B$9</x:f>
        <x:v>0</x:v>
      </x:c>
      <x:c r="AA591" s="334"/>
      <x:c r="AB591" s="334"/>
      <x:c r="AC591" s="334"/>
      <x:c r="AD591" s="334"/>
      <x:c r="AE591" s="334"/>
      <x:c r="AF591" s="334"/>
      <x:c r="AG591" s="334"/>
      <x:c r="AH591" s="334"/>
      <x:c r="AI591" s="334"/>
      <x:c r="AJ591" s="312"/>
      <x:c r="AK591" s="312"/>
      <x:c r="AL591" s="312"/>
      <x:c r="AM591" s="312"/>
      <x:c r="AN591" s="312"/>
      <x:c r="AO591" s="315" t="n">
        <x:f>COUNT(AB591,AD591,AF591,AH591,AJ591)</x:f>
        <x:v>0</x:v>
      </x:c>
      <x:c r="AP591" s="315" t="n">
        <x:f>SUM(AB591,AD591,AF591,AH591,AJ591)</x:f>
        <x:v>0</x:v>
      </x:c>
      <x:c r="AQ591" s="333" t="n">
        <x:f>AA591*AB591+AC591*AD591+AE591*AF591+AG591*AH591+AI591*AJ591</x:f>
        <x:v>0</x:v>
      </x:c>
      <x:c r="AR591" s="333" t="n">
        <x:f>IF(OR(J591="Strength",J591="Hypertrophy"),MAX(IF(AB591&gt;0,AA591*(1+AB591/30),0),IF(AD591&gt;0,AC591*(1+AD591/30),0),IF(AF591&gt;0,AE591*(1+AF591/30),0),IF(AH591&gt;0,AG591*(1+AH591/30),0),IF(AJ591&gt;0,AI591*(1+AJ591/30),0)),0)</x:f>
        <x:v>0</x:v>
      </x:c>
      <x:c r="AS591" s="315" t="str">
        <x:f>IF(AN591&lt;&gt;"Yes","Not logged",IF(AL591&gt;='Setup'!$B$14,"STOP / MODIFY",IF(Z591=0,"Complete",IF(OR(AO591=0,AK591=""),"Add set data + RIR",IF(AND(MAX(AB591,AD591,AF591,AH591,AJ591)&gt;=P591,AK591&gt;=Q591+1),"Progress",IF(OR(MAX(AB591,AD591,AF591,AH591,AJ591)&lt;O591,AK591&lt;Q591-1),"Regress","Hold"))))))</x:f>
        <x:v>Not logged</x:v>
      </x:c>
      <x:c r="AT591" s="335" t="n">
        <x:f>IF(OR(Z591=0,AN591&lt;&gt;"Yes",AO591=0,AK591=""),0,IF(AL591&gt;='Setup'!$B$14,-2*'Setup'!$B$11,IF(AND(MAX(AB591,AD591,AF591,AH591,AJ591)&gt;=P591,AK591&gt;=Q591+1),'Setup'!$B$10,IF(OR(MAX(AB591,AD591,AF591,AH591,AJ591)&lt;O591,AK591&lt;Q591-1),-'Setup'!$B$11,0))))</x:f>
        <x:v>0</x:v>
      </x:c>
      <x:c r="AU591" s="333" t="n">
        <x:f>IF(Z591=0,0,IF(AN591&lt;&gt;"Yes",Z591,IF(COUNT(AA591,AC591,AE591,AG591,AI591)=0,Z591,ROUND((MAX(AA591,AC591,AE591,AG591,AI591)*(1+AT591))/'Setup'!$B$9,0)*'Setup'!$B$9)))</x:f>
        <x:v>0</x:v>
      </x:c>
      <x:c r="AV591" s="336"/>
    </x:row>
    <x:row r="592">
      <x:c r="A592" s="310" t="n">
        <x:f>'Setup'!$B$3+(C592-1)*7+(D592-1)</x:f>
        <x:v>46317</x:v>
      </x:c>
      <x:c r="B592" s="311" t="str">
        <x:v>11|4|7</x:v>
      </x:c>
      <x:c r="C592" s="311" t="n">
        <x:v>11</x:v>
      </x:c>
      <x:c r="D592" s="311" t="n">
        <x:v>4</x:v>
      </x:c>
      <x:c r="E592" s="311" t="str">
        <x:v>Realization</x:v>
      </x:c>
      <x:c r="F592" s="311" t="str">
        <x:v>Posterior Strength</x:v>
      </x:c>
      <x:c r="G592" s="311" t="str">
        <x:v>Deadlift strength + posterior chain</x:v>
      </x:c>
      <x:c r="H592" s="311" t="n">
        <x:v>7</x:v>
      </x:c>
      <x:c r="I592" s="311" t="str">
        <x:v>Farmer Carry</x:v>
      </x:c>
      <x:c r="J592" s="311" t="str">
        <x:v>Athletic</x:v>
      </x:c>
      <x:c r="K592" s="311" t="str">
        <x:v>Full Body</x:v>
      </x:c>
      <x:c r="L592" s="311" t="str">
        <x:v>Tall posture, fast feet</x:v>
      </x:c>
      <x:c r="M592" s="311" t="str"/>
      <x:c r="N592" s="311" t="n">
        <x:v>4</x:v>
      </x:c>
      <x:c r="O592" s="311" t="n">
        <x:v>30</x:v>
      </x:c>
      <x:c r="P592" s="311" t="n">
        <x:v>40</x:v>
      </x:c>
      <x:c r="Q592" s="311" t="n">
        <x:v>2</x:v>
      </x:c>
      <x:c r="R592" s="311" t="n">
        <x:v>75</x:v>
      </x:c>
      <x:c r="S592" s="311" t="str">
        <x:v>Controlled</x:v>
      </x:c>
      <x:c r="T592" s="330" t="n">
        <x:v>1</x:v>
      </x:c>
      <x:c r="U592" s="330" t="n">
        <x:v>0</x:v>
      </x:c>
      <x:c r="V592" s="331" t="str">
        <x:v>load + meters</x:v>
      </x:c>
      <x:c r="W592" s="332" t="str">
        <x:f>'Readiness'!K70</x:f>
      </x:c>
      <x:c r="X592" s="314" t="n">
        <x:f>'Readiness'!L70</x:f>
        <x:v>1</x:v>
      </x:c>
      <x:c r="Y592" s="315" t="n">
        <x:f>IF(J592="Mobility",N592,MAX(1,ROUND(N592*X592,0)))</x:f>
        <x:v>4</x:v>
      </x:c>
      <x:c r="Z592" s="333" t="n">
        <x:f>0</x:f>
        <x:v>0</x:v>
      </x:c>
      <x:c r="AA592" s="334"/>
      <x:c r="AB592" s="334"/>
      <x:c r="AC592" s="334"/>
      <x:c r="AD592" s="334"/>
      <x:c r="AE592" s="334"/>
      <x:c r="AF592" s="334"/>
      <x:c r="AG592" s="334"/>
      <x:c r="AH592" s="334"/>
      <x:c r="AI592" s="334"/>
      <x:c r="AJ592" s="312"/>
      <x:c r="AK592" s="312"/>
      <x:c r="AL592" s="312"/>
      <x:c r="AM592" s="312"/>
      <x:c r="AN592" s="312"/>
      <x:c r="AO592" s="315" t="n">
        <x:f>COUNT(AB592,AD592,AF592,AH592,AJ592)</x:f>
        <x:v>0</x:v>
      </x:c>
      <x:c r="AP592" s="315" t="n">
        <x:f>SUM(AB592,AD592,AF592,AH592,AJ592)</x:f>
        <x:v>0</x:v>
      </x:c>
      <x:c r="AQ592" s="333" t="n">
        <x:f>AA592*AB592+AC592*AD592+AE592*AF592+AG592*AH592+AI592*AJ592</x:f>
        <x:v>0</x:v>
      </x:c>
      <x:c r="AR592" s="333" t="n">
        <x:f>IF(OR(J592="Strength",J592="Hypertrophy"),MAX(IF(AB592&gt;0,AA592*(1+AB592/30),0),IF(AD592&gt;0,AC592*(1+AD592/30),0),IF(AF592&gt;0,AE592*(1+AF592/30),0),IF(AH592&gt;0,AG592*(1+AH592/30),0),IF(AJ592&gt;0,AI592*(1+AJ592/30),0)),0)</x:f>
        <x:v>0</x:v>
      </x:c>
      <x:c r="AS592" s="315" t="str">
        <x:f>IF(AN592&lt;&gt;"Yes","Not logged",IF(AL592&gt;='Setup'!$B$14,"STOP / MODIFY",IF(Z592=0,"Complete",IF(OR(AO592=0,AK592=""),"Add set data + RIR",IF(AND(MAX(AB592,AD592,AF592,AH592,AJ592)&gt;=P592,AK592&gt;=Q592+1),"Progress",IF(OR(MAX(AB592,AD592,AF592,AH592,AJ592)&lt;O592,AK592&lt;Q592-1),"Regress","Hold"))))))</x:f>
        <x:v>Not logged</x:v>
      </x:c>
      <x:c r="AT592" s="335" t="n">
        <x:f>IF(OR(Z592=0,AN592&lt;&gt;"Yes",AO592=0,AK592=""),0,IF(AL592&gt;='Setup'!$B$14,-2*'Setup'!$B$11,IF(AND(MAX(AB592,AD592,AF592,AH592,AJ592)&gt;=P592,AK592&gt;=Q592+1),'Setup'!$B$10,IF(OR(MAX(AB592,AD592,AF592,AH592,AJ592)&lt;O592,AK592&lt;Q592-1),-'Setup'!$B$11,0))))</x:f>
        <x:v>0</x:v>
      </x:c>
      <x:c r="AU592" s="333" t="n">
        <x:f>IF(Z592=0,0,IF(AN592&lt;&gt;"Yes",Z592,IF(COUNT(AA592,AC592,AE592,AG592,AI592)=0,Z592,ROUND((MAX(AA592,AC592,AE592,AG592,AI592)*(1+AT592))/'Setup'!$B$9,0)*'Setup'!$B$9)))</x:f>
        <x:v>0</x:v>
      </x:c>
      <x:c r="AV592" s="336"/>
    </x:row>
    <x:row r="593">
      <x:c r="A593" s="310" t="n">
        <x:f>'Setup'!$B$3+(C593-1)*7+(D593-1)</x:f>
        <x:v>46317</x:v>
      </x:c>
      <x:c r="B593" s="311" t="str">
        <x:v>11|4|8</x:v>
      </x:c>
      <x:c r="C593" s="311" t="n">
        <x:v>11</x:v>
      </x:c>
      <x:c r="D593" s="311" t="n">
        <x:v>4</x:v>
      </x:c>
      <x:c r="E593" s="311" t="str">
        <x:v>Realization</x:v>
      </x:c>
      <x:c r="F593" s="311" t="str">
        <x:v>Posterior Strength</x:v>
      </x:c>
      <x:c r="G593" s="311" t="str">
        <x:v>Deadlift strength + posterior chain</x:v>
      </x:c>
      <x:c r="H593" s="311" t="n">
        <x:v>8</x:v>
      </x:c>
      <x:c r="I593" s="311" t="str">
        <x:v>Copenhagen Plank</x:v>
      </x:c>
      <x:c r="J593" s="311" t="str">
        <x:v>Mobility</x:v>
      </x:c>
      <x:c r="K593" s="311" t="str">
        <x:v>Core</x:v>
      </x:c>
      <x:c r="L593" s="311" t="str">
        <x:v>Isometric control</x:v>
      </x:c>
      <x:c r="M593" s="311" t="str"/>
      <x:c r="N593" s="311" t="n">
        <x:v>2</x:v>
      </x:c>
      <x:c r="O593" s="311" t="n">
        <x:v>20</x:v>
      </x:c>
      <x:c r="P593" s="311" t="n">
        <x:v>30</x:v>
      </x:c>
      <x:c r="Q593" s="311" t="str"/>
      <x:c r="R593" s="311" t="n">
        <x:v>30</x:v>
      </x:c>
      <x:c r="S593" s="311" t="str">
        <x:v>Hold</x:v>
      </x:c>
      <x:c r="T593" s="330" t="n">
        <x:v>1</x:v>
      </x:c>
      <x:c r="U593" s="330" t="n">
        <x:v>0</x:v>
      </x:c>
      <x:c r="V593" s="331" t="str">
        <x:v>seconds</x:v>
      </x:c>
      <x:c r="W593" s="332" t="str">
        <x:f>'Readiness'!K70</x:f>
      </x:c>
      <x:c r="X593" s="314" t="n">
        <x:f>'Readiness'!L70</x:f>
        <x:v>1</x:v>
      </x:c>
      <x:c r="Y593" s="315" t="n">
        <x:f>IF(J593="Mobility",N593,MAX(1,ROUND(N593*X593,0)))</x:f>
        <x:v>2</x:v>
      </x:c>
      <x:c r="Z593" s="333" t="n">
        <x:f>0</x:f>
        <x:v>0</x:v>
      </x:c>
      <x:c r="AA593" s="334"/>
      <x:c r="AB593" s="334"/>
      <x:c r="AC593" s="334"/>
      <x:c r="AD593" s="334"/>
      <x:c r="AE593" s="334"/>
      <x:c r="AF593" s="334"/>
      <x:c r="AG593" s="334"/>
      <x:c r="AH593" s="334"/>
      <x:c r="AI593" s="334"/>
      <x:c r="AJ593" s="312"/>
      <x:c r="AK593" s="312"/>
      <x:c r="AL593" s="312"/>
      <x:c r="AM593" s="312"/>
      <x:c r="AN593" s="312"/>
      <x:c r="AO593" s="315" t="n">
        <x:f>COUNT(AB593,AD593,AF593,AH593,AJ593)</x:f>
        <x:v>0</x:v>
      </x:c>
      <x:c r="AP593" s="315" t="n">
        <x:f>SUM(AB593,AD593,AF593,AH593,AJ593)</x:f>
        <x:v>0</x:v>
      </x:c>
      <x:c r="AQ593" s="333" t="n">
        <x:f>AA593*AB593+AC593*AD593+AE593*AF593+AG593*AH593+AI593*AJ593</x:f>
        <x:v>0</x:v>
      </x:c>
      <x:c r="AR593" s="333" t="n">
        <x:f>IF(OR(J593="Strength",J593="Hypertrophy"),MAX(IF(AB593&gt;0,AA593*(1+AB593/30),0),IF(AD593&gt;0,AC593*(1+AD593/30),0),IF(AF593&gt;0,AE593*(1+AF593/30),0),IF(AH593&gt;0,AG593*(1+AH593/30),0),IF(AJ593&gt;0,AI593*(1+AJ593/30),0)),0)</x:f>
        <x:v>0</x:v>
      </x:c>
      <x:c r="AS593" s="315" t="str">
        <x:f>IF(AN593&lt;&gt;"Yes","Not logged",IF(AL593&gt;='Setup'!$B$14,"STOP / MODIFY",IF(Z593=0,"Complete",IF(OR(AO593=0,AK593=""),"Add set data + RIR",IF(AND(MAX(AB593,AD593,AF593,AH593,AJ593)&gt;=P593,AK593&gt;=Q593+1),"Progress",IF(OR(MAX(AB593,AD593,AF593,AH593,AJ593)&lt;O593,AK593&lt;Q593-1),"Regress","Hold"))))))</x:f>
        <x:v>Not logged</x:v>
      </x:c>
      <x:c r="AT593" s="335" t="n">
        <x:f>IF(OR(Z593=0,AN593&lt;&gt;"Yes",AO593=0,AK593=""),0,IF(AL593&gt;='Setup'!$B$14,-2*'Setup'!$B$11,IF(AND(MAX(AB593,AD593,AF593,AH593,AJ593)&gt;=P593,AK593&gt;=Q593+1),'Setup'!$B$10,IF(OR(MAX(AB593,AD593,AF593,AH593,AJ593)&lt;O593,AK593&lt;Q593-1),-'Setup'!$B$11,0))))</x:f>
        <x:v>0</x:v>
      </x:c>
      <x:c r="AU593" s="333" t="n">
        <x:f>IF(Z593=0,0,IF(AN593&lt;&gt;"Yes",Z593,IF(COUNT(AA593,AC593,AE593,AG593,AI593)=0,Z593,ROUND((MAX(AA593,AC593,AE593,AG593,AI593)*(1+AT593))/'Setup'!$B$9,0)*'Setup'!$B$9)))</x:f>
        <x:v>0</x:v>
      </x:c>
      <x:c r="AV593" s="336"/>
    </x:row>
    <x:row r="594">
      <x:c r="A594" s="310" t="n">
        <x:f>'Setup'!$B$3+(C594-1)*7+(D594-1)</x:f>
        <x:v>46317</x:v>
      </x:c>
      <x:c r="B594" s="311" t="str">
        <x:v>11|4|9</x:v>
      </x:c>
      <x:c r="C594" s="311" t="n">
        <x:v>11</x:v>
      </x:c>
      <x:c r="D594" s="311" t="n">
        <x:v>4</x:v>
      </x:c>
      <x:c r="E594" s="311" t="str">
        <x:v>Realization</x:v>
      </x:c>
      <x:c r="F594" s="311" t="str">
        <x:v>Posterior Strength</x:v>
      </x:c>
      <x:c r="G594" s="311" t="str">
        <x:v>Deadlift strength + posterior chain</x:v>
      </x:c>
      <x:c r="H594" s="311" t="n">
        <x:v>9</x:v>
      </x:c>
      <x:c r="I594" s="311" t="str">
        <x:v>Couch Stretch</x:v>
      </x:c>
      <x:c r="J594" s="311" t="str">
        <x:v>Mobility</x:v>
      </x:c>
      <x:c r="K594" s="311" t="str">
        <x:v>Hips</x:v>
      </x:c>
      <x:c r="L594" s="311" t="str">
        <x:v>Relaxed breathing</x:v>
      </x:c>
      <x:c r="M594" s="311" t="str"/>
      <x:c r="N594" s="311" t="n">
        <x:v>2</x:v>
      </x:c>
      <x:c r="O594" s="311" t="n">
        <x:v>30</x:v>
      </x:c>
      <x:c r="P594" s="311" t="n">
        <x:v>45</x:v>
      </x:c>
      <x:c r="Q594" s="311" t="str"/>
      <x:c r="R594" s="311" t="n">
        <x:v>20</x:v>
      </x:c>
      <x:c r="S594" s="311" t="str">
        <x:v>Hold</x:v>
      </x:c>
      <x:c r="T594" s="330" t="n">
        <x:v>1</x:v>
      </x:c>
      <x:c r="U594" s="330" t="n">
        <x:v>0</x:v>
      </x:c>
      <x:c r="V594" s="331" t="str">
        <x:v>seconds</x:v>
      </x:c>
      <x:c r="W594" s="332" t="str">
        <x:f>'Readiness'!K70</x:f>
      </x:c>
      <x:c r="X594" s="314" t="n">
        <x:f>'Readiness'!L70</x:f>
        <x:v>1</x:v>
      </x:c>
      <x:c r="Y594" s="315" t="n">
        <x:f>IF(J594="Mobility",N594,MAX(1,ROUND(N594*X594,0)))</x:f>
        <x:v>2</x:v>
      </x:c>
      <x:c r="Z594" s="333" t="n">
        <x:f>0</x:f>
        <x:v>0</x:v>
      </x:c>
      <x:c r="AA594" s="334"/>
      <x:c r="AB594" s="334"/>
      <x:c r="AC594" s="334"/>
      <x:c r="AD594" s="334"/>
      <x:c r="AE594" s="334"/>
      <x:c r="AF594" s="334"/>
      <x:c r="AG594" s="334"/>
      <x:c r="AH594" s="334"/>
      <x:c r="AI594" s="334"/>
      <x:c r="AJ594" s="312"/>
      <x:c r="AK594" s="312"/>
      <x:c r="AL594" s="312"/>
      <x:c r="AM594" s="312"/>
      <x:c r="AN594" s="312"/>
      <x:c r="AO594" s="315" t="n">
        <x:f>COUNT(AB594,AD594,AF594,AH594,AJ594)</x:f>
        <x:v>0</x:v>
      </x:c>
      <x:c r="AP594" s="315" t="n">
        <x:f>SUM(AB594,AD594,AF594,AH594,AJ594)</x:f>
        <x:v>0</x:v>
      </x:c>
      <x:c r="AQ594" s="333" t="n">
        <x:f>AA594*AB594+AC594*AD594+AE594*AF594+AG594*AH594+AI594*AJ594</x:f>
        <x:v>0</x:v>
      </x:c>
      <x:c r="AR594" s="333" t="n">
        <x:f>IF(OR(J594="Strength",J594="Hypertrophy"),MAX(IF(AB594&gt;0,AA594*(1+AB594/30),0),IF(AD594&gt;0,AC594*(1+AD594/30),0),IF(AF594&gt;0,AE594*(1+AF594/30),0),IF(AH594&gt;0,AG594*(1+AH594/30),0),IF(AJ594&gt;0,AI594*(1+AJ594/30),0)),0)</x:f>
        <x:v>0</x:v>
      </x:c>
      <x:c r="AS594" s="315" t="str">
        <x:f>IF(AN594&lt;&gt;"Yes","Not logged",IF(AL594&gt;='Setup'!$B$14,"STOP / MODIFY",IF(Z594=0,"Complete",IF(OR(AO594=0,AK594=""),"Add set data + RIR",IF(AND(MAX(AB594,AD594,AF594,AH594,AJ594)&gt;=P594,AK594&gt;=Q594+1),"Progress",IF(OR(MAX(AB594,AD594,AF594,AH594,AJ594)&lt;O594,AK594&lt;Q594-1),"Regress","Hold"))))))</x:f>
        <x:v>Not logged</x:v>
      </x:c>
      <x:c r="AT594" s="335" t="n">
        <x:f>IF(OR(Z594=0,AN594&lt;&gt;"Yes",AO594=0,AK594=""),0,IF(AL594&gt;='Setup'!$B$14,-2*'Setup'!$B$11,IF(AND(MAX(AB594,AD594,AF594,AH594,AJ594)&gt;=P594,AK594&gt;=Q594+1),'Setup'!$B$10,IF(OR(MAX(AB594,AD594,AF594,AH594,AJ594)&lt;O594,AK594&lt;Q594-1),-'Setup'!$B$11,0))))</x:f>
        <x:v>0</x:v>
      </x:c>
      <x:c r="AU594" s="333" t="n">
        <x:f>IF(Z594=0,0,IF(AN594&lt;&gt;"Yes",Z594,IF(COUNT(AA594,AC594,AE594,AG594,AI594)=0,Z594,ROUND((MAX(AA594,AC594,AE594,AG594,AI594)*(1+AT594))/'Setup'!$B$9,0)*'Setup'!$B$9)))</x:f>
        <x:v>0</x:v>
      </x:c>
      <x:c r="AV594" s="336"/>
    </x:row>
    <x:row r="595">
      <x:c r="A595" s="310" t="n">
        <x:f>'Setup'!$B$3+(C595-1)*7+(D595-1)</x:f>
        <x:v>46318</x:v>
      </x:c>
      <x:c r="B595" s="311" t="str">
        <x:v>11|5|1</x:v>
      </x:c>
      <x:c r="C595" s="311" t="n">
        <x:v>11</x:v>
      </x:c>
      <x:c r="D595" s="311" t="n">
        <x:v>5</x:v>
      </x:c>
      <x:c r="E595" s="311" t="str">
        <x:v>Realization</x:v>
      </x:c>
      <x:c r="F595" s="311" t="str">
        <x:v>Chest + Biceps</x:v>
      </x:c>
      <x:c r="G595" s="311" t="str">
        <x:v>Chest and biceps hypertrophy specialization</x:v>
      </x:c>
      <x:c r="H595" s="311" t="n">
        <x:v>1</x:v>
      </x:c>
      <x:c r="I595" s="311" t="str">
        <x:v>Incline Barbell Bench Press</x:v>
      </x:c>
      <x:c r="J595" s="311" t="str">
        <x:v>Hypertrophy</x:v>
      </x:c>
      <x:c r="K595" s="311" t="str">
        <x:v>Chest</x:v>
      </x:c>
      <x:c r="L595" s="311" t="str">
        <x:v>Straight sets</x:v>
      </x:c>
      <x:c r="M595" s="311" t="str"/>
      <x:c r="N595" s="311" t="n">
        <x:v>4</x:v>
      </x:c>
      <x:c r="O595" s="311" t="n">
        <x:v>6</x:v>
      </x:c>
      <x:c r="P595" s="311" t="n">
        <x:v>10</x:v>
      </x:c>
      <x:c r="Q595" s="311" t="n">
        <x:v>1</x:v>
      </x:c>
      <x:c r="R595" s="311" t="n">
        <x:v>120</x:v>
      </x:c>
      <x:c r="S595" s="311" t="str">
        <x:v>3-0-1</x:v>
      </x:c>
      <x:c r="T595" s="330" t="n">
        <x:v>1</x:v>
      </x:c>
      <x:c r="U595" s="330" t="n">
        <x:v>0.64</x:v>
      </x:c>
      <x:c r="V595" s="331" t="str">
        <x:v>load × reps</x:v>
      </x:c>
      <x:c r="W595" s="332" t="str">
        <x:f>'Readiness'!K71</x:f>
      </x:c>
      <x:c r="X595" s="314" t="n">
        <x:f>'Readiness'!L71</x:f>
        <x:v>1</x:v>
      </x:c>
      <x:c r="Y595" s="315" t="n">
        <x:f>IF(J595="Mobility",N595,MAX(1,ROUND(N595*X595,0)))</x:f>
        <x:v>4</x:v>
      </x:c>
      <x:c r="Z595" s="333" t="n">
        <x:f>ROUND((IF(AU539&gt;0,AU539,IF(Z539&gt;0,Z539,'Setup'!$D$49))*T595)/'Setup'!$B$9,0)*'Setup'!$B$9</x:f>
        <x:v>0</x:v>
      </x:c>
      <x:c r="AA595" s="334"/>
      <x:c r="AB595" s="334"/>
      <x:c r="AC595" s="334"/>
      <x:c r="AD595" s="334"/>
      <x:c r="AE595" s="334"/>
      <x:c r="AF595" s="334"/>
      <x:c r="AG595" s="334"/>
      <x:c r="AH595" s="334"/>
      <x:c r="AI595" s="334"/>
      <x:c r="AJ595" s="312"/>
      <x:c r="AK595" s="312"/>
      <x:c r="AL595" s="312"/>
      <x:c r="AM595" s="312"/>
      <x:c r="AN595" s="312"/>
      <x:c r="AO595" s="315" t="n">
        <x:f>COUNT(AB595,AD595,AF595,AH595,AJ595)</x:f>
        <x:v>0</x:v>
      </x:c>
      <x:c r="AP595" s="315" t="n">
        <x:f>SUM(AB595,AD595,AF595,AH595,AJ595)</x:f>
        <x:v>0</x:v>
      </x:c>
      <x:c r="AQ595" s="333" t="n">
        <x:f>AA595*AB595+AC595*AD595+AE595*AF595+AG595*AH595+AI595*AJ595</x:f>
        <x:v>0</x:v>
      </x:c>
      <x:c r="AR595" s="333" t="n">
        <x:f>IF(OR(J595="Strength",J595="Hypertrophy"),MAX(IF(AB595&gt;0,AA595*(1+AB595/30),0),IF(AD595&gt;0,AC595*(1+AD595/30),0),IF(AF595&gt;0,AE595*(1+AF595/30),0),IF(AH595&gt;0,AG595*(1+AH595/30),0),IF(AJ595&gt;0,AI595*(1+AJ595/30),0)),0)</x:f>
        <x:v>0</x:v>
      </x:c>
      <x:c r="AS595" s="315" t="str">
        <x:f>IF(AN595&lt;&gt;"Yes","Not logged",IF(AL595&gt;='Setup'!$B$14,"STOP / MODIFY",IF(Z595=0,"Complete",IF(OR(AO595=0,AK595=""),"Add set data + RIR",IF(AND(MAX(AB595,AD595,AF595,AH595,AJ595)&gt;=P595,AK595&gt;=Q595+1),"Progress",IF(OR(MAX(AB595,AD595,AF595,AH595,AJ595)&lt;O595,AK595&lt;Q595-1),"Regress","Hold"))))))</x:f>
        <x:v>Not logged</x:v>
      </x:c>
      <x:c r="AT595" s="335" t="n">
        <x:f>IF(OR(Z595=0,AN595&lt;&gt;"Yes",AO595=0,AK595=""),0,IF(AL595&gt;='Setup'!$B$14,-2*'Setup'!$B$11,IF(AND(MAX(AB595,AD595,AF595,AH595,AJ595)&gt;=P595,AK595&gt;=Q595+1),'Setup'!$B$10,IF(OR(MAX(AB595,AD595,AF595,AH595,AJ595)&lt;O595,AK595&lt;Q595-1),-'Setup'!$B$11,0))))</x:f>
        <x:v>0</x:v>
      </x:c>
      <x:c r="AU595" s="333" t="n">
        <x:f>IF(Z595=0,0,IF(AN595&lt;&gt;"Yes",Z595,IF(COUNT(AA595,AC595,AE595,AG595,AI595)=0,Z595,ROUND((MAX(AA595,AC595,AE595,AG595,AI595)*(1+AT595))/'Setup'!$B$9,0)*'Setup'!$B$9)))</x:f>
        <x:v>0</x:v>
      </x:c>
      <x:c r="AV595" s="336"/>
    </x:row>
    <x:row r="596">
      <x:c r="A596" s="310" t="n">
        <x:f>'Setup'!$B$3+(C596-1)*7+(D596-1)</x:f>
        <x:v>46318</x:v>
      </x:c>
      <x:c r="B596" s="311" t="str">
        <x:v>11|5|2</x:v>
      </x:c>
      <x:c r="C596" s="311" t="n">
        <x:v>11</x:v>
      </x:c>
      <x:c r="D596" s="311" t="n">
        <x:v>5</x:v>
      </x:c>
      <x:c r="E596" s="311" t="str">
        <x:v>Realization</x:v>
      </x:c>
      <x:c r="F596" s="311" t="str">
        <x:v>Chest + Biceps</x:v>
      </x:c>
      <x:c r="G596" s="311" t="str">
        <x:v>Chest and biceps hypertrophy specialization</x:v>
      </x:c>
      <x:c r="H596" s="311" t="n">
        <x:v>2</x:v>
      </x:c>
      <x:c r="I596" s="311" t="str">
        <x:v>Incline Dumbbell Bench Press</x:v>
      </x:c>
      <x:c r="J596" s="311" t="str">
        <x:v>Hypertrophy</x:v>
      </x:c>
      <x:c r="K596" s="311" t="str">
        <x:v>Chest</x:v>
      </x:c>
      <x:c r="L596" s="311" t="str">
        <x:v>Straight sets</x:v>
      </x:c>
      <x:c r="M596" s="311" t="str"/>
      <x:c r="N596" s="311" t="n">
        <x:v>3</x:v>
      </x:c>
      <x:c r="O596" s="311" t="n">
        <x:v>8</x:v>
      </x:c>
      <x:c r="P596" s="311" t="n">
        <x:v>12</x:v>
      </x:c>
      <x:c r="Q596" s="311" t="n">
        <x:v>1</x:v>
      </x:c>
      <x:c r="R596" s="311" t="n">
        <x:v>90</x:v>
      </x:c>
      <x:c r="S596" s="311" t="str">
        <x:v>3-0-1</x:v>
      </x:c>
      <x:c r="T596" s="330" t="n">
        <x:v>1</x:v>
      </x:c>
      <x:c r="U596" s="330" t="n">
        <x:v>0</x:v>
      </x:c>
      <x:c r="V596" s="331" t="str">
        <x:v>load × reps</x:v>
      </x:c>
      <x:c r="W596" s="332" t="str">
        <x:f>'Readiness'!K71</x:f>
      </x:c>
      <x:c r="X596" s="314" t="n">
        <x:f>'Readiness'!L71</x:f>
        <x:v>1</x:v>
      </x:c>
      <x:c r="Y596" s="315" t="n">
        <x:f>IF(J596="Mobility",N596,MAX(1,ROUND(N596*X596,0)))</x:f>
        <x:v>3</x:v>
      </x:c>
      <x:c r="Z596" s="333" t="n">
        <x:f>ROUND((IF(AU540&gt;0,AU540,IF(Z540&gt;0,Z540,'Setup'!$D$50))*T596)/'Setup'!$B$9,0)*'Setup'!$B$9</x:f>
        <x:v>0</x:v>
      </x:c>
      <x:c r="AA596" s="334"/>
      <x:c r="AB596" s="334"/>
      <x:c r="AC596" s="334"/>
      <x:c r="AD596" s="334"/>
      <x:c r="AE596" s="334"/>
      <x:c r="AF596" s="334"/>
      <x:c r="AG596" s="334"/>
      <x:c r="AH596" s="334"/>
      <x:c r="AI596" s="334"/>
      <x:c r="AJ596" s="312"/>
      <x:c r="AK596" s="312"/>
      <x:c r="AL596" s="312"/>
      <x:c r="AM596" s="312"/>
      <x:c r="AN596" s="312"/>
      <x:c r="AO596" s="315" t="n">
        <x:f>COUNT(AB596,AD596,AF596,AH596,AJ596)</x:f>
        <x:v>0</x:v>
      </x:c>
      <x:c r="AP596" s="315" t="n">
        <x:f>SUM(AB596,AD596,AF596,AH596,AJ596)</x:f>
        <x:v>0</x:v>
      </x:c>
      <x:c r="AQ596" s="333" t="n">
        <x:f>AA596*AB596+AC596*AD596+AE596*AF596+AG596*AH596+AI596*AJ596</x:f>
        <x:v>0</x:v>
      </x:c>
      <x:c r="AR596" s="333" t="n">
        <x:f>IF(OR(J596="Strength",J596="Hypertrophy"),MAX(IF(AB596&gt;0,AA596*(1+AB596/30),0),IF(AD596&gt;0,AC596*(1+AD596/30),0),IF(AF596&gt;0,AE596*(1+AF596/30),0),IF(AH596&gt;0,AG596*(1+AH596/30),0),IF(AJ596&gt;0,AI596*(1+AJ596/30),0)),0)</x:f>
        <x:v>0</x:v>
      </x:c>
      <x:c r="AS596" s="315" t="str">
        <x:f>IF(AN596&lt;&gt;"Yes","Not logged",IF(AL596&gt;='Setup'!$B$14,"STOP / MODIFY",IF(Z596=0,"Complete",IF(OR(AO596=0,AK596=""),"Add set data + RIR",IF(AND(MAX(AB596,AD596,AF596,AH596,AJ596)&gt;=P596,AK596&gt;=Q596+1),"Progress",IF(OR(MAX(AB596,AD596,AF596,AH596,AJ596)&lt;O596,AK596&lt;Q596-1),"Regress","Hold"))))))</x:f>
        <x:v>Not logged</x:v>
      </x:c>
      <x:c r="AT596" s="335" t="n">
        <x:f>IF(OR(Z596=0,AN596&lt;&gt;"Yes",AO596=0,AK596=""),0,IF(AL596&gt;='Setup'!$B$14,-2*'Setup'!$B$11,IF(AND(MAX(AB596,AD596,AF596,AH596,AJ596)&gt;=P596,AK596&gt;=Q596+1),'Setup'!$B$10,IF(OR(MAX(AB596,AD596,AF596,AH596,AJ596)&lt;O596,AK596&lt;Q596-1),-'Setup'!$B$11,0))))</x:f>
        <x:v>0</x:v>
      </x:c>
      <x:c r="AU596" s="333" t="n">
        <x:f>IF(Z596=0,0,IF(AN596&lt;&gt;"Yes",Z596,IF(COUNT(AA596,AC596,AE596,AG596,AI596)=0,Z596,ROUND((MAX(AA596,AC596,AE596,AG596,AI596)*(1+AT596))/'Setup'!$B$9,0)*'Setup'!$B$9)))</x:f>
        <x:v>0</x:v>
      </x:c>
      <x:c r="AV596" s="336"/>
    </x:row>
    <x:row r="597">
      <x:c r="A597" s="310" t="n">
        <x:f>'Setup'!$B$3+(C597-1)*7+(D597-1)</x:f>
        <x:v>46318</x:v>
      </x:c>
      <x:c r="B597" s="311" t="str">
        <x:v>11|5|3</x:v>
      </x:c>
      <x:c r="C597" s="311" t="n">
        <x:v>11</x:v>
      </x:c>
      <x:c r="D597" s="311" t="n">
        <x:v>5</x:v>
      </x:c>
      <x:c r="E597" s="311" t="str">
        <x:v>Realization</x:v>
      </x:c>
      <x:c r="F597" s="311" t="str">
        <x:v>Chest + Biceps</x:v>
      </x:c>
      <x:c r="G597" s="311" t="str">
        <x:v>Chest and biceps hypertrophy specialization</x:v>
      </x:c>
      <x:c r="H597" s="311" t="n">
        <x:v>3</x:v>
      </x:c>
      <x:c r="I597" s="311" t="str">
        <x:v>Cable Fly</x:v>
      </x:c>
      <x:c r="J597" s="311" t="str">
        <x:v>Hypertrophy</x:v>
      </x:c>
      <x:c r="K597" s="311" t="str">
        <x:v>Chest</x:v>
      </x:c>
      <x:c r="L597" s="311" t="str">
        <x:v>Straight sets</x:v>
      </x:c>
      <x:c r="M597" s="311" t="str"/>
      <x:c r="N597" s="311" t="n">
        <x:v>3</x:v>
      </x:c>
      <x:c r="O597" s="311" t="n">
        <x:v>12</x:v>
      </x:c>
      <x:c r="P597" s="311" t="n">
        <x:v>15</x:v>
      </x:c>
      <x:c r="Q597" s="311" t="n">
        <x:v>1</x:v>
      </x:c>
      <x:c r="R597" s="311" t="n">
        <x:v>60</x:v>
      </x:c>
      <x:c r="S597" s="311" t="str">
        <x:v>2-1-2</x:v>
      </x:c>
      <x:c r="T597" s="330" t="n">
        <x:v>1</x:v>
      </x:c>
      <x:c r="U597" s="330" t="n">
        <x:v>0</x:v>
      </x:c>
      <x:c r="V597" s="331" t="str">
        <x:v>load × reps</x:v>
      </x:c>
      <x:c r="W597" s="332" t="str">
        <x:f>'Readiness'!K71</x:f>
      </x:c>
      <x:c r="X597" s="314" t="n">
        <x:f>'Readiness'!L71</x:f>
        <x:v>1</x:v>
      </x:c>
      <x:c r="Y597" s="315" t="n">
        <x:f>IF(J597="Mobility",N597,MAX(1,ROUND(N597*X597,0)))</x:f>
        <x:v>3</x:v>
      </x:c>
      <x:c r="Z597" s="333" t="n">
        <x:f>ROUND((IF(AU541&gt;0,AU541,IF(Z541&gt;0,Z541,'Setup'!$D$31))*T597)/'Setup'!$B$9,0)*'Setup'!$B$9</x:f>
        <x:v>0</x:v>
      </x:c>
      <x:c r="AA597" s="334"/>
      <x:c r="AB597" s="334"/>
      <x:c r="AC597" s="334"/>
      <x:c r="AD597" s="334"/>
      <x:c r="AE597" s="334"/>
      <x:c r="AF597" s="334"/>
      <x:c r="AG597" s="334"/>
      <x:c r="AH597" s="334"/>
      <x:c r="AI597" s="334"/>
      <x:c r="AJ597" s="312"/>
      <x:c r="AK597" s="312"/>
      <x:c r="AL597" s="312"/>
      <x:c r="AM597" s="312"/>
      <x:c r="AN597" s="312"/>
      <x:c r="AO597" s="315" t="n">
        <x:f>COUNT(AB597,AD597,AF597,AH597,AJ597)</x:f>
        <x:v>0</x:v>
      </x:c>
      <x:c r="AP597" s="315" t="n">
        <x:f>SUM(AB597,AD597,AF597,AH597,AJ597)</x:f>
        <x:v>0</x:v>
      </x:c>
      <x:c r="AQ597" s="333" t="n">
        <x:f>AA597*AB597+AC597*AD597+AE597*AF597+AG597*AH597+AI597*AJ597</x:f>
        <x:v>0</x:v>
      </x:c>
      <x:c r="AR597" s="333" t="n">
        <x:f>IF(OR(J597="Strength",J597="Hypertrophy"),MAX(IF(AB597&gt;0,AA597*(1+AB597/30),0),IF(AD597&gt;0,AC597*(1+AD597/30),0),IF(AF597&gt;0,AE597*(1+AF597/30),0),IF(AH597&gt;0,AG597*(1+AH597/30),0),IF(AJ597&gt;0,AI597*(1+AJ597/30),0)),0)</x:f>
        <x:v>0</x:v>
      </x:c>
      <x:c r="AS597" s="315" t="str">
        <x:f>IF(AN597&lt;&gt;"Yes","Not logged",IF(AL597&gt;='Setup'!$B$14,"STOP / MODIFY",IF(Z597=0,"Complete",IF(OR(AO597=0,AK597=""),"Add set data + RIR",IF(AND(MAX(AB597,AD597,AF597,AH597,AJ597)&gt;=P597,AK597&gt;=Q597+1),"Progress",IF(OR(MAX(AB597,AD597,AF597,AH597,AJ597)&lt;O597,AK597&lt;Q597-1),"Regress","Hold"))))))</x:f>
        <x:v>Not logged</x:v>
      </x:c>
      <x:c r="AT597" s="335" t="n">
        <x:f>IF(OR(Z597=0,AN597&lt;&gt;"Yes",AO597=0,AK597=""),0,IF(AL597&gt;='Setup'!$B$14,-2*'Setup'!$B$11,IF(AND(MAX(AB597,AD597,AF597,AH597,AJ597)&gt;=P597,AK597&gt;=Q597+1),'Setup'!$B$10,IF(OR(MAX(AB597,AD597,AF597,AH597,AJ597)&lt;O597,AK597&lt;Q597-1),-'Setup'!$B$11,0))))</x:f>
        <x:v>0</x:v>
      </x:c>
      <x:c r="AU597" s="333" t="n">
        <x:f>IF(Z597=0,0,IF(AN597&lt;&gt;"Yes",Z597,IF(COUNT(AA597,AC597,AE597,AG597,AI597)=0,Z597,ROUND((MAX(AA597,AC597,AE597,AG597,AI597)*(1+AT597))/'Setup'!$B$9,0)*'Setup'!$B$9)))</x:f>
        <x:v>0</x:v>
      </x:c>
      <x:c r="AV597" s="336"/>
    </x:row>
    <x:row r="598">
      <x:c r="A598" s="310" t="n">
        <x:f>'Setup'!$B$3+(C598-1)*7+(D598-1)</x:f>
        <x:v>46318</x:v>
      </x:c>
      <x:c r="B598" s="311" t="str">
        <x:v>11|5|4</x:v>
      </x:c>
      <x:c r="C598" s="311" t="n">
        <x:v>11</x:v>
      </x:c>
      <x:c r="D598" s="311" t="n">
        <x:v>5</x:v>
      </x:c>
      <x:c r="E598" s="311" t="str">
        <x:v>Realization</x:v>
      </x:c>
      <x:c r="F598" s="311" t="str">
        <x:v>Chest + Biceps</x:v>
      </x:c>
      <x:c r="G598" s="311" t="str">
        <x:v>Chest and biceps hypertrophy specialization</x:v>
      </x:c>
      <x:c r="H598" s="311" t="n">
        <x:v>4</x:v>
      </x:c>
      <x:c r="I598" s="311" t="str">
        <x:v>Half-Kneeling Landmine Press</x:v>
      </x:c>
      <x:c r="J598" s="311" t="str">
        <x:v>Hypertrophy</x:v>
      </x:c>
      <x:c r="K598" s="311" t="str">
        <x:v>Shoulders</x:v>
      </x:c>
      <x:c r="L598" s="311" t="str">
        <x:v>Straight sets</x:v>
      </x:c>
      <x:c r="M598" s="311" t="str"/>
      <x:c r="N598" s="311" t="n">
        <x:v>3</x:v>
      </x:c>
      <x:c r="O598" s="311" t="n">
        <x:v>8</x:v>
      </x:c>
      <x:c r="P598" s="311" t="n">
        <x:v>12</x:v>
      </x:c>
      <x:c r="Q598" s="311" t="n">
        <x:v>1</x:v>
      </x:c>
      <x:c r="R598" s="311" t="n">
        <x:v>75</x:v>
      </x:c>
      <x:c r="S598" s="311" t="str">
        <x:v>2-0-1</x:v>
      </x:c>
      <x:c r="T598" s="330" t="n">
        <x:v>1</x:v>
      </x:c>
      <x:c r="U598" s="330" t="n">
        <x:v>0</x:v>
      </x:c>
      <x:c r="V598" s="331" t="str">
        <x:v>load × reps</x:v>
      </x:c>
      <x:c r="W598" s="332" t="str">
        <x:f>'Readiness'!K71</x:f>
      </x:c>
      <x:c r="X598" s="314" t="n">
        <x:f>'Readiness'!L71</x:f>
        <x:v>1</x:v>
      </x:c>
      <x:c r="Y598" s="315" t="n">
        <x:f>IF(J598="Mobility",N598,MAX(1,ROUND(N598*X598,0)))</x:f>
        <x:v>3</x:v>
      </x:c>
      <x:c r="Z598" s="333" t="n">
        <x:f>ROUND((IF(AU542&gt;0,AU542,IF(Z542&gt;0,Z542,'Setup'!$D$47))*T598)/'Setup'!$B$9,0)*'Setup'!$B$9</x:f>
        <x:v>0</x:v>
      </x:c>
      <x:c r="AA598" s="334"/>
      <x:c r="AB598" s="334"/>
      <x:c r="AC598" s="334"/>
      <x:c r="AD598" s="334"/>
      <x:c r="AE598" s="334"/>
      <x:c r="AF598" s="334"/>
      <x:c r="AG598" s="334"/>
      <x:c r="AH598" s="334"/>
      <x:c r="AI598" s="334"/>
      <x:c r="AJ598" s="312"/>
      <x:c r="AK598" s="312"/>
      <x:c r="AL598" s="312"/>
      <x:c r="AM598" s="312"/>
      <x:c r="AN598" s="312"/>
      <x:c r="AO598" s="315" t="n">
        <x:f>COUNT(AB598,AD598,AF598,AH598,AJ598)</x:f>
        <x:v>0</x:v>
      </x:c>
      <x:c r="AP598" s="315" t="n">
        <x:f>SUM(AB598,AD598,AF598,AH598,AJ598)</x:f>
        <x:v>0</x:v>
      </x:c>
      <x:c r="AQ598" s="333" t="n">
        <x:f>AA598*AB598+AC598*AD598+AE598*AF598+AG598*AH598+AI598*AJ598</x:f>
        <x:v>0</x:v>
      </x:c>
      <x:c r="AR598" s="333" t="n">
        <x:f>IF(OR(J598="Strength",J598="Hypertrophy"),MAX(IF(AB598&gt;0,AA598*(1+AB598/30),0),IF(AD598&gt;0,AC598*(1+AD598/30),0),IF(AF598&gt;0,AE598*(1+AF598/30),0),IF(AH598&gt;0,AG598*(1+AH598/30),0),IF(AJ598&gt;0,AI598*(1+AJ598/30),0)),0)</x:f>
        <x:v>0</x:v>
      </x:c>
      <x:c r="AS598" s="315" t="str">
        <x:f>IF(AN598&lt;&gt;"Yes","Not logged",IF(AL598&gt;='Setup'!$B$14,"STOP / MODIFY",IF(Z598=0,"Complete",IF(OR(AO598=0,AK598=""),"Add set data + RIR",IF(AND(MAX(AB598,AD598,AF598,AH598,AJ598)&gt;=P598,AK598&gt;=Q598+1),"Progress",IF(OR(MAX(AB598,AD598,AF598,AH598,AJ598)&lt;O598,AK598&lt;Q598-1),"Regress","Hold"))))))</x:f>
        <x:v>Not logged</x:v>
      </x:c>
      <x:c r="AT598" s="335" t="n">
        <x:f>IF(OR(Z598=0,AN598&lt;&gt;"Yes",AO598=0,AK598=""),0,IF(AL598&gt;='Setup'!$B$14,-2*'Setup'!$B$11,IF(AND(MAX(AB598,AD598,AF598,AH598,AJ598)&gt;=P598,AK598&gt;=Q598+1),'Setup'!$B$10,IF(OR(MAX(AB598,AD598,AF598,AH598,AJ598)&lt;O598,AK598&lt;Q598-1),-'Setup'!$B$11,0))))</x:f>
        <x:v>0</x:v>
      </x:c>
      <x:c r="AU598" s="333" t="n">
        <x:f>IF(Z598=0,0,IF(AN598&lt;&gt;"Yes",Z598,IF(COUNT(AA598,AC598,AE598,AG598,AI598)=0,Z598,ROUND((MAX(AA598,AC598,AE598,AG598,AI598)*(1+AT598))/'Setup'!$B$9,0)*'Setup'!$B$9)))</x:f>
        <x:v>0</x:v>
      </x:c>
      <x:c r="AV598" s="336"/>
    </x:row>
    <x:row r="599">
      <x:c r="A599" s="310" t="n">
        <x:f>'Setup'!$B$3+(C599-1)*7+(D599-1)</x:f>
        <x:v>46318</x:v>
      </x:c>
      <x:c r="B599" s="311" t="str">
        <x:v>11|5|5</x:v>
      </x:c>
      <x:c r="C599" s="311" t="n">
        <x:v>11</x:v>
      </x:c>
      <x:c r="D599" s="311" t="n">
        <x:v>5</x:v>
      </x:c>
      <x:c r="E599" s="311" t="str">
        <x:v>Realization</x:v>
      </x:c>
      <x:c r="F599" s="311" t="str">
        <x:v>Chest + Biceps</x:v>
      </x:c>
      <x:c r="G599" s="311" t="str">
        <x:v>Chest and biceps hypertrophy specialization</x:v>
      </x:c>
      <x:c r="H599" s="311" t="n">
        <x:v>5</x:v>
      </x:c>
      <x:c r="I599" s="311" t="str">
        <x:v>Cable Lateral Raise</x:v>
      </x:c>
      <x:c r="J599" s="311" t="str">
        <x:v>Hypertrophy</x:v>
      </x:c>
      <x:c r="K599" s="311" t="str">
        <x:v>Shoulders</x:v>
      </x:c>
      <x:c r="L599" s="311" t="str">
        <x:v>Mechanical drop on final set only</x:v>
      </x:c>
      <x:c r="M599" s="311" t="str"/>
      <x:c r="N599" s="311" t="n">
        <x:v>3</x:v>
      </x:c>
      <x:c r="O599" s="311" t="n">
        <x:v>12</x:v>
      </x:c>
      <x:c r="P599" s="311" t="n">
        <x:v>20</x:v>
      </x:c>
      <x:c r="Q599" s="311" t="n">
        <x:v>1</x:v>
      </x:c>
      <x:c r="R599" s="311" t="n">
        <x:v>45</x:v>
      </x:c>
      <x:c r="S599" s="311" t="str">
        <x:v>2-1-2</x:v>
      </x:c>
      <x:c r="T599" s="330" t="n">
        <x:v>1</x:v>
      </x:c>
      <x:c r="U599" s="330" t="n">
        <x:v>0</x:v>
      </x:c>
      <x:c r="V599" s="331" t="str">
        <x:v>load × reps</x:v>
      </x:c>
      <x:c r="W599" s="332" t="str">
        <x:f>'Readiness'!K71</x:f>
      </x:c>
      <x:c r="X599" s="314" t="n">
        <x:f>'Readiness'!L71</x:f>
        <x:v>1</x:v>
      </x:c>
      <x:c r="Y599" s="315" t="n">
        <x:f>IF(J599="Mobility",N599,MAX(1,ROUND(N599*X599,0)))</x:f>
        <x:v>3</x:v>
      </x:c>
      <x:c r="Z599" s="333" t="n">
        <x:f>ROUND((IF(AU583&gt;0,AU583,IF(Z583&gt;0,Z583,'Setup'!$D$33))*T599)/'Setup'!$B$9,0)*'Setup'!$B$9</x:f>
        <x:v>0</x:v>
      </x:c>
      <x:c r="AA599" s="334"/>
      <x:c r="AB599" s="334"/>
      <x:c r="AC599" s="334"/>
      <x:c r="AD599" s="334"/>
      <x:c r="AE599" s="334"/>
      <x:c r="AF599" s="334"/>
      <x:c r="AG599" s="334"/>
      <x:c r="AH599" s="334"/>
      <x:c r="AI599" s="334"/>
      <x:c r="AJ599" s="312"/>
      <x:c r="AK599" s="312"/>
      <x:c r="AL599" s="312"/>
      <x:c r="AM599" s="312"/>
      <x:c r="AN599" s="312"/>
      <x:c r="AO599" s="315" t="n">
        <x:f>COUNT(AB599,AD599,AF599,AH599,AJ599)</x:f>
        <x:v>0</x:v>
      </x:c>
      <x:c r="AP599" s="315" t="n">
        <x:f>SUM(AB599,AD599,AF599,AH599,AJ599)</x:f>
        <x:v>0</x:v>
      </x:c>
      <x:c r="AQ599" s="333" t="n">
        <x:f>AA599*AB599+AC599*AD599+AE599*AF599+AG599*AH599+AI599*AJ599</x:f>
        <x:v>0</x:v>
      </x:c>
      <x:c r="AR599" s="333" t="n">
        <x:f>IF(OR(J599="Strength",J599="Hypertrophy"),MAX(IF(AB599&gt;0,AA599*(1+AB599/30),0),IF(AD599&gt;0,AC599*(1+AD599/30),0),IF(AF599&gt;0,AE599*(1+AF599/30),0),IF(AH599&gt;0,AG599*(1+AH599/30),0),IF(AJ599&gt;0,AI599*(1+AJ599/30),0)),0)</x:f>
        <x:v>0</x:v>
      </x:c>
      <x:c r="AS599" s="315" t="str">
        <x:f>IF(AN599&lt;&gt;"Yes","Not logged",IF(AL599&gt;='Setup'!$B$14,"STOP / MODIFY",IF(Z599=0,"Complete",IF(OR(AO599=0,AK599=""),"Add set data + RIR",IF(AND(MAX(AB599,AD599,AF599,AH599,AJ599)&gt;=P599,AK599&gt;=Q599+1),"Progress",IF(OR(MAX(AB599,AD599,AF599,AH599,AJ599)&lt;O599,AK599&lt;Q599-1),"Regress","Hold"))))))</x:f>
        <x:v>Not logged</x:v>
      </x:c>
      <x:c r="AT599" s="335" t="n">
        <x:f>IF(OR(Z599=0,AN599&lt;&gt;"Yes",AO599=0,AK599=""),0,IF(AL599&gt;='Setup'!$B$14,-2*'Setup'!$B$11,IF(AND(MAX(AB599,AD599,AF599,AH599,AJ599)&gt;=P599,AK599&gt;=Q599+1),'Setup'!$B$10,IF(OR(MAX(AB599,AD599,AF599,AH599,AJ599)&lt;O599,AK599&lt;Q599-1),-'Setup'!$B$11,0))))</x:f>
        <x:v>0</x:v>
      </x:c>
      <x:c r="AU599" s="333" t="n">
        <x:f>IF(Z599=0,0,IF(AN599&lt;&gt;"Yes",Z599,IF(COUNT(AA599,AC599,AE599,AG599,AI599)=0,Z599,ROUND((MAX(AA599,AC599,AE599,AG599,AI599)*(1+AT599))/'Setup'!$B$9,0)*'Setup'!$B$9)))</x:f>
        <x:v>0</x:v>
      </x:c>
      <x:c r="AV599" s="336"/>
    </x:row>
    <x:row r="600">
      <x:c r="A600" s="310" t="n">
        <x:f>'Setup'!$B$3+(C600-1)*7+(D600-1)</x:f>
        <x:v>46318</x:v>
      </x:c>
      <x:c r="B600" s="311" t="str">
        <x:v>11|5|6</x:v>
      </x:c>
      <x:c r="C600" s="311" t="n">
        <x:v>11</x:v>
      </x:c>
      <x:c r="D600" s="311" t="n">
        <x:v>5</x:v>
      </x:c>
      <x:c r="E600" s="311" t="str">
        <x:v>Realization</x:v>
      </x:c>
      <x:c r="F600" s="311" t="str">
        <x:v>Chest + Biceps</x:v>
      </x:c>
      <x:c r="G600" s="311" t="str">
        <x:v>Chest and biceps hypertrophy specialization</x:v>
      </x:c>
      <x:c r="H600" s="311" t="n">
        <x:v>6</x:v>
      </x:c>
      <x:c r="I600" s="311" t="str">
        <x:v>EZ-Bar Curl</x:v>
      </x:c>
      <x:c r="J600" s="311" t="str">
        <x:v>Hypertrophy</x:v>
      </x:c>
      <x:c r="K600" s="311" t="str">
        <x:v>Biceps</x:v>
      </x:c>
      <x:c r="L600" s="311" t="str">
        <x:v>Straight sets</x:v>
      </x:c>
      <x:c r="M600" s="311" t="str"/>
      <x:c r="N600" s="311" t="n">
        <x:v>3</x:v>
      </x:c>
      <x:c r="O600" s="311" t="n">
        <x:v>8</x:v>
      </x:c>
      <x:c r="P600" s="311" t="n">
        <x:v>12</x:v>
      </x:c>
      <x:c r="Q600" s="311" t="n">
        <x:v>1</x:v>
      </x:c>
      <x:c r="R600" s="311" t="n">
        <x:v>60</x:v>
      </x:c>
      <x:c r="S600" s="311" t="str">
        <x:v>3-0-1</x:v>
      </x:c>
      <x:c r="T600" s="330" t="n">
        <x:v>1</x:v>
      </x:c>
      <x:c r="U600" s="330" t="n">
        <x:v>0</x:v>
      </x:c>
      <x:c r="V600" s="331" t="str">
        <x:v>load × reps</x:v>
      </x:c>
      <x:c r="W600" s="332" t="str">
        <x:f>'Readiness'!K71</x:f>
      </x:c>
      <x:c r="X600" s="314" t="n">
        <x:f>'Readiness'!L71</x:f>
        <x:v>1</x:v>
      </x:c>
      <x:c r="Y600" s="315" t="n">
        <x:f>IF(J600="Mobility",N600,MAX(1,ROUND(N600*X600,0)))</x:f>
        <x:v>3</x:v>
      </x:c>
      <x:c r="Z600" s="333" t="n">
        <x:f>ROUND((IF(AU544&gt;0,AU544,IF(Z544&gt;0,Z544,'Setup'!$D$40))*T600)/'Setup'!$B$9,0)*'Setup'!$B$9</x:f>
        <x:v>0</x:v>
      </x:c>
      <x:c r="AA600" s="334"/>
      <x:c r="AB600" s="334"/>
      <x:c r="AC600" s="334"/>
      <x:c r="AD600" s="334"/>
      <x:c r="AE600" s="334"/>
      <x:c r="AF600" s="334"/>
      <x:c r="AG600" s="334"/>
      <x:c r="AH600" s="334"/>
      <x:c r="AI600" s="334"/>
      <x:c r="AJ600" s="312"/>
      <x:c r="AK600" s="312"/>
      <x:c r="AL600" s="312"/>
      <x:c r="AM600" s="312"/>
      <x:c r="AN600" s="312"/>
      <x:c r="AO600" s="315" t="n">
        <x:f>COUNT(AB600,AD600,AF600,AH600,AJ600)</x:f>
        <x:v>0</x:v>
      </x:c>
      <x:c r="AP600" s="315" t="n">
        <x:f>SUM(AB600,AD600,AF600,AH600,AJ600)</x:f>
        <x:v>0</x:v>
      </x:c>
      <x:c r="AQ600" s="333" t="n">
        <x:f>AA600*AB600+AC600*AD600+AE600*AF600+AG600*AH600+AI600*AJ600</x:f>
        <x:v>0</x:v>
      </x:c>
      <x:c r="AR600" s="333" t="n">
        <x:f>IF(OR(J600="Strength",J600="Hypertrophy"),MAX(IF(AB600&gt;0,AA600*(1+AB600/30),0),IF(AD600&gt;0,AC600*(1+AD600/30),0),IF(AF600&gt;0,AE600*(1+AF600/30),0),IF(AH600&gt;0,AG600*(1+AH600/30),0),IF(AJ600&gt;0,AI600*(1+AJ600/30),0)),0)</x:f>
        <x:v>0</x:v>
      </x:c>
      <x:c r="AS600" s="315" t="str">
        <x:f>IF(AN600&lt;&gt;"Yes","Not logged",IF(AL600&gt;='Setup'!$B$14,"STOP / MODIFY",IF(Z600=0,"Complete",IF(OR(AO600=0,AK600=""),"Add set data + RIR",IF(AND(MAX(AB600,AD600,AF600,AH600,AJ600)&gt;=P600,AK600&gt;=Q600+1),"Progress",IF(OR(MAX(AB600,AD600,AF600,AH600,AJ600)&lt;O600,AK600&lt;Q600-1),"Regress","Hold"))))))</x:f>
        <x:v>Not logged</x:v>
      </x:c>
      <x:c r="AT600" s="335" t="n">
        <x:f>IF(OR(Z600=0,AN600&lt;&gt;"Yes",AO600=0,AK600=""),0,IF(AL600&gt;='Setup'!$B$14,-2*'Setup'!$B$11,IF(AND(MAX(AB600,AD600,AF600,AH600,AJ600)&gt;=P600,AK600&gt;=Q600+1),'Setup'!$B$10,IF(OR(MAX(AB600,AD600,AF600,AH600,AJ600)&lt;O600,AK600&lt;Q600-1),-'Setup'!$B$11,0))))</x:f>
        <x:v>0</x:v>
      </x:c>
      <x:c r="AU600" s="333" t="n">
        <x:f>IF(Z600=0,0,IF(AN600&lt;&gt;"Yes",Z600,IF(COUNT(AA600,AC600,AE600,AG600,AI600)=0,Z600,ROUND((MAX(AA600,AC600,AE600,AG600,AI600)*(1+AT600))/'Setup'!$B$9,0)*'Setup'!$B$9)))</x:f>
        <x:v>0</x:v>
      </x:c>
      <x:c r="AV600" s="336"/>
    </x:row>
    <x:row r="601">
      <x:c r="A601" s="310" t="n">
        <x:f>'Setup'!$B$3+(C601-1)*7+(D601-1)</x:f>
        <x:v>46318</x:v>
      </x:c>
      <x:c r="B601" s="311" t="str">
        <x:v>11|5|7</x:v>
      </x:c>
      <x:c r="C601" s="311" t="n">
        <x:v>11</x:v>
      </x:c>
      <x:c r="D601" s="311" t="n">
        <x:v>5</x:v>
      </x:c>
      <x:c r="E601" s="311" t="str">
        <x:v>Realization</x:v>
      </x:c>
      <x:c r="F601" s="311" t="str">
        <x:v>Chest + Biceps</x:v>
      </x:c>
      <x:c r="G601" s="311" t="str">
        <x:v>Chest and biceps hypertrophy specialization</x:v>
      </x:c>
      <x:c r="H601" s="311" t="n">
        <x:v>7</x:v>
      </x:c>
      <x:c r="I601" s="311" t="str">
        <x:v>Incline Dumbbell Curl</x:v>
      </x:c>
      <x:c r="J601" s="311" t="str">
        <x:v>Hypertrophy</x:v>
      </x:c>
      <x:c r="K601" s="311" t="str">
        <x:v>Biceps</x:v>
      </x:c>
      <x:c r="L601" s="311" t="str">
        <x:v>Superset</x:v>
      </x:c>
      <x:c r="M601" s="311" t="str">
        <x:v>A1</x:v>
      </x:c>
      <x:c r="N601" s="311" t="n">
        <x:v>3</x:v>
      </x:c>
      <x:c r="O601" s="311" t="n">
        <x:v>10</x:v>
      </x:c>
      <x:c r="P601" s="311" t="n">
        <x:v>15</x:v>
      </x:c>
      <x:c r="Q601" s="311" t="n">
        <x:v>1</x:v>
      </x:c>
      <x:c r="R601" s="311" t="n">
        <x:v>30</x:v>
      </x:c>
      <x:c r="S601" s="311" t="str">
        <x:v>3-1-1</x:v>
      </x:c>
      <x:c r="T601" s="330" t="n">
        <x:v>1</x:v>
      </x:c>
      <x:c r="U601" s="330" t="n">
        <x:v>0</x:v>
      </x:c>
      <x:c r="V601" s="331" t="str">
        <x:v>load × reps</x:v>
      </x:c>
      <x:c r="W601" s="332" t="str">
        <x:f>'Readiness'!K71</x:f>
      </x:c>
      <x:c r="X601" s="314" t="n">
        <x:f>'Readiness'!L71</x:f>
        <x:v>1</x:v>
      </x:c>
      <x:c r="Y601" s="315" t="n">
        <x:f>IF(J601="Mobility",N601,MAX(1,ROUND(N601*X601,0)))</x:f>
        <x:v>3</x:v>
      </x:c>
      <x:c r="Z601" s="333" t="n">
        <x:f>ROUND((IF(AU545&gt;0,AU545,IF(Z545&gt;0,Z545,'Setup'!$D$51))*T601)/'Setup'!$B$9,0)*'Setup'!$B$9</x:f>
        <x:v>0</x:v>
      </x:c>
      <x:c r="AA601" s="334"/>
      <x:c r="AB601" s="334"/>
      <x:c r="AC601" s="334"/>
      <x:c r="AD601" s="334"/>
      <x:c r="AE601" s="334"/>
      <x:c r="AF601" s="334"/>
      <x:c r="AG601" s="334"/>
      <x:c r="AH601" s="334"/>
      <x:c r="AI601" s="334"/>
      <x:c r="AJ601" s="312"/>
      <x:c r="AK601" s="312"/>
      <x:c r="AL601" s="312"/>
      <x:c r="AM601" s="312"/>
      <x:c r="AN601" s="312"/>
      <x:c r="AO601" s="315" t="n">
        <x:f>COUNT(AB601,AD601,AF601,AH601,AJ601)</x:f>
        <x:v>0</x:v>
      </x:c>
      <x:c r="AP601" s="315" t="n">
        <x:f>SUM(AB601,AD601,AF601,AH601,AJ601)</x:f>
        <x:v>0</x:v>
      </x:c>
      <x:c r="AQ601" s="333" t="n">
        <x:f>AA601*AB601+AC601*AD601+AE601*AF601+AG601*AH601+AI601*AJ601</x:f>
        <x:v>0</x:v>
      </x:c>
      <x:c r="AR601" s="333" t="n">
        <x:f>IF(OR(J601="Strength",J601="Hypertrophy"),MAX(IF(AB601&gt;0,AA601*(1+AB601/30),0),IF(AD601&gt;0,AC601*(1+AD601/30),0),IF(AF601&gt;0,AE601*(1+AF601/30),0),IF(AH601&gt;0,AG601*(1+AH601/30),0),IF(AJ601&gt;0,AI601*(1+AJ601/30),0)),0)</x:f>
        <x:v>0</x:v>
      </x:c>
      <x:c r="AS601" s="315" t="str">
        <x:f>IF(AN601&lt;&gt;"Yes","Not logged",IF(AL601&gt;='Setup'!$B$14,"STOP / MODIFY",IF(Z601=0,"Complete",IF(OR(AO601=0,AK601=""),"Add set data + RIR",IF(AND(MAX(AB601,AD601,AF601,AH601,AJ601)&gt;=P601,AK601&gt;=Q601+1),"Progress",IF(OR(MAX(AB601,AD601,AF601,AH601,AJ601)&lt;O601,AK601&lt;Q601-1),"Regress","Hold"))))))</x:f>
        <x:v>Not logged</x:v>
      </x:c>
      <x:c r="AT601" s="335" t="n">
        <x:f>IF(OR(Z601=0,AN601&lt;&gt;"Yes",AO601=0,AK601=""),0,IF(AL601&gt;='Setup'!$B$14,-2*'Setup'!$B$11,IF(AND(MAX(AB601,AD601,AF601,AH601,AJ601)&gt;=P601,AK601&gt;=Q601+1),'Setup'!$B$10,IF(OR(MAX(AB601,AD601,AF601,AH601,AJ601)&lt;O601,AK601&lt;Q601-1),-'Setup'!$B$11,0))))</x:f>
        <x:v>0</x:v>
      </x:c>
      <x:c r="AU601" s="333" t="n">
        <x:f>IF(Z601=0,0,IF(AN601&lt;&gt;"Yes",Z601,IF(COUNT(AA601,AC601,AE601,AG601,AI601)=0,Z601,ROUND((MAX(AA601,AC601,AE601,AG601,AI601)*(1+AT601))/'Setup'!$B$9,0)*'Setup'!$B$9)))</x:f>
        <x:v>0</x:v>
      </x:c>
      <x:c r="AV601" s="336"/>
    </x:row>
    <x:row r="602">
      <x:c r="A602" s="310" t="n">
        <x:f>'Setup'!$B$3+(C602-1)*7+(D602-1)</x:f>
        <x:v>46318</x:v>
      </x:c>
      <x:c r="B602" s="311" t="str">
        <x:v>11|5|8</x:v>
      </x:c>
      <x:c r="C602" s="311" t="n">
        <x:v>11</x:v>
      </x:c>
      <x:c r="D602" s="311" t="n">
        <x:v>5</x:v>
      </x:c>
      <x:c r="E602" s="311" t="str">
        <x:v>Realization</x:v>
      </x:c>
      <x:c r="F602" s="311" t="str">
        <x:v>Chest + Biceps</x:v>
      </x:c>
      <x:c r="G602" s="311" t="str">
        <x:v>Chest and biceps hypertrophy specialization</x:v>
      </x:c>
      <x:c r="H602" s="311" t="n">
        <x:v>8</x:v>
      </x:c>
      <x:c r="I602" s="311" t="str">
        <x:v>Hammer Curl</x:v>
      </x:c>
      <x:c r="J602" s="311" t="str">
        <x:v>Hypertrophy</x:v>
      </x:c>
      <x:c r="K602" s="311" t="str">
        <x:v>Biceps</x:v>
      </x:c>
      <x:c r="L602" s="311" t="str">
        <x:v>Superset</x:v>
      </x:c>
      <x:c r="M602" s="311" t="str">
        <x:v>A2</x:v>
      </x:c>
      <x:c r="N602" s="311" t="n">
        <x:v>3</x:v>
      </x:c>
      <x:c r="O602" s="311" t="n">
        <x:v>10</x:v>
      </x:c>
      <x:c r="P602" s="311" t="n">
        <x:v>15</x:v>
      </x:c>
      <x:c r="Q602" s="311" t="n">
        <x:v>1</x:v>
      </x:c>
      <x:c r="R602" s="311" t="n">
        <x:v>30</x:v>
      </x:c>
      <x:c r="S602" s="311" t="str">
        <x:v>2-0-1</x:v>
      </x:c>
      <x:c r="T602" s="330" t="n">
        <x:v>1</x:v>
      </x:c>
      <x:c r="U602" s="330" t="n">
        <x:v>0</x:v>
      </x:c>
      <x:c r="V602" s="331" t="str">
        <x:v>load × reps</x:v>
      </x:c>
      <x:c r="W602" s="332" t="str">
        <x:f>'Readiness'!K71</x:f>
      </x:c>
      <x:c r="X602" s="314" t="n">
        <x:f>'Readiness'!L71</x:f>
        <x:v>1</x:v>
      </x:c>
      <x:c r="Y602" s="315" t="n">
        <x:f>IF(J602="Mobility",N602,MAX(1,ROUND(N602*X602,0)))</x:f>
        <x:v>3</x:v>
      </x:c>
      <x:c r="Z602" s="333" t="n">
        <x:f>ROUND((IF(AU546&gt;0,AU546,IF(Z546&gt;0,Z546,'Setup'!$D$48))*T602)/'Setup'!$B$9,0)*'Setup'!$B$9</x:f>
        <x:v>0</x:v>
      </x:c>
      <x:c r="AA602" s="334"/>
      <x:c r="AB602" s="334"/>
      <x:c r="AC602" s="334"/>
      <x:c r="AD602" s="334"/>
      <x:c r="AE602" s="334"/>
      <x:c r="AF602" s="334"/>
      <x:c r="AG602" s="334"/>
      <x:c r="AH602" s="334"/>
      <x:c r="AI602" s="334"/>
      <x:c r="AJ602" s="312"/>
      <x:c r="AK602" s="312"/>
      <x:c r="AL602" s="312"/>
      <x:c r="AM602" s="312"/>
      <x:c r="AN602" s="312"/>
      <x:c r="AO602" s="315" t="n">
        <x:f>COUNT(AB602,AD602,AF602,AH602,AJ602)</x:f>
        <x:v>0</x:v>
      </x:c>
      <x:c r="AP602" s="315" t="n">
        <x:f>SUM(AB602,AD602,AF602,AH602,AJ602)</x:f>
        <x:v>0</x:v>
      </x:c>
      <x:c r="AQ602" s="333" t="n">
        <x:f>AA602*AB602+AC602*AD602+AE602*AF602+AG602*AH602+AI602*AJ602</x:f>
        <x:v>0</x:v>
      </x:c>
      <x:c r="AR602" s="333" t="n">
        <x:f>IF(OR(J602="Strength",J602="Hypertrophy"),MAX(IF(AB602&gt;0,AA602*(1+AB602/30),0),IF(AD602&gt;0,AC602*(1+AD602/30),0),IF(AF602&gt;0,AE602*(1+AF602/30),0),IF(AH602&gt;0,AG602*(1+AH602/30),0),IF(AJ602&gt;0,AI602*(1+AJ602/30),0)),0)</x:f>
        <x:v>0</x:v>
      </x:c>
      <x:c r="AS602" s="315" t="str">
        <x:f>IF(AN602&lt;&gt;"Yes","Not logged",IF(AL602&gt;='Setup'!$B$14,"STOP / MODIFY",IF(Z602=0,"Complete",IF(OR(AO602=0,AK602=""),"Add set data + RIR",IF(AND(MAX(AB602,AD602,AF602,AH602,AJ602)&gt;=P602,AK602&gt;=Q602+1),"Progress",IF(OR(MAX(AB602,AD602,AF602,AH602,AJ602)&lt;O602,AK602&lt;Q602-1),"Regress","Hold"))))))</x:f>
        <x:v>Not logged</x:v>
      </x:c>
      <x:c r="AT602" s="335" t="n">
        <x:f>IF(OR(Z602=0,AN602&lt;&gt;"Yes",AO602=0,AK602=""),0,IF(AL602&gt;='Setup'!$B$14,-2*'Setup'!$B$11,IF(AND(MAX(AB602,AD602,AF602,AH602,AJ602)&gt;=P602,AK602&gt;=Q602+1),'Setup'!$B$10,IF(OR(MAX(AB602,AD602,AF602,AH602,AJ602)&lt;O602,AK602&lt;Q602-1),-'Setup'!$B$11,0))))</x:f>
        <x:v>0</x:v>
      </x:c>
      <x:c r="AU602" s="333" t="n">
        <x:f>IF(Z602=0,0,IF(AN602&lt;&gt;"Yes",Z602,IF(COUNT(AA602,AC602,AE602,AG602,AI602)=0,Z602,ROUND((MAX(AA602,AC602,AE602,AG602,AI602)*(1+AT602))/'Setup'!$B$9,0)*'Setup'!$B$9)))</x:f>
        <x:v>0</x:v>
      </x:c>
      <x:c r="AV602" s="336"/>
    </x:row>
    <x:row r="603">
      <x:c r="A603" s="310" t="n">
        <x:f>'Setup'!$B$3+(C603-1)*7+(D603-1)</x:f>
        <x:v>46318</x:v>
      </x:c>
      <x:c r="B603" s="311" t="str">
        <x:v>11|5|9</x:v>
      </x:c>
      <x:c r="C603" s="311" t="n">
        <x:v>11</x:v>
      </x:c>
      <x:c r="D603" s="311" t="n">
        <x:v>5</x:v>
      </x:c>
      <x:c r="E603" s="311" t="str">
        <x:v>Realization</x:v>
      </x:c>
      <x:c r="F603" s="311" t="str">
        <x:v>Chest + Biceps</x:v>
      </x:c>
      <x:c r="G603" s="311" t="str">
        <x:v>Chest and biceps hypertrophy specialization</x:v>
      </x:c>
      <x:c r="H603" s="311" t="n">
        <x:v>9</x:v>
      </x:c>
      <x:c r="I603" s="311" t="str">
        <x:v>Doorway Pec Stretch</x:v>
      </x:c>
      <x:c r="J603" s="311" t="str">
        <x:v>Mobility</x:v>
      </x:c>
      <x:c r="K603" s="311" t="str">
        <x:v>Chest</x:v>
      </x:c>
      <x:c r="L603" s="311" t="str">
        <x:v>Relaxed breathing</x:v>
      </x:c>
      <x:c r="M603" s="311" t="str"/>
      <x:c r="N603" s="311" t="n">
        <x:v>2</x:v>
      </x:c>
      <x:c r="O603" s="311" t="n">
        <x:v>30</x:v>
      </x:c>
      <x:c r="P603" s="311" t="n">
        <x:v>45</x:v>
      </x:c>
      <x:c r="Q603" s="311" t="str"/>
      <x:c r="R603" s="311" t="n">
        <x:v>20</x:v>
      </x:c>
      <x:c r="S603" s="311" t="str">
        <x:v>Hold</x:v>
      </x:c>
      <x:c r="T603" s="330" t="n">
        <x:v>1</x:v>
      </x:c>
      <x:c r="U603" s="330" t="n">
        <x:v>0</x:v>
      </x:c>
      <x:c r="V603" s="331" t="str">
        <x:v>seconds</x:v>
      </x:c>
      <x:c r="W603" s="332" t="str">
        <x:f>'Readiness'!K71</x:f>
      </x:c>
      <x:c r="X603" s="314" t="n">
        <x:f>'Readiness'!L71</x:f>
        <x:v>1</x:v>
      </x:c>
      <x:c r="Y603" s="315" t="n">
        <x:f>IF(J603="Mobility",N603,MAX(1,ROUND(N603*X603,0)))</x:f>
        <x:v>2</x:v>
      </x:c>
      <x:c r="Z603" s="333" t="n">
        <x:f>0</x:f>
        <x:v>0</x:v>
      </x:c>
      <x:c r="AA603" s="334"/>
      <x:c r="AB603" s="334"/>
      <x:c r="AC603" s="334"/>
      <x:c r="AD603" s="334"/>
      <x:c r="AE603" s="334"/>
      <x:c r="AF603" s="334"/>
      <x:c r="AG603" s="334"/>
      <x:c r="AH603" s="334"/>
      <x:c r="AI603" s="334"/>
      <x:c r="AJ603" s="312"/>
      <x:c r="AK603" s="312"/>
      <x:c r="AL603" s="312"/>
      <x:c r="AM603" s="312"/>
      <x:c r="AN603" s="312"/>
      <x:c r="AO603" s="315" t="n">
        <x:f>COUNT(AB603,AD603,AF603,AH603,AJ603)</x:f>
        <x:v>0</x:v>
      </x:c>
      <x:c r="AP603" s="315" t="n">
        <x:f>SUM(AB603,AD603,AF603,AH603,AJ603)</x:f>
        <x:v>0</x:v>
      </x:c>
      <x:c r="AQ603" s="333" t="n">
        <x:f>AA603*AB603+AC603*AD603+AE603*AF603+AG603*AH603+AI603*AJ603</x:f>
        <x:v>0</x:v>
      </x:c>
      <x:c r="AR603" s="333" t="n">
        <x:f>IF(OR(J603="Strength",J603="Hypertrophy"),MAX(IF(AB603&gt;0,AA603*(1+AB603/30),0),IF(AD603&gt;0,AC603*(1+AD603/30),0),IF(AF603&gt;0,AE603*(1+AF603/30),0),IF(AH603&gt;0,AG603*(1+AH603/30),0),IF(AJ603&gt;0,AI603*(1+AJ603/30),0)),0)</x:f>
        <x:v>0</x:v>
      </x:c>
      <x:c r="AS603" s="315" t="str">
        <x:f>IF(AN603&lt;&gt;"Yes","Not logged",IF(AL603&gt;='Setup'!$B$14,"STOP / MODIFY",IF(Z603=0,"Complete",IF(OR(AO603=0,AK603=""),"Add set data + RIR",IF(AND(MAX(AB603,AD603,AF603,AH603,AJ603)&gt;=P603,AK603&gt;=Q603+1),"Progress",IF(OR(MAX(AB603,AD603,AF603,AH603,AJ603)&lt;O603,AK603&lt;Q603-1),"Regress","Hold"))))))</x:f>
        <x:v>Not logged</x:v>
      </x:c>
      <x:c r="AT603" s="335" t="n">
        <x:f>IF(OR(Z603=0,AN603&lt;&gt;"Yes",AO603=0,AK603=""),0,IF(AL603&gt;='Setup'!$B$14,-2*'Setup'!$B$11,IF(AND(MAX(AB603,AD603,AF603,AH603,AJ603)&gt;=P603,AK603&gt;=Q603+1),'Setup'!$B$10,IF(OR(MAX(AB603,AD603,AF603,AH603,AJ603)&lt;O603,AK603&lt;Q603-1),-'Setup'!$B$11,0))))</x:f>
        <x:v>0</x:v>
      </x:c>
      <x:c r="AU603" s="333" t="n">
        <x:f>IF(Z603=0,0,IF(AN603&lt;&gt;"Yes",Z603,IF(COUNT(AA603,AC603,AE603,AG603,AI603)=0,Z603,ROUND((MAX(AA603,AC603,AE603,AG603,AI603)*(1+AT603))/'Setup'!$B$9,0)*'Setup'!$B$9)))</x:f>
        <x:v>0</x:v>
      </x:c>
      <x:c r="AV603" s="336"/>
    </x:row>
    <x:row r="604">
      <x:c r="A604" s="310" t="n">
        <x:f>'Setup'!$B$3+(C604-1)*7+(D604-1)</x:f>
        <x:v>46319</x:v>
      </x:c>
      <x:c r="B604" s="311" t="str">
        <x:v>11|6|1</x:v>
      </x:c>
      <x:c r="C604" s="311" t="n">
        <x:v>11</x:v>
      </x:c>
      <x:c r="D604" s="311" t="n">
        <x:v>6</x:v>
      </x:c>
      <x:c r="E604" s="311" t="str">
        <x:v>Realization</x:v>
      </x:c>
      <x:c r="F604" s="311" t="str">
        <x:v>Athletic Full Body</x:v>
      </x:c>
      <x:c r="G604" s="311" t="str">
        <x:v>Speed, multidirectional power, conditioning</x:v>
      </x:c>
      <x:c r="H604" s="311" t="n">
        <x:v>1</x:v>
      </x:c>
      <x:c r="I604" s="311" t="str">
        <x:v>Acceleration Sprint</x:v>
      </x:c>
      <x:c r="J604" s="311" t="str">
        <x:v>Athletic</x:v>
      </x:c>
      <x:c r="K604" s="311" t="str">
        <x:v>Full Body</x:v>
      </x:c>
      <x:c r="L604" s="311" t="str">
        <x:v>Full recovery, stop on speed drop</x:v>
      </x:c>
      <x:c r="M604" s="311" t="str"/>
      <x:c r="N604" s="311" t="n">
        <x:v>6</x:v>
      </x:c>
      <x:c r="O604" s="311" t="n">
        <x:v>20</x:v>
      </x:c>
      <x:c r="P604" s="311" t="n">
        <x:v>20</x:v>
      </x:c>
      <x:c r="Q604" s="311" t="n">
        <x:v>2</x:v>
      </x:c>
      <x:c r="R604" s="311" t="n">
        <x:v>90</x:v>
      </x:c>
      <x:c r="S604" s="311" t="str">
        <x:v>Max quality</x:v>
      </x:c>
      <x:c r="T604" s="330" t="n">
        <x:v>1</x:v>
      </x:c>
      <x:c r="U604" s="330" t="n">
        <x:v>0</x:v>
      </x:c>
      <x:c r="V604" s="331" t="str">
        <x:v>20 m time</x:v>
      </x:c>
      <x:c r="W604" s="332" t="str">
        <x:f>'Readiness'!K72</x:f>
      </x:c>
      <x:c r="X604" s="314" t="n">
        <x:f>'Readiness'!L72</x:f>
        <x:v>1</x:v>
      </x:c>
      <x:c r="Y604" s="315" t="n">
        <x:f>IF(J604="Mobility",N604,MAX(1,ROUND(N604*X604,0)))</x:f>
        <x:v>6</x:v>
      </x:c>
      <x:c r="Z604" s="333" t="n">
        <x:f>0</x:f>
        <x:v>0</x:v>
      </x:c>
      <x:c r="AA604" s="334"/>
      <x:c r="AB604" s="334"/>
      <x:c r="AC604" s="334"/>
      <x:c r="AD604" s="334"/>
      <x:c r="AE604" s="334"/>
      <x:c r="AF604" s="334"/>
      <x:c r="AG604" s="334"/>
      <x:c r="AH604" s="334"/>
      <x:c r="AI604" s="334"/>
      <x:c r="AJ604" s="312"/>
      <x:c r="AK604" s="312"/>
      <x:c r="AL604" s="312"/>
      <x:c r="AM604" s="312"/>
      <x:c r="AN604" s="312"/>
      <x:c r="AO604" s="315" t="n">
        <x:f>COUNT(AB604,AD604,AF604,AH604,AJ604)</x:f>
        <x:v>0</x:v>
      </x:c>
      <x:c r="AP604" s="315" t="n">
        <x:f>SUM(AB604,AD604,AF604,AH604,AJ604)</x:f>
        <x:v>0</x:v>
      </x:c>
      <x:c r="AQ604" s="333" t="n">
        <x:f>AA604*AB604+AC604*AD604+AE604*AF604+AG604*AH604+AI604*AJ604</x:f>
        <x:v>0</x:v>
      </x:c>
      <x:c r="AR604" s="333" t="n">
        <x:f>IF(OR(J604="Strength",J604="Hypertrophy"),MAX(IF(AB604&gt;0,AA604*(1+AB604/30),0),IF(AD604&gt;0,AC604*(1+AD604/30),0),IF(AF604&gt;0,AE604*(1+AF604/30),0),IF(AH604&gt;0,AG604*(1+AH604/30),0),IF(AJ604&gt;0,AI604*(1+AJ604/30),0)),0)</x:f>
        <x:v>0</x:v>
      </x:c>
      <x:c r="AS604" s="315" t="str">
        <x:f>IF(AN604&lt;&gt;"Yes","Not logged",IF(AL604&gt;='Setup'!$B$14,"STOP / MODIFY",IF(Z604=0,"Complete",IF(OR(AO604=0,AK604=""),"Add set data + RIR",IF(AND(MAX(AB604,AD604,AF604,AH604,AJ604)&gt;=P604,AK604&gt;=Q604+1),"Progress",IF(OR(MAX(AB604,AD604,AF604,AH604,AJ604)&lt;O604,AK604&lt;Q604-1),"Regress","Hold"))))))</x:f>
        <x:v>Not logged</x:v>
      </x:c>
      <x:c r="AT604" s="335" t="n">
        <x:f>IF(OR(Z604=0,AN604&lt;&gt;"Yes",AO604=0,AK604=""),0,IF(AL604&gt;='Setup'!$B$14,-2*'Setup'!$B$11,IF(AND(MAX(AB604,AD604,AF604,AH604,AJ604)&gt;=P604,AK604&gt;=Q604+1),'Setup'!$B$10,IF(OR(MAX(AB604,AD604,AF604,AH604,AJ604)&lt;O604,AK604&lt;Q604-1),-'Setup'!$B$11,0))))</x:f>
        <x:v>0</x:v>
      </x:c>
      <x:c r="AU604" s="333" t="n">
        <x:f>IF(Z604=0,0,IF(AN604&lt;&gt;"Yes",Z604,IF(COUNT(AA604,AC604,AE604,AG604,AI604)=0,Z604,ROUND((MAX(AA604,AC604,AE604,AG604,AI604)*(1+AT604))/'Setup'!$B$9,0)*'Setup'!$B$9)))</x:f>
        <x:v>0</x:v>
      </x:c>
      <x:c r="AV604" s="336"/>
    </x:row>
    <x:row r="605">
      <x:c r="A605" s="310" t="n">
        <x:f>'Setup'!$B$3+(C605-1)*7+(D605-1)</x:f>
        <x:v>46319</x:v>
      </x:c>
      <x:c r="B605" s="311" t="str">
        <x:v>11|6|2</x:v>
      </x:c>
      <x:c r="C605" s="311" t="n">
        <x:v>11</x:v>
      </x:c>
      <x:c r="D605" s="311" t="n">
        <x:v>6</x:v>
      </x:c>
      <x:c r="E605" s="311" t="str">
        <x:v>Realization</x:v>
      </x:c>
      <x:c r="F605" s="311" t="str">
        <x:v>Athletic Full Body</x:v>
      </x:c>
      <x:c r="G605" s="311" t="str">
        <x:v>Speed, multidirectional power, conditioning</x:v>
      </x:c>
      <x:c r="H605" s="311" t="n">
        <x:v>2</x:v>
      </x:c>
      <x:c r="I605" s="311" t="str">
        <x:v>Lateral Bound</x:v>
      </x:c>
      <x:c r="J605" s="311" t="str">
        <x:v>Power</x:v>
      </x:c>
      <x:c r="K605" s="311" t="str">
        <x:v>Glutes</x:v>
      </x:c>
      <x:c r="L605" s="311" t="str">
        <x:v>Stick landing</x:v>
      </x:c>
      <x:c r="M605" s="311" t="str"/>
      <x:c r="N605" s="311" t="n">
        <x:v>4</x:v>
      </x:c>
      <x:c r="O605" s="311" t="n">
        <x:v>4</x:v>
      </x:c>
      <x:c r="P605" s="311" t="n">
        <x:v>4</x:v>
      </x:c>
      <x:c r="Q605" s="311" t="n">
        <x:v>2</x:v>
      </x:c>
      <x:c r="R605" s="311" t="n">
        <x:v>60</x:v>
      </x:c>
      <x:c r="S605" s="311" t="str">
        <x:v>Explosive</x:v>
      </x:c>
      <x:c r="T605" s="330" t="n">
        <x:v>1</x:v>
      </x:c>
      <x:c r="U605" s="330" t="n">
        <x:v>0</x:v>
      </x:c>
      <x:c r="V605" s="331" t="str">
        <x:v>distance</x:v>
      </x:c>
      <x:c r="W605" s="332" t="str">
        <x:f>'Readiness'!K72</x:f>
      </x:c>
      <x:c r="X605" s="314" t="n">
        <x:f>'Readiness'!L72</x:f>
        <x:v>1</x:v>
      </x:c>
      <x:c r="Y605" s="315" t="n">
        <x:f>IF(J605="Mobility",N605,MAX(1,ROUND(N605*X605,0)))</x:f>
        <x:v>4</x:v>
      </x:c>
      <x:c r="Z605" s="333" t="n">
        <x:f>0</x:f>
        <x:v>0</x:v>
      </x:c>
      <x:c r="AA605" s="334"/>
      <x:c r="AB605" s="334"/>
      <x:c r="AC605" s="334"/>
      <x:c r="AD605" s="334"/>
      <x:c r="AE605" s="334"/>
      <x:c r="AF605" s="334"/>
      <x:c r="AG605" s="334"/>
      <x:c r="AH605" s="334"/>
      <x:c r="AI605" s="334"/>
      <x:c r="AJ605" s="312"/>
      <x:c r="AK605" s="312"/>
      <x:c r="AL605" s="312"/>
      <x:c r="AM605" s="312"/>
      <x:c r="AN605" s="312"/>
      <x:c r="AO605" s="315" t="n">
        <x:f>COUNT(AB605,AD605,AF605,AH605,AJ605)</x:f>
        <x:v>0</x:v>
      </x:c>
      <x:c r="AP605" s="315" t="n">
        <x:f>SUM(AB605,AD605,AF605,AH605,AJ605)</x:f>
        <x:v>0</x:v>
      </x:c>
      <x:c r="AQ605" s="333" t="n">
        <x:f>AA605*AB605+AC605*AD605+AE605*AF605+AG605*AH605+AI605*AJ605</x:f>
        <x:v>0</x:v>
      </x:c>
      <x:c r="AR605" s="333" t="n">
        <x:f>IF(OR(J605="Strength",J605="Hypertrophy"),MAX(IF(AB605&gt;0,AA605*(1+AB605/30),0),IF(AD605&gt;0,AC605*(1+AD605/30),0),IF(AF605&gt;0,AE605*(1+AF605/30),0),IF(AH605&gt;0,AG605*(1+AH605/30),0),IF(AJ605&gt;0,AI605*(1+AJ605/30),0)),0)</x:f>
        <x:v>0</x:v>
      </x:c>
      <x:c r="AS605" s="315" t="str">
        <x:f>IF(AN605&lt;&gt;"Yes","Not logged",IF(AL605&gt;='Setup'!$B$14,"STOP / MODIFY",IF(Z605=0,"Complete",IF(OR(AO605=0,AK605=""),"Add set data + RIR",IF(AND(MAX(AB605,AD605,AF605,AH605,AJ605)&gt;=P605,AK605&gt;=Q605+1),"Progress",IF(OR(MAX(AB605,AD605,AF605,AH605,AJ605)&lt;O605,AK605&lt;Q605-1),"Regress","Hold"))))))</x:f>
        <x:v>Not logged</x:v>
      </x:c>
      <x:c r="AT605" s="335" t="n">
        <x:f>IF(OR(Z605=0,AN605&lt;&gt;"Yes",AO605=0,AK605=""),0,IF(AL605&gt;='Setup'!$B$14,-2*'Setup'!$B$11,IF(AND(MAX(AB605,AD605,AF605,AH605,AJ605)&gt;=P605,AK605&gt;=Q605+1),'Setup'!$B$10,IF(OR(MAX(AB605,AD605,AF605,AH605,AJ605)&lt;O605,AK605&lt;Q605-1),-'Setup'!$B$11,0))))</x:f>
        <x:v>0</x:v>
      </x:c>
      <x:c r="AU605" s="333" t="n">
        <x:f>IF(Z605=0,0,IF(AN605&lt;&gt;"Yes",Z605,IF(COUNT(AA605,AC605,AE605,AG605,AI605)=0,Z605,ROUND((MAX(AA605,AC605,AE605,AG605,AI605)*(1+AT605))/'Setup'!$B$9,0)*'Setup'!$B$9)))</x:f>
        <x:v>0</x:v>
      </x:c>
      <x:c r="AV605" s="336"/>
    </x:row>
    <x:row r="606">
      <x:c r="A606" s="310" t="n">
        <x:f>'Setup'!$B$3+(C606-1)*7+(D606-1)</x:f>
        <x:v>46319</x:v>
      </x:c>
      <x:c r="B606" s="311" t="str">
        <x:v>11|6|3</x:v>
      </x:c>
      <x:c r="C606" s="311" t="n">
        <x:v>11</x:v>
      </x:c>
      <x:c r="D606" s="311" t="n">
        <x:v>6</x:v>
      </x:c>
      <x:c r="E606" s="311" t="str">
        <x:v>Realization</x:v>
      </x:c>
      <x:c r="F606" s="311" t="str">
        <x:v>Athletic Full Body</x:v>
      </x:c>
      <x:c r="G606" s="311" t="str">
        <x:v>Speed, multidirectional power, conditioning</x:v>
      </x:c>
      <x:c r="H606" s="311" t="n">
        <x:v>3</x:v>
      </x:c>
      <x:c r="I606" s="311" t="str">
        <x:v>Medicine Ball Rotational Throw</x:v>
      </x:c>
      <x:c r="J606" s="311" t="str">
        <x:v>Power</x:v>
      </x:c>
      <x:c r="K606" s="311" t="str">
        <x:v>Core</x:v>
      </x:c>
      <x:c r="L606" s="311" t="str">
        <x:v>Max intent, full reset</x:v>
      </x:c>
      <x:c r="M606" s="311" t="str"/>
      <x:c r="N606" s="311" t="n">
        <x:v>4</x:v>
      </x:c>
      <x:c r="O606" s="311" t="n">
        <x:v>4</x:v>
      </x:c>
      <x:c r="P606" s="311" t="n">
        <x:v>4</x:v>
      </x:c>
      <x:c r="Q606" s="311" t="n">
        <x:v>2</x:v>
      </x:c>
      <x:c r="R606" s="311" t="n">
        <x:v>60</x:v>
      </x:c>
      <x:c r="S606" s="311" t="str">
        <x:v>Explosive</x:v>
      </x:c>
      <x:c r="T606" s="330" t="n">
        <x:v>1</x:v>
      </x:c>
      <x:c r="U606" s="330" t="n">
        <x:v>0</x:v>
      </x:c>
      <x:c r="V606" s="331" t="str">
        <x:v>throw quality</x:v>
      </x:c>
      <x:c r="W606" s="332" t="str">
        <x:f>'Readiness'!K72</x:f>
      </x:c>
      <x:c r="X606" s="314" t="n">
        <x:f>'Readiness'!L72</x:f>
        <x:v>1</x:v>
      </x:c>
      <x:c r="Y606" s="315" t="n">
        <x:f>IF(J606="Mobility",N606,MAX(1,ROUND(N606*X606,0)))</x:f>
        <x:v>4</x:v>
      </x:c>
      <x:c r="Z606" s="333" t="n">
        <x:f>0</x:f>
        <x:v>0</x:v>
      </x:c>
      <x:c r="AA606" s="334"/>
      <x:c r="AB606" s="334"/>
      <x:c r="AC606" s="334"/>
      <x:c r="AD606" s="334"/>
      <x:c r="AE606" s="334"/>
      <x:c r="AF606" s="334"/>
      <x:c r="AG606" s="334"/>
      <x:c r="AH606" s="334"/>
      <x:c r="AI606" s="334"/>
      <x:c r="AJ606" s="312"/>
      <x:c r="AK606" s="312"/>
      <x:c r="AL606" s="312"/>
      <x:c r="AM606" s="312"/>
      <x:c r="AN606" s="312"/>
      <x:c r="AO606" s="315" t="n">
        <x:f>COUNT(AB606,AD606,AF606,AH606,AJ606)</x:f>
        <x:v>0</x:v>
      </x:c>
      <x:c r="AP606" s="315" t="n">
        <x:f>SUM(AB606,AD606,AF606,AH606,AJ606)</x:f>
        <x:v>0</x:v>
      </x:c>
      <x:c r="AQ606" s="333" t="n">
        <x:f>AA606*AB606+AC606*AD606+AE606*AF606+AG606*AH606+AI606*AJ606</x:f>
        <x:v>0</x:v>
      </x:c>
      <x:c r="AR606" s="333" t="n">
        <x:f>IF(OR(J606="Strength",J606="Hypertrophy"),MAX(IF(AB606&gt;0,AA606*(1+AB606/30),0),IF(AD606&gt;0,AC606*(1+AD606/30),0),IF(AF606&gt;0,AE606*(1+AF606/30),0),IF(AH606&gt;0,AG606*(1+AH606/30),0),IF(AJ606&gt;0,AI606*(1+AJ606/30),0)),0)</x:f>
        <x:v>0</x:v>
      </x:c>
      <x:c r="AS606" s="315" t="str">
        <x:f>IF(AN606&lt;&gt;"Yes","Not logged",IF(AL606&gt;='Setup'!$B$14,"STOP / MODIFY",IF(Z606=0,"Complete",IF(OR(AO606=0,AK606=""),"Add set data + RIR",IF(AND(MAX(AB606,AD606,AF606,AH606,AJ606)&gt;=P606,AK606&gt;=Q606+1),"Progress",IF(OR(MAX(AB606,AD606,AF606,AH606,AJ606)&lt;O606,AK606&lt;Q606-1),"Regress","Hold"))))))</x:f>
        <x:v>Not logged</x:v>
      </x:c>
      <x:c r="AT606" s="335" t="n">
        <x:f>IF(OR(Z606=0,AN606&lt;&gt;"Yes",AO606=0,AK606=""),0,IF(AL606&gt;='Setup'!$B$14,-2*'Setup'!$B$11,IF(AND(MAX(AB606,AD606,AF606,AH606,AJ606)&gt;=P606,AK606&gt;=Q606+1),'Setup'!$B$10,IF(OR(MAX(AB606,AD606,AF606,AH606,AJ606)&lt;O606,AK606&lt;Q606-1),-'Setup'!$B$11,0))))</x:f>
        <x:v>0</x:v>
      </x:c>
      <x:c r="AU606" s="333" t="n">
        <x:f>IF(Z606=0,0,IF(AN606&lt;&gt;"Yes",Z606,IF(COUNT(AA606,AC606,AE606,AG606,AI606)=0,Z606,ROUND((MAX(AA606,AC606,AE606,AG606,AI606)*(1+AT606))/'Setup'!$B$9,0)*'Setup'!$B$9)))</x:f>
        <x:v>0</x:v>
      </x:c>
      <x:c r="AV606" s="336"/>
    </x:row>
    <x:row r="607">
      <x:c r="A607" s="310" t="n">
        <x:f>'Setup'!$B$3+(C607-1)*7+(D607-1)</x:f>
        <x:v>46319</x:v>
      </x:c>
      <x:c r="B607" s="311" t="str">
        <x:v>11|6|4</x:v>
      </x:c>
      <x:c r="C607" s="311" t="n">
        <x:v>11</x:v>
      </x:c>
      <x:c r="D607" s="311" t="n">
        <x:v>6</x:v>
      </x:c>
      <x:c r="E607" s="311" t="str">
        <x:v>Realization</x:v>
      </x:c>
      <x:c r="F607" s="311" t="str">
        <x:v>Athletic Full Body</x:v>
      </x:c>
      <x:c r="G607" s="311" t="str">
        <x:v>Speed, multidirectional power, conditioning</x:v>
      </x:c>
      <x:c r="H607" s="311" t="n">
        <x:v>4</x:v>
      </x:c>
      <x:c r="I607" s="311" t="str">
        <x:v>Kettlebell Swing</x:v>
      </x:c>
      <x:c r="J607" s="311" t="str">
        <x:v>Power</x:v>
      </x:c>
      <x:c r="K607" s="311" t="str">
        <x:v>Hamstrings</x:v>
      </x:c>
      <x:c r="L607" s="311" t="str">
        <x:v>Ballistic hinge</x:v>
      </x:c>
      <x:c r="M607" s="311" t="str"/>
      <x:c r="N607" s="311" t="n">
        <x:v>5</x:v>
      </x:c>
      <x:c r="O607" s="311" t="n">
        <x:v>5</x:v>
      </x:c>
      <x:c r="P607" s="311" t="n">
        <x:v>5</x:v>
      </x:c>
      <x:c r="Q607" s="311" t="n">
        <x:v>2</x:v>
      </x:c>
      <x:c r="R607" s="311" t="n">
        <x:v>60</x:v>
      </x:c>
      <x:c r="S607" s="311" t="str">
        <x:v>Explosive</x:v>
      </x:c>
      <x:c r="T607" s="330" t="n">
        <x:v>1</x:v>
      </x:c>
      <x:c r="U607" s="330" t="n">
        <x:v>0</x:v>
      </x:c>
      <x:c r="V607" s="331" t="str">
        <x:v>load × reps</x:v>
      </x:c>
      <x:c r="W607" s="332" t="str">
        <x:f>'Readiness'!K72</x:f>
      </x:c>
      <x:c r="X607" s="314" t="n">
        <x:f>'Readiness'!L72</x:f>
        <x:v>1</x:v>
      </x:c>
      <x:c r="Y607" s="315" t="n">
        <x:f>IF(J607="Mobility",N607,MAX(1,ROUND(N607*X607,0)))</x:f>
        <x:v>5</x:v>
      </x:c>
      <x:c r="Z607" s="333" t="n">
        <x:f>ROUND((IF(AU551&gt;0,AU551,IF(Z551&gt;0,Z551,'Setup'!$D$54))*T607)/'Setup'!$B$9,0)*'Setup'!$B$9</x:f>
        <x:v>0</x:v>
      </x:c>
      <x:c r="AA607" s="334"/>
      <x:c r="AB607" s="334"/>
      <x:c r="AC607" s="334"/>
      <x:c r="AD607" s="334"/>
      <x:c r="AE607" s="334"/>
      <x:c r="AF607" s="334"/>
      <x:c r="AG607" s="334"/>
      <x:c r="AH607" s="334"/>
      <x:c r="AI607" s="334"/>
      <x:c r="AJ607" s="312"/>
      <x:c r="AK607" s="312"/>
      <x:c r="AL607" s="312"/>
      <x:c r="AM607" s="312"/>
      <x:c r="AN607" s="312"/>
      <x:c r="AO607" s="315" t="n">
        <x:f>COUNT(AB607,AD607,AF607,AH607,AJ607)</x:f>
        <x:v>0</x:v>
      </x:c>
      <x:c r="AP607" s="315" t="n">
        <x:f>SUM(AB607,AD607,AF607,AH607,AJ607)</x:f>
        <x:v>0</x:v>
      </x:c>
      <x:c r="AQ607" s="333" t="n">
        <x:f>AA607*AB607+AC607*AD607+AE607*AF607+AG607*AH607+AI607*AJ607</x:f>
        <x:v>0</x:v>
      </x:c>
      <x:c r="AR607" s="333" t="n">
        <x:f>IF(OR(J607="Strength",J607="Hypertrophy"),MAX(IF(AB607&gt;0,AA607*(1+AB607/30),0),IF(AD607&gt;0,AC607*(1+AD607/30),0),IF(AF607&gt;0,AE607*(1+AF607/30),0),IF(AH607&gt;0,AG607*(1+AH607/30),0),IF(AJ607&gt;0,AI607*(1+AJ607/30),0)),0)</x:f>
        <x:v>0</x:v>
      </x:c>
      <x:c r="AS607" s="315" t="str">
        <x:f>IF(AN607&lt;&gt;"Yes","Not logged",IF(AL607&gt;='Setup'!$B$14,"STOP / MODIFY",IF(Z607=0,"Complete",IF(OR(AO607=0,AK607=""),"Add set data + RIR",IF(AND(MAX(AB607,AD607,AF607,AH607,AJ607)&gt;=P607,AK607&gt;=Q607+1),"Progress",IF(OR(MAX(AB607,AD607,AF607,AH607,AJ607)&lt;O607,AK607&lt;Q607-1),"Regress","Hold"))))))</x:f>
        <x:v>Not logged</x:v>
      </x:c>
      <x:c r="AT607" s="335" t="n">
        <x:f>IF(OR(Z607=0,AN607&lt;&gt;"Yes",AO607=0,AK607=""),0,IF(AL607&gt;='Setup'!$B$14,-2*'Setup'!$B$11,IF(AND(MAX(AB607,AD607,AF607,AH607,AJ607)&gt;=P607,AK607&gt;=Q607+1),'Setup'!$B$10,IF(OR(MAX(AB607,AD607,AF607,AH607,AJ607)&lt;O607,AK607&lt;Q607-1),-'Setup'!$B$11,0))))</x:f>
        <x:v>0</x:v>
      </x:c>
      <x:c r="AU607" s="333" t="n">
        <x:f>IF(Z607=0,0,IF(AN607&lt;&gt;"Yes",Z607,IF(COUNT(AA607,AC607,AE607,AG607,AI607)=0,Z607,ROUND((MAX(AA607,AC607,AE607,AG607,AI607)*(1+AT607))/'Setup'!$B$9,0)*'Setup'!$B$9)))</x:f>
        <x:v>0</x:v>
      </x:c>
      <x:c r="AV607" s="336"/>
    </x:row>
    <x:row r="608">
      <x:c r="A608" s="310" t="n">
        <x:f>'Setup'!$B$3+(C608-1)*7+(D608-1)</x:f>
        <x:v>46319</x:v>
      </x:c>
      <x:c r="B608" s="311" t="str">
        <x:v>11|6|5</x:v>
      </x:c>
      <x:c r="C608" s="311" t="n">
        <x:v>11</x:v>
      </x:c>
      <x:c r="D608" s="311" t="n">
        <x:v>6</x:v>
      </x:c>
      <x:c r="E608" s="311" t="str">
        <x:v>Realization</x:v>
      </x:c>
      <x:c r="F608" s="311" t="str">
        <x:v>Athletic Full Body</x:v>
      </x:c>
      <x:c r="G608" s="311" t="str">
        <x:v>Speed, multidirectional power, conditioning</x:v>
      </x:c>
      <x:c r="H608" s="311" t="n">
        <x:v>5</x:v>
      </x:c>
      <x:c r="I608" s="311" t="str">
        <x:v>Sled Push</x:v>
      </x:c>
      <x:c r="J608" s="311" t="str">
        <x:v>Athletic</x:v>
      </x:c>
      <x:c r="K608" s="311" t="str">
        <x:v>Quads</x:v>
      </x:c>
      <x:c r="L608" s="311" t="str">
        <x:v>Fast, powerful steps</x:v>
      </x:c>
      <x:c r="M608" s="311" t="str"/>
      <x:c r="N608" s="311" t="n">
        <x:v>6</x:v>
      </x:c>
      <x:c r="O608" s="311" t="n">
        <x:v>20</x:v>
      </x:c>
      <x:c r="P608" s="311" t="n">
        <x:v>20</x:v>
      </x:c>
      <x:c r="Q608" s="311" t="n">
        <x:v>2</x:v>
      </x:c>
      <x:c r="R608" s="311" t="n">
        <x:v>75</x:v>
      </x:c>
      <x:c r="S608" s="311" t="str">
        <x:v>Fast</x:v>
      </x:c>
      <x:c r="T608" s="330" t="n">
        <x:v>1</x:v>
      </x:c>
      <x:c r="U608" s="330" t="n">
        <x:v>0</x:v>
      </x:c>
      <x:c r="V608" s="331" t="str">
        <x:v>load + meters</x:v>
      </x:c>
      <x:c r="W608" s="332" t="str">
        <x:f>'Readiness'!K72</x:f>
      </x:c>
      <x:c r="X608" s="314" t="n">
        <x:f>'Readiness'!L72</x:f>
        <x:v>1</x:v>
      </x:c>
      <x:c r="Y608" s="315" t="n">
        <x:f>IF(J608="Mobility",N608,MAX(1,ROUND(N608*X608,0)))</x:f>
        <x:v>6</x:v>
      </x:c>
      <x:c r="Z608" s="333" t="n">
        <x:f>0</x:f>
        <x:v>0</x:v>
      </x:c>
      <x:c r="AA608" s="334"/>
      <x:c r="AB608" s="334"/>
      <x:c r="AC608" s="334"/>
      <x:c r="AD608" s="334"/>
      <x:c r="AE608" s="334"/>
      <x:c r="AF608" s="334"/>
      <x:c r="AG608" s="334"/>
      <x:c r="AH608" s="334"/>
      <x:c r="AI608" s="334"/>
      <x:c r="AJ608" s="312"/>
      <x:c r="AK608" s="312"/>
      <x:c r="AL608" s="312"/>
      <x:c r="AM608" s="312"/>
      <x:c r="AN608" s="312"/>
      <x:c r="AO608" s="315" t="n">
        <x:f>COUNT(AB608,AD608,AF608,AH608,AJ608)</x:f>
        <x:v>0</x:v>
      </x:c>
      <x:c r="AP608" s="315" t="n">
        <x:f>SUM(AB608,AD608,AF608,AH608,AJ608)</x:f>
        <x:v>0</x:v>
      </x:c>
      <x:c r="AQ608" s="333" t="n">
        <x:f>AA608*AB608+AC608*AD608+AE608*AF608+AG608*AH608+AI608*AJ608</x:f>
        <x:v>0</x:v>
      </x:c>
      <x:c r="AR608" s="333" t="n">
        <x:f>IF(OR(J608="Strength",J608="Hypertrophy"),MAX(IF(AB608&gt;0,AA608*(1+AB608/30),0),IF(AD608&gt;0,AC608*(1+AD608/30),0),IF(AF608&gt;0,AE608*(1+AF608/30),0),IF(AH608&gt;0,AG608*(1+AH608/30),0),IF(AJ608&gt;0,AI608*(1+AJ608/30),0)),0)</x:f>
        <x:v>0</x:v>
      </x:c>
      <x:c r="AS608" s="315" t="str">
        <x:f>IF(AN608&lt;&gt;"Yes","Not logged",IF(AL608&gt;='Setup'!$B$14,"STOP / MODIFY",IF(Z608=0,"Complete",IF(OR(AO608=0,AK608=""),"Add set data + RIR",IF(AND(MAX(AB608,AD608,AF608,AH608,AJ608)&gt;=P608,AK608&gt;=Q608+1),"Progress",IF(OR(MAX(AB608,AD608,AF608,AH608,AJ608)&lt;O608,AK608&lt;Q608-1),"Regress","Hold"))))))</x:f>
        <x:v>Not logged</x:v>
      </x:c>
      <x:c r="AT608" s="335" t="n">
        <x:f>IF(OR(Z608=0,AN608&lt;&gt;"Yes",AO608=0,AK608=""),0,IF(AL608&gt;='Setup'!$B$14,-2*'Setup'!$B$11,IF(AND(MAX(AB608,AD608,AF608,AH608,AJ608)&gt;=P608,AK608&gt;=Q608+1),'Setup'!$B$10,IF(OR(MAX(AB608,AD608,AF608,AH608,AJ608)&lt;O608,AK608&lt;Q608-1),-'Setup'!$B$11,0))))</x:f>
        <x:v>0</x:v>
      </x:c>
      <x:c r="AU608" s="333" t="n">
        <x:f>IF(Z608=0,0,IF(AN608&lt;&gt;"Yes",Z608,IF(COUNT(AA608,AC608,AE608,AG608,AI608)=0,Z608,ROUND((MAX(AA608,AC608,AE608,AG608,AI608)*(1+AT608))/'Setup'!$B$9,0)*'Setup'!$B$9)))</x:f>
        <x:v>0</x:v>
      </x:c>
      <x:c r="AV608" s="336"/>
    </x:row>
    <x:row r="609">
      <x:c r="A609" s="310" t="n">
        <x:f>'Setup'!$B$3+(C609-1)*7+(D609-1)</x:f>
        <x:v>46319</x:v>
      </x:c>
      <x:c r="B609" s="311" t="str">
        <x:v>11|6|6</x:v>
      </x:c>
      <x:c r="C609" s="311" t="n">
        <x:v>11</x:v>
      </x:c>
      <x:c r="D609" s="311" t="n">
        <x:v>6</x:v>
      </x:c>
      <x:c r="E609" s="311" t="str">
        <x:v>Realization</x:v>
      </x:c>
      <x:c r="F609" s="311" t="str">
        <x:v>Athletic Full Body</x:v>
      </x:c>
      <x:c r="G609" s="311" t="str">
        <x:v>Speed, multidirectional power, conditioning</x:v>
      </x:c>
      <x:c r="H609" s="311" t="n">
        <x:v>6</x:v>
      </x:c>
      <x:c r="I609" s="311" t="str">
        <x:v>Pull-Up</x:v>
      </x:c>
      <x:c r="J609" s="311" t="str">
        <x:v>Hypertrophy</x:v>
      </x:c>
      <x:c r="K609" s="311" t="str">
        <x:v>Back</x:v>
      </x:c>
      <x:c r="L609" s="311" t="str">
        <x:v>Straight sets</x:v>
      </x:c>
      <x:c r="M609" s="311" t="str"/>
      <x:c r="N609" s="311" t="n">
        <x:v>3</x:v>
      </x:c>
      <x:c r="O609" s="311" t="n">
        <x:v>6</x:v>
      </x:c>
      <x:c r="P609" s="311" t="n">
        <x:v>10</x:v>
      </x:c>
      <x:c r="Q609" s="311" t="n">
        <x:v>1</x:v>
      </x:c>
      <x:c r="R609" s="311" t="n">
        <x:v>75</x:v>
      </x:c>
      <x:c r="S609" s="311" t="str">
        <x:v>2-1-1</x:v>
      </x:c>
      <x:c r="T609" s="330" t="n">
        <x:v>1</x:v>
      </x:c>
      <x:c r="U609" s="330" t="n">
        <x:v>0</x:v>
      </x:c>
      <x:c r="V609" s="331" t="str">
        <x:v>reps</x:v>
      </x:c>
      <x:c r="W609" s="332" t="str">
        <x:f>'Readiness'!K72</x:f>
      </x:c>
      <x:c r="X609" s="314" t="n">
        <x:f>'Readiness'!L72</x:f>
        <x:v>1</x:v>
      </x:c>
      <x:c r="Y609" s="315" t="n">
        <x:f>IF(J609="Mobility",N609,MAX(1,ROUND(N609*X609,0)))</x:f>
        <x:v>3</x:v>
      </x:c>
      <x:c r="Z609" s="333" t="n">
        <x:f>0</x:f>
        <x:v>0</x:v>
      </x:c>
      <x:c r="AA609" s="334"/>
      <x:c r="AB609" s="334"/>
      <x:c r="AC609" s="334"/>
      <x:c r="AD609" s="334"/>
      <x:c r="AE609" s="334"/>
      <x:c r="AF609" s="334"/>
      <x:c r="AG609" s="334"/>
      <x:c r="AH609" s="334"/>
      <x:c r="AI609" s="334"/>
      <x:c r="AJ609" s="312"/>
      <x:c r="AK609" s="312"/>
      <x:c r="AL609" s="312"/>
      <x:c r="AM609" s="312"/>
      <x:c r="AN609" s="312"/>
      <x:c r="AO609" s="315" t="n">
        <x:f>COUNT(AB609,AD609,AF609,AH609,AJ609)</x:f>
        <x:v>0</x:v>
      </x:c>
      <x:c r="AP609" s="315" t="n">
        <x:f>SUM(AB609,AD609,AF609,AH609,AJ609)</x:f>
        <x:v>0</x:v>
      </x:c>
      <x:c r="AQ609" s="333" t="n">
        <x:f>AA609*AB609+AC609*AD609+AE609*AF609+AG609*AH609+AI609*AJ609</x:f>
        <x:v>0</x:v>
      </x:c>
      <x:c r="AR609" s="333" t="n">
        <x:f>IF(OR(J609="Strength",J609="Hypertrophy"),MAX(IF(AB609&gt;0,AA609*(1+AB609/30),0),IF(AD609&gt;0,AC609*(1+AD609/30),0),IF(AF609&gt;0,AE609*(1+AF609/30),0),IF(AH609&gt;0,AG609*(1+AH609/30),0),IF(AJ609&gt;0,AI609*(1+AJ609/30),0)),0)</x:f>
        <x:v>0</x:v>
      </x:c>
      <x:c r="AS609" s="315" t="str">
        <x:f>IF(AN609&lt;&gt;"Yes","Not logged",IF(AL609&gt;='Setup'!$B$14,"STOP / MODIFY",IF(Z609=0,"Complete",IF(OR(AO609=0,AK609=""),"Add set data + RIR",IF(AND(MAX(AB609,AD609,AF609,AH609,AJ609)&gt;=P609,AK609&gt;=Q609+1),"Progress",IF(OR(MAX(AB609,AD609,AF609,AH609,AJ609)&lt;O609,AK609&lt;Q609-1),"Regress","Hold"))))))</x:f>
        <x:v>Not logged</x:v>
      </x:c>
      <x:c r="AT609" s="335" t="n">
        <x:f>IF(OR(Z609=0,AN609&lt;&gt;"Yes",AO609=0,AK609=""),0,IF(AL609&gt;='Setup'!$B$14,-2*'Setup'!$B$11,IF(AND(MAX(AB609,AD609,AF609,AH609,AJ609)&gt;=P609,AK609&gt;=Q609+1),'Setup'!$B$10,IF(OR(MAX(AB609,AD609,AF609,AH609,AJ609)&lt;O609,AK609&lt;Q609-1),-'Setup'!$B$11,0))))</x:f>
        <x:v>0</x:v>
      </x:c>
      <x:c r="AU609" s="333" t="n">
        <x:f>IF(Z609=0,0,IF(AN609&lt;&gt;"Yes",Z609,IF(COUNT(AA609,AC609,AE609,AG609,AI609)=0,Z609,ROUND((MAX(AA609,AC609,AE609,AG609,AI609)*(1+AT609))/'Setup'!$B$9,0)*'Setup'!$B$9)))</x:f>
        <x:v>0</x:v>
      </x:c>
      <x:c r="AV609" s="336"/>
    </x:row>
    <x:row r="610">
      <x:c r="A610" s="310" t="n">
        <x:f>'Setup'!$B$3+(C610-1)*7+(D610-1)</x:f>
        <x:v>46319</x:v>
      </x:c>
      <x:c r="B610" s="311" t="str">
        <x:v>11|6|7</x:v>
      </x:c>
      <x:c r="C610" s="311" t="n">
        <x:v>11</x:v>
      </x:c>
      <x:c r="D610" s="311" t="n">
        <x:v>6</x:v>
      </x:c>
      <x:c r="E610" s="311" t="str">
        <x:v>Realization</x:v>
      </x:c>
      <x:c r="F610" s="311" t="str">
        <x:v>Athletic Full Body</x:v>
      </x:c>
      <x:c r="G610" s="311" t="str">
        <x:v>Speed, multidirectional power, conditioning</x:v>
      </x:c>
      <x:c r="H610" s="311" t="n">
        <x:v>7</x:v>
      </x:c>
      <x:c r="I610" s="311" t="str">
        <x:v>Walking Lunge</x:v>
      </x:c>
      <x:c r="J610" s="311" t="str">
        <x:v>Hypertrophy</x:v>
      </x:c>
      <x:c r="K610" s="311" t="str">
        <x:v>Quads</x:v>
      </x:c>
      <x:c r="L610" s="311" t="str">
        <x:v>Straight sets</x:v>
      </x:c>
      <x:c r="M610" s="311" t="str"/>
      <x:c r="N610" s="311" t="n">
        <x:v>2</x:v>
      </x:c>
      <x:c r="O610" s="311" t="n">
        <x:v>10</x:v>
      </x:c>
      <x:c r="P610" s="311" t="n">
        <x:v>12</x:v>
      </x:c>
      <x:c r="Q610" s="311" t="n">
        <x:v>1</x:v>
      </x:c>
      <x:c r="R610" s="311" t="n">
        <x:v>75</x:v>
      </x:c>
      <x:c r="S610" s="311" t="str">
        <x:v>2-0-1</x:v>
      </x:c>
      <x:c r="T610" s="330" t="n">
        <x:v>1</x:v>
      </x:c>
      <x:c r="U610" s="330" t="n">
        <x:v>0</x:v>
      </x:c>
      <x:c r="V610" s="331" t="str">
        <x:v>load × reps</x:v>
      </x:c>
      <x:c r="W610" s="332" t="str">
        <x:f>'Readiness'!K72</x:f>
      </x:c>
      <x:c r="X610" s="314" t="n">
        <x:f>'Readiness'!L72</x:f>
        <x:v>1</x:v>
      </x:c>
      <x:c r="Y610" s="315" t="n">
        <x:f>IF(J610="Mobility",N610,MAX(1,ROUND(N610*X610,0)))</x:f>
        <x:v>2</x:v>
      </x:c>
      <x:c r="Z610" s="333" t="n">
        <x:f>ROUND((IF(AU554&gt;0,AU554,IF(Z554&gt;0,Z554,'Setup'!$D$93))*T610)/'Setup'!$B$9,0)*'Setup'!$B$9</x:f>
        <x:v>0</x:v>
      </x:c>
      <x:c r="AA610" s="334"/>
      <x:c r="AB610" s="334"/>
      <x:c r="AC610" s="334"/>
      <x:c r="AD610" s="334"/>
      <x:c r="AE610" s="334"/>
      <x:c r="AF610" s="334"/>
      <x:c r="AG610" s="334"/>
      <x:c r="AH610" s="334"/>
      <x:c r="AI610" s="334"/>
      <x:c r="AJ610" s="312"/>
      <x:c r="AK610" s="312"/>
      <x:c r="AL610" s="312"/>
      <x:c r="AM610" s="312"/>
      <x:c r="AN610" s="312"/>
      <x:c r="AO610" s="315" t="n">
        <x:f>COUNT(AB610,AD610,AF610,AH610,AJ610)</x:f>
        <x:v>0</x:v>
      </x:c>
      <x:c r="AP610" s="315" t="n">
        <x:f>SUM(AB610,AD610,AF610,AH610,AJ610)</x:f>
        <x:v>0</x:v>
      </x:c>
      <x:c r="AQ610" s="333" t="n">
        <x:f>AA610*AB610+AC610*AD610+AE610*AF610+AG610*AH610+AI610*AJ610</x:f>
        <x:v>0</x:v>
      </x:c>
      <x:c r="AR610" s="333" t="n">
        <x:f>IF(OR(J610="Strength",J610="Hypertrophy"),MAX(IF(AB610&gt;0,AA610*(1+AB610/30),0),IF(AD610&gt;0,AC610*(1+AD610/30),0),IF(AF610&gt;0,AE610*(1+AF610/30),0),IF(AH610&gt;0,AG610*(1+AH610/30),0),IF(AJ610&gt;0,AI610*(1+AJ610/30),0)),0)</x:f>
        <x:v>0</x:v>
      </x:c>
      <x:c r="AS610" s="315" t="str">
        <x:f>IF(AN610&lt;&gt;"Yes","Not logged",IF(AL610&gt;='Setup'!$B$14,"STOP / MODIFY",IF(Z610=0,"Complete",IF(OR(AO610=0,AK610=""),"Add set data + RIR",IF(AND(MAX(AB610,AD610,AF610,AH610,AJ610)&gt;=P610,AK610&gt;=Q610+1),"Progress",IF(OR(MAX(AB610,AD610,AF610,AH610,AJ610)&lt;O610,AK610&lt;Q610-1),"Regress","Hold"))))))</x:f>
        <x:v>Not logged</x:v>
      </x:c>
      <x:c r="AT610" s="335" t="n">
        <x:f>IF(OR(Z610=0,AN610&lt;&gt;"Yes",AO610=0,AK610=""),0,IF(AL610&gt;='Setup'!$B$14,-2*'Setup'!$B$11,IF(AND(MAX(AB610,AD610,AF610,AH610,AJ610)&gt;=P610,AK610&gt;=Q610+1),'Setup'!$B$10,IF(OR(MAX(AB610,AD610,AF610,AH610,AJ610)&lt;O610,AK610&lt;Q610-1),-'Setup'!$B$11,0))))</x:f>
        <x:v>0</x:v>
      </x:c>
      <x:c r="AU610" s="333" t="n">
        <x:f>IF(Z610=0,0,IF(AN610&lt;&gt;"Yes",Z610,IF(COUNT(AA610,AC610,AE610,AG610,AI610)=0,Z610,ROUND((MAX(AA610,AC610,AE610,AG610,AI610)*(1+AT610))/'Setup'!$B$9,0)*'Setup'!$B$9)))</x:f>
        <x:v>0</x:v>
      </x:c>
      <x:c r="AV610" s="336"/>
    </x:row>
    <x:row r="611">
      <x:c r="A611" s="310" t="n">
        <x:f>'Setup'!$B$3+(C611-1)*7+(D611-1)</x:f>
        <x:v>46319</x:v>
      </x:c>
      <x:c r="B611" s="311" t="str">
        <x:v>11|6|8</x:v>
      </x:c>
      <x:c r="C611" s="311" t="n">
        <x:v>11</x:v>
      </x:c>
      <x:c r="D611" s="311" t="n">
        <x:v>6</x:v>
      </x:c>
      <x:c r="E611" s="311" t="str">
        <x:v>Realization</x:v>
      </x:c>
      <x:c r="F611" s="311" t="str">
        <x:v>Athletic Full Body</x:v>
      </x:c>
      <x:c r="G611" s="311" t="str">
        <x:v>Speed, multidirectional power, conditioning</x:v>
      </x:c>
      <x:c r="H611" s="311" t="n">
        <x:v>8</x:v>
      </x:c>
      <x:c r="I611" s="311" t="str">
        <x:v>Pallof Press</x:v>
      </x:c>
      <x:c r="J611" s="311" t="str">
        <x:v>Hypertrophy</x:v>
      </x:c>
      <x:c r="K611" s="311" t="str">
        <x:v>Core</x:v>
      </x:c>
      <x:c r="L611" s="311" t="str">
        <x:v>Anti-rotation control</x:v>
      </x:c>
      <x:c r="M611" s="311" t="str"/>
      <x:c r="N611" s="311" t="n">
        <x:v>3</x:v>
      </x:c>
      <x:c r="O611" s="311" t="n">
        <x:v>10</x:v>
      </x:c>
      <x:c r="P611" s="311" t="n">
        <x:v>12</x:v>
      </x:c>
      <x:c r="Q611" s="311" t="n">
        <x:v>1</x:v>
      </x:c>
      <x:c r="R611" s="311" t="n">
        <x:v>45</x:v>
      </x:c>
      <x:c r="S611" s="311" t="str">
        <x:v>2-1-2</x:v>
      </x:c>
      <x:c r="T611" s="330" t="n">
        <x:v>1</x:v>
      </x:c>
      <x:c r="U611" s="330" t="n">
        <x:v>0</x:v>
      </x:c>
      <x:c r="V611" s="331" t="str">
        <x:v>load × reps</x:v>
      </x:c>
      <x:c r="W611" s="332" t="str">
        <x:f>'Readiness'!K72</x:f>
      </x:c>
      <x:c r="X611" s="314" t="n">
        <x:f>'Readiness'!L72</x:f>
        <x:v>1</x:v>
      </x:c>
      <x:c r="Y611" s="315" t="n">
        <x:f>IF(J611="Mobility",N611,MAX(1,ROUND(N611*X611,0)))</x:f>
        <x:v>3</x:v>
      </x:c>
      <x:c r="Z611" s="333" t="n">
        <x:f>ROUND((IF(AU555&gt;0,AU555,IF(Z555&gt;0,Z555,'Setup'!$D$71))*T611)/'Setup'!$B$9,0)*'Setup'!$B$9</x:f>
        <x:v>0</x:v>
      </x:c>
      <x:c r="AA611" s="334"/>
      <x:c r="AB611" s="334"/>
      <x:c r="AC611" s="334"/>
      <x:c r="AD611" s="334"/>
      <x:c r="AE611" s="334"/>
      <x:c r="AF611" s="334"/>
      <x:c r="AG611" s="334"/>
      <x:c r="AH611" s="334"/>
      <x:c r="AI611" s="334"/>
      <x:c r="AJ611" s="312"/>
      <x:c r="AK611" s="312"/>
      <x:c r="AL611" s="312"/>
      <x:c r="AM611" s="312"/>
      <x:c r="AN611" s="312"/>
      <x:c r="AO611" s="315" t="n">
        <x:f>COUNT(AB611,AD611,AF611,AH611,AJ611)</x:f>
        <x:v>0</x:v>
      </x:c>
      <x:c r="AP611" s="315" t="n">
        <x:f>SUM(AB611,AD611,AF611,AH611,AJ611)</x:f>
        <x:v>0</x:v>
      </x:c>
      <x:c r="AQ611" s="333" t="n">
        <x:f>AA611*AB611+AC611*AD611+AE611*AF611+AG611*AH611+AI611*AJ611</x:f>
        <x:v>0</x:v>
      </x:c>
      <x:c r="AR611" s="333" t="n">
        <x:f>IF(OR(J611="Strength",J611="Hypertrophy"),MAX(IF(AB611&gt;0,AA611*(1+AB611/30),0),IF(AD611&gt;0,AC611*(1+AD611/30),0),IF(AF611&gt;0,AE611*(1+AF611/30),0),IF(AH611&gt;0,AG611*(1+AH611/30),0),IF(AJ611&gt;0,AI611*(1+AJ611/30),0)),0)</x:f>
        <x:v>0</x:v>
      </x:c>
      <x:c r="AS611" s="315" t="str">
        <x:f>IF(AN611&lt;&gt;"Yes","Not logged",IF(AL611&gt;='Setup'!$B$14,"STOP / MODIFY",IF(Z611=0,"Complete",IF(OR(AO611=0,AK611=""),"Add set data + RIR",IF(AND(MAX(AB611,AD611,AF611,AH611,AJ611)&gt;=P611,AK611&gt;=Q611+1),"Progress",IF(OR(MAX(AB611,AD611,AF611,AH611,AJ611)&lt;O611,AK611&lt;Q611-1),"Regress","Hold"))))))</x:f>
        <x:v>Not logged</x:v>
      </x:c>
      <x:c r="AT611" s="335" t="n">
        <x:f>IF(OR(Z611=0,AN611&lt;&gt;"Yes",AO611=0,AK611=""),0,IF(AL611&gt;='Setup'!$B$14,-2*'Setup'!$B$11,IF(AND(MAX(AB611,AD611,AF611,AH611,AJ611)&gt;=P611,AK611&gt;=Q611+1),'Setup'!$B$10,IF(OR(MAX(AB611,AD611,AF611,AH611,AJ611)&lt;O611,AK611&lt;Q611-1),-'Setup'!$B$11,0))))</x:f>
        <x:v>0</x:v>
      </x:c>
      <x:c r="AU611" s="333" t="n">
        <x:f>IF(Z611=0,0,IF(AN611&lt;&gt;"Yes",Z611,IF(COUNT(AA611,AC611,AE611,AG611,AI611)=0,Z611,ROUND((MAX(AA611,AC611,AE611,AG611,AI611)*(1+AT611))/'Setup'!$B$9,0)*'Setup'!$B$9)))</x:f>
        <x:v>0</x:v>
      </x:c>
      <x:c r="AV611" s="336"/>
    </x:row>
    <x:row r="612">
      <x:c r="A612" s="310" t="n">
        <x:f>'Setup'!$B$3+(C612-1)*7+(D612-1)</x:f>
        <x:v>46319</x:v>
      </x:c>
      <x:c r="B612" s="311" t="str">
        <x:v>11|6|9</x:v>
      </x:c>
      <x:c r="C612" s="311" t="n">
        <x:v>11</x:v>
      </x:c>
      <x:c r="D612" s="311" t="n">
        <x:v>6</x:v>
      </x:c>
      <x:c r="E612" s="311" t="str">
        <x:v>Realization</x:v>
      </x:c>
      <x:c r="F612" s="311" t="str">
        <x:v>Athletic Full Body</x:v>
      </x:c>
      <x:c r="G612" s="311" t="str">
        <x:v>Speed, multidirectional power, conditioning</x:v>
      </x:c>
      <x:c r="H612" s="311" t="n">
        <x:v>9</x:v>
      </x:c>
      <x:c r="I612" s="311" t="str">
        <x:v>RowErg Sprint Intervals</x:v>
      </x:c>
      <x:c r="J612" s="311" t="str">
        <x:v>Athletic</x:v>
      </x:c>
      <x:c r="K612" s="311" t="str">
        <x:v>Full Body</x:v>
      </x:c>
      <x:c r="L612" s="311" t="str">
        <x:v>20 s hard / 70 s easy</x:v>
      </x:c>
      <x:c r="M612" s="311" t="str"/>
      <x:c r="N612" s="311" t="n">
        <x:v>6</x:v>
      </x:c>
      <x:c r="O612" s="311" t="n">
        <x:v>20</x:v>
      </x:c>
      <x:c r="P612" s="311" t="n">
        <x:v>20</x:v>
      </x:c>
      <x:c r="Q612" s="311" t="n">
        <x:v>2</x:v>
      </x:c>
      <x:c r="R612" s="311" t="n">
        <x:v>70</x:v>
      </x:c>
      <x:c r="S612" s="311" t="str">
        <x:v>Powerful</x:v>
      </x:c>
      <x:c r="T612" s="330" t="n">
        <x:v>1</x:v>
      </x:c>
      <x:c r="U612" s="330" t="n">
        <x:v>0</x:v>
      </x:c>
      <x:c r="V612" s="331" t="str">
        <x:v>watts / meters</x:v>
      </x:c>
      <x:c r="W612" s="332" t="str">
        <x:f>'Readiness'!K72</x:f>
      </x:c>
      <x:c r="X612" s="314" t="n">
        <x:f>'Readiness'!L72</x:f>
        <x:v>1</x:v>
      </x:c>
      <x:c r="Y612" s="315" t="n">
        <x:f>IF(J612="Mobility",N612,MAX(1,ROUND(N612*X612,0)))</x:f>
        <x:v>6</x:v>
      </x:c>
      <x:c r="Z612" s="333" t="n">
        <x:f>0</x:f>
        <x:v>0</x:v>
      </x:c>
      <x:c r="AA612" s="334"/>
      <x:c r="AB612" s="334"/>
      <x:c r="AC612" s="334"/>
      <x:c r="AD612" s="334"/>
      <x:c r="AE612" s="334"/>
      <x:c r="AF612" s="334"/>
      <x:c r="AG612" s="334"/>
      <x:c r="AH612" s="334"/>
      <x:c r="AI612" s="334"/>
      <x:c r="AJ612" s="312"/>
      <x:c r="AK612" s="312"/>
      <x:c r="AL612" s="312"/>
      <x:c r="AM612" s="312"/>
      <x:c r="AN612" s="312"/>
      <x:c r="AO612" s="315" t="n">
        <x:f>COUNT(AB612,AD612,AF612,AH612,AJ612)</x:f>
        <x:v>0</x:v>
      </x:c>
      <x:c r="AP612" s="315" t="n">
        <x:f>SUM(AB612,AD612,AF612,AH612,AJ612)</x:f>
        <x:v>0</x:v>
      </x:c>
      <x:c r="AQ612" s="333" t="n">
        <x:f>AA612*AB612+AC612*AD612+AE612*AF612+AG612*AH612+AI612*AJ612</x:f>
        <x:v>0</x:v>
      </x:c>
      <x:c r="AR612" s="333" t="n">
        <x:f>IF(OR(J612="Strength",J612="Hypertrophy"),MAX(IF(AB612&gt;0,AA612*(1+AB612/30),0),IF(AD612&gt;0,AC612*(1+AD612/30),0),IF(AF612&gt;0,AE612*(1+AF612/30),0),IF(AH612&gt;0,AG612*(1+AH612/30),0),IF(AJ612&gt;0,AI612*(1+AJ612/30),0)),0)</x:f>
        <x:v>0</x:v>
      </x:c>
      <x:c r="AS612" s="315" t="str">
        <x:f>IF(AN612&lt;&gt;"Yes","Not logged",IF(AL612&gt;='Setup'!$B$14,"STOP / MODIFY",IF(Z612=0,"Complete",IF(OR(AO612=0,AK612=""),"Add set data + RIR",IF(AND(MAX(AB612,AD612,AF612,AH612,AJ612)&gt;=P612,AK612&gt;=Q612+1),"Progress",IF(OR(MAX(AB612,AD612,AF612,AH612,AJ612)&lt;O612,AK612&lt;Q612-1),"Regress","Hold"))))))</x:f>
        <x:v>Not logged</x:v>
      </x:c>
      <x:c r="AT612" s="335" t="n">
        <x:f>IF(OR(Z612=0,AN612&lt;&gt;"Yes",AO612=0,AK612=""),0,IF(AL612&gt;='Setup'!$B$14,-2*'Setup'!$B$11,IF(AND(MAX(AB612,AD612,AF612,AH612,AJ612)&gt;=P612,AK612&gt;=Q612+1),'Setup'!$B$10,IF(OR(MAX(AB612,AD612,AF612,AH612,AJ612)&lt;O612,AK612&lt;Q612-1),-'Setup'!$B$11,0))))</x:f>
        <x:v>0</x:v>
      </x:c>
      <x:c r="AU612" s="333" t="n">
        <x:f>IF(Z612=0,0,IF(AN612&lt;&gt;"Yes",Z612,IF(COUNT(AA612,AC612,AE612,AG612,AI612)=0,Z612,ROUND((MAX(AA612,AC612,AE612,AG612,AI612)*(1+AT612))/'Setup'!$B$9,0)*'Setup'!$B$9)))</x:f>
        <x:v>0</x:v>
      </x:c>
      <x:c r="AV612" s="336"/>
    </x:row>
    <x:row r="613">
      <x:c r="A613" s="310" t="n">
        <x:f>'Setup'!$B$3+(C613-1)*7+(D613-1)</x:f>
        <x:v>46319</x:v>
      </x:c>
      <x:c r="B613" s="311" t="str">
        <x:v>11|6|10</x:v>
      </x:c>
      <x:c r="C613" s="311" t="n">
        <x:v>11</x:v>
      </x:c>
      <x:c r="D613" s="311" t="n">
        <x:v>6</x:v>
      </x:c>
      <x:c r="E613" s="311" t="str">
        <x:v>Realization</x:v>
      </x:c>
      <x:c r="F613" s="311" t="str">
        <x:v>Athletic Full Body</x:v>
      </x:c>
      <x:c r="G613" s="311" t="str">
        <x:v>Speed, multidirectional power, conditioning</x:v>
      </x:c>
      <x:c r="H613" s="311" t="n">
        <x:v>10</x:v>
      </x:c>
      <x:c r="I613" s="311" t="str">
        <x:v>Full-Body Mobility Flow</x:v>
      </x:c>
      <x:c r="J613" s="311" t="str">
        <x:v>Mobility</x:v>
      </x:c>
      <x:c r="K613" s="311" t="str">
        <x:v>Full Body</x:v>
      </x:c>
      <x:c r="L613" s="311" t="str">
        <x:v>Continuous nasal breathing</x:v>
      </x:c>
      <x:c r="M613" s="311" t="str"/>
      <x:c r="N613" s="311" t="n">
        <x:v>1</x:v>
      </x:c>
      <x:c r="O613" s="311" t="n">
        <x:v>8</x:v>
      </x:c>
      <x:c r="P613" s="311" t="n">
        <x:v>12</x:v>
      </x:c>
      <x:c r="Q613" s="311" t="str"/>
      <x:c r="R613" s="311" t="n">
        <x:v>0</x:v>
      </x:c>
      <x:c r="S613" s="311" t="str">
        <x:v>Easy</x:v>
      </x:c>
      <x:c r="T613" s="330" t="n">
        <x:v>1</x:v>
      </x:c>
      <x:c r="U613" s="330" t="n">
        <x:v>0</x:v>
      </x:c>
      <x:c r="V613" s="331" t="str">
        <x:v>minutes</x:v>
      </x:c>
      <x:c r="W613" s="332" t="str">
        <x:f>'Readiness'!K72</x:f>
      </x:c>
      <x:c r="X613" s="314" t="n">
        <x:f>'Readiness'!L72</x:f>
        <x:v>1</x:v>
      </x:c>
      <x:c r="Y613" s="315" t="n">
        <x:f>IF(J613="Mobility",N613,MAX(1,ROUND(N613*X613,0)))</x:f>
        <x:v>1</x:v>
      </x:c>
      <x:c r="Z613" s="333" t="n">
        <x:f>0</x:f>
        <x:v>0</x:v>
      </x:c>
      <x:c r="AA613" s="334"/>
      <x:c r="AB613" s="334"/>
      <x:c r="AC613" s="334"/>
      <x:c r="AD613" s="334"/>
      <x:c r="AE613" s="334"/>
      <x:c r="AF613" s="334"/>
      <x:c r="AG613" s="334"/>
      <x:c r="AH613" s="334"/>
      <x:c r="AI613" s="334"/>
      <x:c r="AJ613" s="312"/>
      <x:c r="AK613" s="312"/>
      <x:c r="AL613" s="312"/>
      <x:c r="AM613" s="312"/>
      <x:c r="AN613" s="312"/>
      <x:c r="AO613" s="315" t="n">
        <x:f>COUNT(AB613,AD613,AF613,AH613,AJ613)</x:f>
        <x:v>0</x:v>
      </x:c>
      <x:c r="AP613" s="315" t="n">
        <x:f>SUM(AB613,AD613,AF613,AH613,AJ613)</x:f>
        <x:v>0</x:v>
      </x:c>
      <x:c r="AQ613" s="333" t="n">
        <x:f>AA613*AB613+AC613*AD613+AE613*AF613+AG613*AH613+AI613*AJ613</x:f>
        <x:v>0</x:v>
      </x:c>
      <x:c r="AR613" s="333" t="n">
        <x:f>IF(OR(J613="Strength",J613="Hypertrophy"),MAX(IF(AB613&gt;0,AA613*(1+AB613/30),0),IF(AD613&gt;0,AC613*(1+AD613/30),0),IF(AF613&gt;0,AE613*(1+AF613/30),0),IF(AH613&gt;0,AG613*(1+AH613/30),0),IF(AJ613&gt;0,AI613*(1+AJ613/30),0)),0)</x:f>
        <x:v>0</x:v>
      </x:c>
      <x:c r="AS613" s="315" t="str">
        <x:f>IF(AN613&lt;&gt;"Yes","Not logged",IF(AL613&gt;='Setup'!$B$14,"STOP / MODIFY",IF(Z613=0,"Complete",IF(OR(AO613=0,AK613=""),"Add set data + RIR",IF(AND(MAX(AB613,AD613,AF613,AH613,AJ613)&gt;=P613,AK613&gt;=Q613+1),"Progress",IF(OR(MAX(AB613,AD613,AF613,AH613,AJ613)&lt;O613,AK613&lt;Q613-1),"Regress","Hold"))))))</x:f>
        <x:v>Not logged</x:v>
      </x:c>
      <x:c r="AT613" s="335" t="n">
        <x:f>IF(OR(Z613=0,AN613&lt;&gt;"Yes",AO613=0,AK613=""),0,IF(AL613&gt;='Setup'!$B$14,-2*'Setup'!$B$11,IF(AND(MAX(AB613,AD613,AF613,AH613,AJ613)&gt;=P613,AK613&gt;=Q613+1),'Setup'!$B$10,IF(OR(MAX(AB613,AD613,AF613,AH613,AJ613)&lt;O613,AK613&lt;Q613-1),-'Setup'!$B$11,0))))</x:f>
        <x:v>0</x:v>
      </x:c>
      <x:c r="AU613" s="333" t="n">
        <x:f>IF(Z613=0,0,IF(AN613&lt;&gt;"Yes",Z613,IF(COUNT(AA613,AC613,AE613,AG613,AI613)=0,Z613,ROUND((MAX(AA613,AC613,AE613,AG613,AI613)*(1+AT613))/'Setup'!$B$9,0)*'Setup'!$B$9)))</x:f>
        <x:v>0</x:v>
      </x:c>
      <x:c r="AV613" s="336"/>
    </x:row>
    <x:row r="614">
      <x:c r="A614" s="310" t="n">
        <x:f>'Setup'!$B$3+(C614-1)*7+(D614-1)</x:f>
        <x:v>46321</x:v>
      </x:c>
      <x:c r="B614" s="311" t="str">
        <x:v>12|1|1</x:v>
      </x:c>
      <x:c r="C614" s="311" t="n">
        <x:v>12</x:v>
      </x:c>
      <x:c r="D614" s="311" t="n">
        <x:v>1</x:v>
      </x:c>
      <x:c r="E614" s="311" t="str">
        <x:v>Taper + Performance</x:v>
      </x:c>
      <x:c r="F614" s="311" t="str">
        <x:v>Lower Power + Squat</x:v>
      </x:c>
      <x:c r="G614" s="311" t="str">
        <x:v>Squat strength and reactive power</x:v>
      </x:c>
      <x:c r="H614" s="311" t="n">
        <x:v>1</x:v>
      </x:c>
      <x:c r="I614" s="311" t="str">
        <x:v>Pogo Jump</x:v>
      </x:c>
      <x:c r="J614" s="311" t="str">
        <x:v>Power</x:v>
      </x:c>
      <x:c r="K614" s="311" t="str">
        <x:v>Calves</x:v>
      </x:c>
      <x:c r="L614" s="311" t="str">
        <x:v>Straight sets, leave 4 RIR</x:v>
      </x:c>
      <x:c r="M614" s="311" t="str"/>
      <x:c r="N614" s="311" t="n">
        <x:v>2</x:v>
      </x:c>
      <x:c r="O614" s="311" t="n">
        <x:v>15</x:v>
      </x:c>
      <x:c r="P614" s="311" t="n">
        <x:v>20</x:v>
      </x:c>
      <x:c r="Q614" s="311" t="n">
        <x:v>4</x:v>
      </x:c>
      <x:c r="R614" s="311" t="n">
        <x:v>45</x:v>
      </x:c>
      <x:c r="S614" s="311" t="str">
        <x:v>Explosive</x:v>
      </x:c>
      <x:c r="T614" s="330" t="n">
        <x:v>0.95</x:v>
      </x:c>
      <x:c r="U614" s="330" t="n">
        <x:v>0</x:v>
      </x:c>
      <x:c r="V614" s="331" t="str">
        <x:v>contacts</x:v>
      </x:c>
      <x:c r="W614" s="332" t="str">
        <x:f>'Readiness'!K73</x:f>
      </x:c>
      <x:c r="X614" s="314" t="n">
        <x:f>'Readiness'!L73</x:f>
        <x:v>1</x:v>
      </x:c>
      <x:c r="Y614" s="315" t="n">
        <x:f>IF(J614="Mobility",N614,MAX(1,ROUND(N614*X614,0)))</x:f>
        <x:v>2</x:v>
      </x:c>
      <x:c r="Z614" s="333" t="n">
        <x:f>0</x:f>
        <x:v>0</x:v>
      </x:c>
      <x:c r="AA614" s="334"/>
      <x:c r="AB614" s="334"/>
      <x:c r="AC614" s="334"/>
      <x:c r="AD614" s="334"/>
      <x:c r="AE614" s="334"/>
      <x:c r="AF614" s="334"/>
      <x:c r="AG614" s="334"/>
      <x:c r="AH614" s="334"/>
      <x:c r="AI614" s="334"/>
      <x:c r="AJ614" s="312"/>
      <x:c r="AK614" s="312"/>
      <x:c r="AL614" s="312"/>
      <x:c r="AM614" s="312"/>
      <x:c r="AN614" s="312"/>
      <x:c r="AO614" s="315" t="n">
        <x:f>COUNT(AB614,AD614,AF614,AH614,AJ614)</x:f>
        <x:v>0</x:v>
      </x:c>
      <x:c r="AP614" s="315" t="n">
        <x:f>SUM(AB614,AD614,AF614,AH614,AJ614)</x:f>
        <x:v>0</x:v>
      </x:c>
      <x:c r="AQ614" s="333" t="n">
        <x:f>AA614*AB614+AC614*AD614+AE614*AF614+AG614*AH614+AI614*AJ614</x:f>
        <x:v>0</x:v>
      </x:c>
      <x:c r="AR614" s="333" t="n">
        <x:f>IF(OR(J614="Strength",J614="Hypertrophy"),MAX(IF(AB614&gt;0,AA614*(1+AB614/30),0),IF(AD614&gt;0,AC614*(1+AD614/30),0),IF(AF614&gt;0,AE614*(1+AF614/30),0),IF(AH614&gt;0,AG614*(1+AH614/30),0),IF(AJ614&gt;0,AI614*(1+AJ614/30),0)),0)</x:f>
        <x:v>0</x:v>
      </x:c>
      <x:c r="AS614" s="315" t="str">
        <x:f>IF(AN614&lt;&gt;"Yes","Not logged",IF(AL614&gt;='Setup'!$B$14,"STOP / MODIFY",IF(Z614=0,"Complete",IF(OR(AO614=0,AK614=""),"Add set data + RIR",IF(AND(MAX(AB614,AD614,AF614,AH614,AJ614)&gt;=P614,AK614&gt;=Q614+1),"Progress",IF(OR(MAX(AB614,AD614,AF614,AH614,AJ614)&lt;O614,AK614&lt;Q614-1),"Regress","Hold"))))))</x:f>
        <x:v>Not logged</x:v>
      </x:c>
      <x:c r="AT614" s="335" t="n">
        <x:f>IF(OR(Z614=0,AN614&lt;&gt;"Yes",AO614=0,AK614=""),0,IF(AL614&gt;='Setup'!$B$14,-2*'Setup'!$B$11,IF(AND(MAX(AB614,AD614,AF614,AH614,AJ614)&gt;=P614,AK614&gt;=Q614+1),'Setup'!$B$10,IF(OR(MAX(AB614,AD614,AF614,AH614,AJ614)&lt;O614,AK614&lt;Q614-1),-'Setup'!$B$11,0))))</x:f>
        <x:v>0</x:v>
      </x:c>
      <x:c r="AU614" s="333" t="n">
        <x:f>IF(Z614=0,0,IF(AN614&lt;&gt;"Yes",Z614,IF(COUNT(AA614,AC614,AE614,AG614,AI614)=0,Z614,ROUND((MAX(AA614,AC614,AE614,AG614,AI614)*(1+AT614))/'Setup'!$B$9,0)*'Setup'!$B$9)))</x:f>
        <x:v>0</x:v>
      </x:c>
      <x:c r="AV614" s="336"/>
    </x:row>
    <x:row r="615">
      <x:c r="A615" s="310" t="n">
        <x:f>'Setup'!$B$3+(C615-1)*7+(D615-1)</x:f>
        <x:v>46321</x:v>
      </x:c>
      <x:c r="B615" s="311" t="str">
        <x:v>12|1|2</x:v>
      </x:c>
      <x:c r="C615" s="311" t="n">
        <x:v>12</x:v>
      </x:c>
      <x:c r="D615" s="311" t="n">
        <x:v>1</x:v>
      </x:c>
      <x:c r="E615" s="311" t="str">
        <x:v>Taper + Performance</x:v>
      </x:c>
      <x:c r="F615" s="311" t="str">
        <x:v>Lower Power + Squat</x:v>
      </x:c>
      <x:c r="G615" s="311" t="str">
        <x:v>Squat strength and reactive power</x:v>
      </x:c>
      <x:c r="H615" s="311" t="n">
        <x:v>2</x:v>
      </x:c>
      <x:c r="I615" s="311" t="str">
        <x:v>Box Jump</x:v>
      </x:c>
      <x:c r="J615" s="311" t="str">
        <x:v>Power</x:v>
      </x:c>
      <x:c r="K615" s="311" t="str">
        <x:v>Quads</x:v>
      </x:c>
      <x:c r="L615" s="311" t="str">
        <x:v>Straight sets, leave 4 RIR</x:v>
      </x:c>
      <x:c r="M615" s="311" t="str"/>
      <x:c r="N615" s="311" t="n">
        <x:v>3</x:v>
      </x:c>
      <x:c r="O615" s="311" t="n">
        <x:v>3</x:v>
      </x:c>
      <x:c r="P615" s="311" t="n">
        <x:v>3</x:v>
      </x:c>
      <x:c r="Q615" s="311" t="n">
        <x:v>4</x:v>
      </x:c>
      <x:c r="R615" s="311" t="n">
        <x:v>75</x:v>
      </x:c>
      <x:c r="S615" s="311" t="str">
        <x:v>Explosive</x:v>
      </x:c>
      <x:c r="T615" s="330" t="n">
        <x:v>0.95</x:v>
      </x:c>
      <x:c r="U615" s="330" t="n">
        <x:v>0</x:v>
      </x:c>
      <x:c r="V615" s="331" t="str">
        <x:v>height</x:v>
      </x:c>
      <x:c r="W615" s="332" t="str">
        <x:f>'Readiness'!K73</x:f>
      </x:c>
      <x:c r="X615" s="314" t="n">
        <x:f>'Readiness'!L73</x:f>
        <x:v>1</x:v>
      </x:c>
      <x:c r="Y615" s="315" t="n">
        <x:f>IF(J615="Mobility",N615,MAX(1,ROUND(N615*X615,0)))</x:f>
        <x:v>3</x:v>
      </x:c>
      <x:c r="Z615" s="333" t="n">
        <x:f>0</x:f>
        <x:v>0</x:v>
      </x:c>
      <x:c r="AA615" s="334"/>
      <x:c r="AB615" s="334"/>
      <x:c r="AC615" s="334"/>
      <x:c r="AD615" s="334"/>
      <x:c r="AE615" s="334"/>
      <x:c r="AF615" s="334"/>
      <x:c r="AG615" s="334"/>
      <x:c r="AH615" s="334"/>
      <x:c r="AI615" s="334"/>
      <x:c r="AJ615" s="312"/>
      <x:c r="AK615" s="312"/>
      <x:c r="AL615" s="312"/>
      <x:c r="AM615" s="312"/>
      <x:c r="AN615" s="312"/>
      <x:c r="AO615" s="315" t="n">
        <x:f>COUNT(AB615,AD615,AF615,AH615,AJ615)</x:f>
        <x:v>0</x:v>
      </x:c>
      <x:c r="AP615" s="315" t="n">
        <x:f>SUM(AB615,AD615,AF615,AH615,AJ615)</x:f>
        <x:v>0</x:v>
      </x:c>
      <x:c r="AQ615" s="333" t="n">
        <x:f>AA615*AB615+AC615*AD615+AE615*AF615+AG615*AH615+AI615*AJ615</x:f>
        <x:v>0</x:v>
      </x:c>
      <x:c r="AR615" s="333" t="n">
        <x:f>IF(OR(J615="Strength",J615="Hypertrophy"),MAX(IF(AB615&gt;0,AA615*(1+AB615/30),0),IF(AD615&gt;0,AC615*(1+AD615/30),0),IF(AF615&gt;0,AE615*(1+AF615/30),0),IF(AH615&gt;0,AG615*(1+AH615/30),0),IF(AJ615&gt;0,AI615*(1+AJ615/30),0)),0)</x:f>
        <x:v>0</x:v>
      </x:c>
      <x:c r="AS615" s="315" t="str">
        <x:f>IF(AN615&lt;&gt;"Yes","Not logged",IF(AL615&gt;='Setup'!$B$14,"STOP / MODIFY",IF(Z615=0,"Complete",IF(OR(AO615=0,AK615=""),"Add set data + RIR",IF(AND(MAX(AB615,AD615,AF615,AH615,AJ615)&gt;=P615,AK615&gt;=Q615+1),"Progress",IF(OR(MAX(AB615,AD615,AF615,AH615,AJ615)&lt;O615,AK615&lt;Q615-1),"Regress","Hold"))))))</x:f>
        <x:v>Not logged</x:v>
      </x:c>
      <x:c r="AT615" s="335" t="n">
        <x:f>IF(OR(Z615=0,AN615&lt;&gt;"Yes",AO615=0,AK615=""),0,IF(AL615&gt;='Setup'!$B$14,-2*'Setup'!$B$11,IF(AND(MAX(AB615,AD615,AF615,AH615,AJ615)&gt;=P615,AK615&gt;=Q615+1),'Setup'!$B$10,IF(OR(MAX(AB615,AD615,AF615,AH615,AJ615)&lt;O615,AK615&lt;Q615-1),-'Setup'!$B$11,0))))</x:f>
        <x:v>0</x:v>
      </x:c>
      <x:c r="AU615" s="333" t="n">
        <x:f>IF(Z615=0,0,IF(AN615&lt;&gt;"Yes",Z615,IF(COUNT(AA615,AC615,AE615,AG615,AI615)=0,Z615,ROUND((MAX(AA615,AC615,AE615,AG615,AI615)*(1+AT615))/'Setup'!$B$9,0)*'Setup'!$B$9)))</x:f>
        <x:v>0</x:v>
      </x:c>
      <x:c r="AV615" s="336"/>
    </x:row>
    <x:row r="616">
      <x:c r="A616" s="310" t="n">
        <x:f>'Setup'!$B$3+(C616-1)*7+(D616-1)</x:f>
        <x:v>46321</x:v>
      </x:c>
      <x:c r="B616" s="311" t="str">
        <x:v>12|1|3</x:v>
      </x:c>
      <x:c r="C616" s="311" t="n">
        <x:v>12</x:v>
      </x:c>
      <x:c r="D616" s="311" t="n">
        <x:v>1</x:v>
      </x:c>
      <x:c r="E616" s="311" t="str">
        <x:v>Taper + Performance</x:v>
      </x:c>
      <x:c r="F616" s="311" t="str">
        <x:v>Lower Power + Squat</x:v>
      </x:c>
      <x:c r="G616" s="311" t="str">
        <x:v>Squat strength and reactive power</x:v>
      </x:c>
      <x:c r="H616" s="311" t="n">
        <x:v>3</x:v>
      </x:c>
      <x:c r="I616" s="311" t="str">
        <x:v>Back Squat</x:v>
      </x:c>
      <x:c r="J616" s="311" t="str">
        <x:v>Strength</x:v>
      </x:c>
      <x:c r="K616" s="311" t="str">
        <x:v>Quads</x:v>
      </x:c>
      <x:c r="L616" s="311" t="str">
        <x:v>Performance top set, no grinder + easy back-offs</x:v>
      </x:c>
      <x:c r="M616" s="311" t="str"/>
      <x:c r="N616" s="311" t="n">
        <x:v>3</x:v>
      </x:c>
      <x:c r="O616" s="311" t="n">
        <x:v>3</x:v>
      </x:c>
      <x:c r="P616" s="311" t="n">
        <x:v>5</x:v>
      </x:c>
      <x:c r="Q616" s="311" t="n">
        <x:v>2</x:v>
      </x:c>
      <x:c r="R616" s="311" t="n">
        <x:v>180</x:v>
      </x:c>
      <x:c r="S616" s="311" t="str">
        <x:v>3-1-X</x:v>
      </x:c>
      <x:c r="T616" s="330" t="n">
        <x:v>1.03</x:v>
      </x:c>
      <x:c r="U616" s="330" t="n">
        <x:v>0.82</x:v>
      </x:c>
      <x:c r="V616" s="331" t="str">
        <x:v>load × reps</x:v>
      </x:c>
      <x:c r="W616" s="332" t="str">
        <x:f>'Readiness'!K73</x:f>
      </x:c>
      <x:c r="X616" s="314" t="n">
        <x:f>'Readiness'!L73</x:f>
        <x:v>1</x:v>
      </x:c>
      <x:c r="Y616" s="315" t="n">
        <x:f>IF(J616="Mobility",N616,MAX(1,ROUND(N616*X616,0)))</x:f>
        <x:v>3</x:v>
      </x:c>
      <x:c r="Z616" s="333" t="n">
        <x:f>ROUND((IF(AU560&gt;0,AU560,IF(Z560&gt;0,Z560,'Setup'!$D$23))*T616)/'Setup'!$B$9,0)*'Setup'!$B$9</x:f>
        <x:v>0</x:v>
      </x:c>
      <x:c r="AA616" s="334"/>
      <x:c r="AB616" s="334"/>
      <x:c r="AC616" s="334"/>
      <x:c r="AD616" s="334"/>
      <x:c r="AE616" s="334"/>
      <x:c r="AF616" s="334"/>
      <x:c r="AG616" s="334"/>
      <x:c r="AH616" s="334"/>
      <x:c r="AI616" s="334"/>
      <x:c r="AJ616" s="312"/>
      <x:c r="AK616" s="312"/>
      <x:c r="AL616" s="312"/>
      <x:c r="AM616" s="312"/>
      <x:c r="AN616" s="312"/>
      <x:c r="AO616" s="315" t="n">
        <x:f>COUNT(AB616,AD616,AF616,AH616,AJ616)</x:f>
        <x:v>0</x:v>
      </x:c>
      <x:c r="AP616" s="315" t="n">
        <x:f>SUM(AB616,AD616,AF616,AH616,AJ616)</x:f>
        <x:v>0</x:v>
      </x:c>
      <x:c r="AQ616" s="333" t="n">
        <x:f>AA616*AB616+AC616*AD616+AE616*AF616+AG616*AH616+AI616*AJ616</x:f>
        <x:v>0</x:v>
      </x:c>
      <x:c r="AR616" s="333" t="n">
        <x:f>IF(OR(J616="Strength",J616="Hypertrophy"),MAX(IF(AB616&gt;0,AA616*(1+AB616/30),0),IF(AD616&gt;0,AC616*(1+AD616/30),0),IF(AF616&gt;0,AE616*(1+AF616/30),0),IF(AH616&gt;0,AG616*(1+AH616/30),0),IF(AJ616&gt;0,AI616*(1+AJ616/30),0)),0)</x:f>
        <x:v>0</x:v>
      </x:c>
      <x:c r="AS616" s="315" t="str">
        <x:f>IF(AN616&lt;&gt;"Yes","Not logged",IF(AL616&gt;='Setup'!$B$14,"STOP / MODIFY",IF(Z616=0,"Complete",IF(OR(AO616=0,AK616=""),"Add set data + RIR",IF(AND(MAX(AB616,AD616,AF616,AH616,AJ616)&gt;=P616,AK616&gt;=Q616+1),"Progress",IF(OR(MAX(AB616,AD616,AF616,AH616,AJ616)&lt;O616,AK616&lt;Q616-1),"Regress","Hold"))))))</x:f>
        <x:v>Not logged</x:v>
      </x:c>
      <x:c r="AT616" s="335" t="n">
        <x:f>IF(OR(Z616=0,AN616&lt;&gt;"Yes",AO616=0,AK616=""),0,IF(AL616&gt;='Setup'!$B$14,-2*'Setup'!$B$11,IF(AND(MAX(AB616,AD616,AF616,AH616,AJ616)&gt;=P616,AK616&gt;=Q616+1),'Setup'!$B$10,IF(OR(MAX(AB616,AD616,AF616,AH616,AJ616)&lt;O616,AK616&lt;Q616-1),-'Setup'!$B$11,0))))</x:f>
        <x:v>0</x:v>
      </x:c>
      <x:c r="AU616" s="333" t="n">
        <x:f>IF(Z616=0,0,IF(AN616&lt;&gt;"Yes",Z616,IF(COUNT(AA616,AC616,AE616,AG616,AI616)=0,Z616,ROUND((MAX(AA616,AC616,AE616,AG616,AI616)*(1+AT616))/'Setup'!$B$9,0)*'Setup'!$B$9)))</x:f>
        <x:v>0</x:v>
      </x:c>
      <x:c r="AV616" s="336"/>
    </x:row>
    <x:row r="617">
      <x:c r="A617" s="310" t="n">
        <x:f>'Setup'!$B$3+(C617-1)*7+(D617-1)</x:f>
        <x:v>46321</x:v>
      </x:c>
      <x:c r="B617" s="311" t="str">
        <x:v>12|1|4</x:v>
      </x:c>
      <x:c r="C617" s="311" t="n">
        <x:v>12</x:v>
      </x:c>
      <x:c r="D617" s="311" t="n">
        <x:v>1</x:v>
      </x:c>
      <x:c r="E617" s="311" t="str">
        <x:v>Taper + Performance</x:v>
      </x:c>
      <x:c r="F617" s="311" t="str">
        <x:v>Lower Power + Squat</x:v>
      </x:c>
      <x:c r="G617" s="311" t="str">
        <x:v>Squat strength and reactive power</x:v>
      </x:c>
      <x:c r="H617" s="311" t="n">
        <x:v>4</x:v>
      </x:c>
      <x:c r="I617" s="311" t="str">
        <x:v>Pause Squat</x:v>
      </x:c>
      <x:c r="J617" s="311" t="str">
        <x:v>Strength</x:v>
      </x:c>
      <x:c r="K617" s="311" t="str">
        <x:v>Quads</x:v>
      </x:c>
      <x:c r="L617" s="311" t="str">
        <x:v>Straight sets, leave 4 RIR</x:v>
      </x:c>
      <x:c r="M617" s="311" t="str"/>
      <x:c r="N617" s="311" t="n">
        <x:v>2</x:v>
      </x:c>
      <x:c r="O617" s="311" t="n">
        <x:v>4</x:v>
      </x:c>
      <x:c r="P617" s="311" t="n">
        <x:v>6</x:v>
      </x:c>
      <x:c r="Q617" s="311" t="n">
        <x:v>4</x:v>
      </x:c>
      <x:c r="R617" s="311" t="n">
        <x:v>150</x:v>
      </x:c>
      <x:c r="S617" s="311" t="str">
        <x:v>3-2-X</x:v>
      </x:c>
      <x:c r="T617" s="330" t="n">
        <x:v>0.95</x:v>
      </x:c>
      <x:c r="U617" s="330" t="n">
        <x:v>0.66</x:v>
      </x:c>
      <x:c r="V617" s="331" t="str">
        <x:v>load × reps</x:v>
      </x:c>
      <x:c r="W617" s="332" t="str">
        <x:f>'Readiness'!K73</x:f>
      </x:c>
      <x:c r="X617" s="314" t="n">
        <x:f>'Readiness'!L73</x:f>
        <x:v>1</x:v>
      </x:c>
      <x:c r="Y617" s="315" t="n">
        <x:f>IF(J617="Mobility",N617,MAX(1,ROUND(N617*X617,0)))</x:f>
        <x:v>2</x:v>
      </x:c>
      <x:c r="Z617" s="333" t="n">
        <x:f>ROUND((IF(AU561&gt;0,AU561,IF(Z561&gt;0,Z561,'Setup'!$D$73))*T617)/'Setup'!$B$9,0)*'Setup'!$B$9</x:f>
        <x:v>0</x:v>
      </x:c>
      <x:c r="AA617" s="334"/>
      <x:c r="AB617" s="334"/>
      <x:c r="AC617" s="334"/>
      <x:c r="AD617" s="334"/>
      <x:c r="AE617" s="334"/>
      <x:c r="AF617" s="334"/>
      <x:c r="AG617" s="334"/>
      <x:c r="AH617" s="334"/>
      <x:c r="AI617" s="334"/>
      <x:c r="AJ617" s="312"/>
      <x:c r="AK617" s="312"/>
      <x:c r="AL617" s="312"/>
      <x:c r="AM617" s="312"/>
      <x:c r="AN617" s="312"/>
      <x:c r="AO617" s="315" t="n">
        <x:f>COUNT(AB617,AD617,AF617,AH617,AJ617)</x:f>
        <x:v>0</x:v>
      </x:c>
      <x:c r="AP617" s="315" t="n">
        <x:f>SUM(AB617,AD617,AF617,AH617,AJ617)</x:f>
        <x:v>0</x:v>
      </x:c>
      <x:c r="AQ617" s="333" t="n">
        <x:f>AA617*AB617+AC617*AD617+AE617*AF617+AG617*AH617+AI617*AJ617</x:f>
        <x:v>0</x:v>
      </x:c>
      <x:c r="AR617" s="333" t="n">
        <x:f>IF(OR(J617="Strength",J617="Hypertrophy"),MAX(IF(AB617&gt;0,AA617*(1+AB617/30),0),IF(AD617&gt;0,AC617*(1+AD617/30),0),IF(AF617&gt;0,AE617*(1+AF617/30),0),IF(AH617&gt;0,AG617*(1+AH617/30),0),IF(AJ617&gt;0,AI617*(1+AJ617/30),0)),0)</x:f>
        <x:v>0</x:v>
      </x:c>
      <x:c r="AS617" s="315" t="str">
        <x:f>IF(AN617&lt;&gt;"Yes","Not logged",IF(AL617&gt;='Setup'!$B$14,"STOP / MODIFY",IF(Z617=0,"Complete",IF(OR(AO617=0,AK617=""),"Add set data + RIR",IF(AND(MAX(AB617,AD617,AF617,AH617,AJ617)&gt;=P617,AK617&gt;=Q617+1),"Progress",IF(OR(MAX(AB617,AD617,AF617,AH617,AJ617)&lt;O617,AK617&lt;Q617-1),"Regress","Hold"))))))</x:f>
        <x:v>Not logged</x:v>
      </x:c>
      <x:c r="AT617" s="335" t="n">
        <x:f>IF(OR(Z617=0,AN617&lt;&gt;"Yes",AO617=0,AK617=""),0,IF(AL617&gt;='Setup'!$B$14,-2*'Setup'!$B$11,IF(AND(MAX(AB617,AD617,AF617,AH617,AJ617)&gt;=P617,AK617&gt;=Q617+1),'Setup'!$B$10,IF(OR(MAX(AB617,AD617,AF617,AH617,AJ617)&lt;O617,AK617&lt;Q617-1),-'Setup'!$B$11,0))))</x:f>
        <x:v>0</x:v>
      </x:c>
      <x:c r="AU617" s="333" t="n">
        <x:f>IF(Z617=0,0,IF(AN617&lt;&gt;"Yes",Z617,IF(COUNT(AA617,AC617,AE617,AG617,AI617)=0,Z617,ROUND((MAX(AA617,AC617,AE617,AG617,AI617)*(1+AT617))/'Setup'!$B$9,0)*'Setup'!$B$9)))</x:f>
        <x:v>0</x:v>
      </x:c>
      <x:c r="AV617" s="336"/>
    </x:row>
    <x:row r="618">
      <x:c r="A618" s="310" t="n">
        <x:f>'Setup'!$B$3+(C618-1)*7+(D618-1)</x:f>
        <x:v>46321</x:v>
      </x:c>
      <x:c r="B618" s="311" t="str">
        <x:v>12|1|5</x:v>
      </x:c>
      <x:c r="C618" s="311" t="n">
        <x:v>12</x:v>
      </x:c>
      <x:c r="D618" s="311" t="n">
        <x:v>1</x:v>
      </x:c>
      <x:c r="E618" s="311" t="str">
        <x:v>Taper + Performance</x:v>
      </x:c>
      <x:c r="F618" s="311" t="str">
        <x:v>Lower Power + Squat</x:v>
      </x:c>
      <x:c r="G618" s="311" t="str">
        <x:v>Squat strength and reactive power</x:v>
      </x:c>
      <x:c r="H618" s="311" t="n">
        <x:v>5</x:v>
      </x:c>
      <x:c r="I618" s="311" t="str">
        <x:v>Romanian Deadlift</x:v>
      </x:c>
      <x:c r="J618" s="311" t="str">
        <x:v>Strength</x:v>
      </x:c>
      <x:c r="K618" s="311" t="str">
        <x:v>Hamstrings</x:v>
      </x:c>
      <x:c r="L618" s="311" t="str">
        <x:v>Straight sets, leave 4 RIR</x:v>
      </x:c>
      <x:c r="M618" s="311" t="str"/>
      <x:c r="N618" s="311" t="n">
        <x:v>2</x:v>
      </x:c>
      <x:c r="O618" s="311" t="n">
        <x:v>6</x:v>
      </x:c>
      <x:c r="P618" s="311" t="n">
        <x:v>8</x:v>
      </x:c>
      <x:c r="Q618" s="311" t="n">
        <x:v>4</x:v>
      </x:c>
      <x:c r="R618" s="311" t="n">
        <x:v>120</x:v>
      </x:c>
      <x:c r="S618" s="311" t="str">
        <x:v>3-1-1</x:v>
      </x:c>
      <x:c r="T618" s="330" t="n">
        <x:v>0.95</x:v>
      </x:c>
      <x:c r="U618" s="330" t="n">
        <x:v>0.62</x:v>
      </x:c>
      <x:c r="V618" s="331" t="str">
        <x:v>load × reps</x:v>
      </x:c>
      <x:c r="W618" s="332" t="str">
        <x:f>'Readiness'!K73</x:f>
      </x:c>
      <x:c r="X618" s="314" t="n">
        <x:f>'Readiness'!L73</x:f>
        <x:v>1</x:v>
      </x:c>
      <x:c r="Y618" s="315" t="n">
        <x:f>IF(J618="Mobility",N618,MAX(1,ROUND(N618*X618,0)))</x:f>
        <x:v>2</x:v>
      </x:c>
      <x:c r="Z618" s="333" t="n">
        <x:f>ROUND((IF(AU562&gt;0,AU562,IF(Z562&gt;0,Z562,'Setup'!$D$79))*T618)/'Setup'!$B$9,0)*'Setup'!$B$9</x:f>
        <x:v>0</x:v>
      </x:c>
      <x:c r="AA618" s="334"/>
      <x:c r="AB618" s="334"/>
      <x:c r="AC618" s="334"/>
      <x:c r="AD618" s="334"/>
      <x:c r="AE618" s="334"/>
      <x:c r="AF618" s="334"/>
      <x:c r="AG618" s="334"/>
      <x:c r="AH618" s="334"/>
      <x:c r="AI618" s="334"/>
      <x:c r="AJ618" s="312"/>
      <x:c r="AK618" s="312"/>
      <x:c r="AL618" s="312"/>
      <x:c r="AM618" s="312"/>
      <x:c r="AN618" s="312"/>
      <x:c r="AO618" s="315" t="n">
        <x:f>COUNT(AB618,AD618,AF618,AH618,AJ618)</x:f>
        <x:v>0</x:v>
      </x:c>
      <x:c r="AP618" s="315" t="n">
        <x:f>SUM(AB618,AD618,AF618,AH618,AJ618)</x:f>
        <x:v>0</x:v>
      </x:c>
      <x:c r="AQ618" s="333" t="n">
        <x:f>AA618*AB618+AC618*AD618+AE618*AF618+AG618*AH618+AI618*AJ618</x:f>
        <x:v>0</x:v>
      </x:c>
      <x:c r="AR618" s="333" t="n">
        <x:f>IF(OR(J618="Strength",J618="Hypertrophy"),MAX(IF(AB618&gt;0,AA618*(1+AB618/30),0),IF(AD618&gt;0,AC618*(1+AD618/30),0),IF(AF618&gt;0,AE618*(1+AF618/30),0),IF(AH618&gt;0,AG618*(1+AH618/30),0),IF(AJ618&gt;0,AI618*(1+AJ618/30),0)),0)</x:f>
        <x:v>0</x:v>
      </x:c>
      <x:c r="AS618" s="315" t="str">
        <x:f>IF(AN618&lt;&gt;"Yes","Not logged",IF(AL618&gt;='Setup'!$B$14,"STOP / MODIFY",IF(Z618=0,"Complete",IF(OR(AO618=0,AK618=""),"Add set data + RIR",IF(AND(MAX(AB618,AD618,AF618,AH618,AJ618)&gt;=P618,AK618&gt;=Q618+1),"Progress",IF(OR(MAX(AB618,AD618,AF618,AH618,AJ618)&lt;O618,AK618&lt;Q618-1),"Regress","Hold"))))))</x:f>
        <x:v>Not logged</x:v>
      </x:c>
      <x:c r="AT618" s="335" t="n">
        <x:f>IF(OR(Z618=0,AN618&lt;&gt;"Yes",AO618=0,AK618=""),0,IF(AL618&gt;='Setup'!$B$14,-2*'Setup'!$B$11,IF(AND(MAX(AB618,AD618,AF618,AH618,AJ618)&gt;=P618,AK618&gt;=Q618+1),'Setup'!$B$10,IF(OR(MAX(AB618,AD618,AF618,AH618,AJ618)&lt;O618,AK618&lt;Q618-1),-'Setup'!$B$11,0))))</x:f>
        <x:v>0</x:v>
      </x:c>
      <x:c r="AU618" s="333" t="n">
        <x:f>IF(Z618=0,0,IF(AN618&lt;&gt;"Yes",Z618,IF(COUNT(AA618,AC618,AE618,AG618,AI618)=0,Z618,ROUND((MAX(AA618,AC618,AE618,AG618,AI618)*(1+AT618))/'Setup'!$B$9,0)*'Setup'!$B$9)))</x:f>
        <x:v>0</x:v>
      </x:c>
      <x:c r="AV618" s="336"/>
    </x:row>
    <x:row r="619">
      <x:c r="A619" s="310" t="n">
        <x:f>'Setup'!$B$3+(C619-1)*7+(D619-1)</x:f>
        <x:v>46321</x:v>
      </x:c>
      <x:c r="B619" s="311" t="str">
        <x:v>12|1|6</x:v>
      </x:c>
      <x:c r="C619" s="311" t="n">
        <x:v>12</x:v>
      </x:c>
      <x:c r="D619" s="311" t="n">
        <x:v>1</x:v>
      </x:c>
      <x:c r="E619" s="311" t="str">
        <x:v>Taper + Performance</x:v>
      </x:c>
      <x:c r="F619" s="311" t="str">
        <x:v>Lower Power + Squat</x:v>
      </x:c>
      <x:c r="G619" s="311" t="str">
        <x:v>Squat strength and reactive power</x:v>
      </x:c>
      <x:c r="H619" s="311" t="n">
        <x:v>6</x:v>
      </x:c>
      <x:c r="I619" s="311" t="str">
        <x:v>Bulgarian Split Squat</x:v>
      </x:c>
      <x:c r="J619" s="311" t="str">
        <x:v>Hypertrophy</x:v>
      </x:c>
      <x:c r="K619" s="311" t="str">
        <x:v>Quads</x:v>
      </x:c>
      <x:c r="L619" s="311" t="str">
        <x:v>Straight sets, leave 4 RIR</x:v>
      </x:c>
      <x:c r="M619" s="311" t="str"/>
      <x:c r="N619" s="311" t="n">
        <x:v>2</x:v>
      </x:c>
      <x:c r="O619" s="311" t="n">
        <x:v>8</x:v>
      </x:c>
      <x:c r="P619" s="311" t="n">
        <x:v>10</x:v>
      </x:c>
      <x:c r="Q619" s="311" t="n">
        <x:v>4</x:v>
      </x:c>
      <x:c r="R619" s="311" t="n">
        <x:v>90</x:v>
      </x:c>
      <x:c r="S619" s="311" t="str">
        <x:v>3-0-1</x:v>
      </x:c>
      <x:c r="T619" s="330" t="n">
        <x:v>0.95</x:v>
      </x:c>
      <x:c r="U619" s="330" t="n">
        <x:v>0</x:v>
      </x:c>
      <x:c r="V619" s="331" t="str">
        <x:v>load × reps</x:v>
      </x:c>
      <x:c r="W619" s="332" t="str">
        <x:f>'Readiness'!K73</x:f>
      </x:c>
      <x:c r="X619" s="314" t="n">
        <x:f>'Readiness'!L73</x:f>
        <x:v>1</x:v>
      </x:c>
      <x:c r="Y619" s="315" t="n">
        <x:f>IF(J619="Mobility",N619,MAX(1,ROUND(N619*X619,0)))</x:f>
        <x:v>2</x:v>
      </x:c>
      <x:c r="Z619" s="333" t="n">
        <x:f>ROUND((IF(AU563&gt;0,AU563,IF(Z563&gt;0,Z563,'Setup'!$D$30))*T619)/'Setup'!$B$9,0)*'Setup'!$B$9</x:f>
        <x:v>0</x:v>
      </x:c>
      <x:c r="AA619" s="334"/>
      <x:c r="AB619" s="334"/>
      <x:c r="AC619" s="334"/>
      <x:c r="AD619" s="334"/>
      <x:c r="AE619" s="334"/>
      <x:c r="AF619" s="334"/>
      <x:c r="AG619" s="334"/>
      <x:c r="AH619" s="334"/>
      <x:c r="AI619" s="334"/>
      <x:c r="AJ619" s="312"/>
      <x:c r="AK619" s="312"/>
      <x:c r="AL619" s="312"/>
      <x:c r="AM619" s="312"/>
      <x:c r="AN619" s="312"/>
      <x:c r="AO619" s="315" t="n">
        <x:f>COUNT(AB619,AD619,AF619,AH619,AJ619)</x:f>
        <x:v>0</x:v>
      </x:c>
      <x:c r="AP619" s="315" t="n">
        <x:f>SUM(AB619,AD619,AF619,AH619,AJ619)</x:f>
        <x:v>0</x:v>
      </x:c>
      <x:c r="AQ619" s="333" t="n">
        <x:f>AA619*AB619+AC619*AD619+AE619*AF619+AG619*AH619+AI619*AJ619</x:f>
        <x:v>0</x:v>
      </x:c>
      <x:c r="AR619" s="333" t="n">
        <x:f>IF(OR(J619="Strength",J619="Hypertrophy"),MAX(IF(AB619&gt;0,AA619*(1+AB619/30),0),IF(AD619&gt;0,AC619*(1+AD619/30),0),IF(AF619&gt;0,AE619*(1+AF619/30),0),IF(AH619&gt;0,AG619*(1+AH619/30),0),IF(AJ619&gt;0,AI619*(1+AJ619/30),0)),0)</x:f>
        <x:v>0</x:v>
      </x:c>
      <x:c r="AS619" s="315" t="str">
        <x:f>IF(AN619&lt;&gt;"Yes","Not logged",IF(AL619&gt;='Setup'!$B$14,"STOP / MODIFY",IF(Z619=0,"Complete",IF(OR(AO619=0,AK619=""),"Add set data + RIR",IF(AND(MAX(AB619,AD619,AF619,AH619,AJ619)&gt;=P619,AK619&gt;=Q619+1),"Progress",IF(OR(MAX(AB619,AD619,AF619,AH619,AJ619)&lt;O619,AK619&lt;Q619-1),"Regress","Hold"))))))</x:f>
        <x:v>Not logged</x:v>
      </x:c>
      <x:c r="AT619" s="335" t="n">
        <x:f>IF(OR(Z619=0,AN619&lt;&gt;"Yes",AO619=0,AK619=""),0,IF(AL619&gt;='Setup'!$B$14,-2*'Setup'!$B$11,IF(AND(MAX(AB619,AD619,AF619,AH619,AJ619)&gt;=P619,AK619&gt;=Q619+1),'Setup'!$B$10,IF(OR(MAX(AB619,AD619,AF619,AH619,AJ619)&lt;O619,AK619&lt;Q619-1),-'Setup'!$B$11,0))))</x:f>
        <x:v>0</x:v>
      </x:c>
      <x:c r="AU619" s="333" t="n">
        <x:f>IF(Z619=0,0,IF(AN619&lt;&gt;"Yes",Z619,IF(COUNT(AA619,AC619,AE619,AG619,AI619)=0,Z619,ROUND((MAX(AA619,AC619,AE619,AG619,AI619)*(1+AT619))/'Setup'!$B$9,0)*'Setup'!$B$9)))</x:f>
        <x:v>0</x:v>
      </x:c>
      <x:c r="AV619" s="336"/>
    </x:row>
    <x:row r="620">
      <x:c r="A620" s="310" t="n">
        <x:f>'Setup'!$B$3+(C620-1)*7+(D620-1)</x:f>
        <x:v>46321</x:v>
      </x:c>
      <x:c r="B620" s="311" t="str">
        <x:v>12|1|7</x:v>
      </x:c>
      <x:c r="C620" s="311" t="n">
        <x:v>12</x:v>
      </x:c>
      <x:c r="D620" s="311" t="n">
        <x:v>1</x:v>
      </x:c>
      <x:c r="E620" s="311" t="str">
        <x:v>Taper + Performance</x:v>
      </x:c>
      <x:c r="F620" s="311" t="str">
        <x:v>Lower Power + Squat</x:v>
      </x:c>
      <x:c r="G620" s="311" t="str">
        <x:v>Squat strength and reactive power</x:v>
      </x:c>
      <x:c r="H620" s="311" t="n">
        <x:v>7</x:v>
      </x:c>
      <x:c r="I620" s="311" t="str">
        <x:v>Standing Calf Raise</x:v>
      </x:c>
      <x:c r="J620" s="311" t="str">
        <x:v>Hypertrophy</x:v>
      </x:c>
      <x:c r="K620" s="311" t="str">
        <x:v>Calves</x:v>
      </x:c>
      <x:c r="L620" s="311" t="str">
        <x:v>Straight sets, leave 4 RIR</x:v>
      </x:c>
      <x:c r="M620" s="311" t="str"/>
      <x:c r="N620" s="311" t="n">
        <x:v>2</x:v>
      </x:c>
      <x:c r="O620" s="311" t="n">
        <x:v>10</x:v>
      </x:c>
      <x:c r="P620" s="311" t="n">
        <x:v>15</x:v>
      </x:c>
      <x:c r="Q620" s="311" t="n">
        <x:v>4</x:v>
      </x:c>
      <x:c r="R620" s="311" t="n">
        <x:v>60</x:v>
      </x:c>
      <x:c r="S620" s="311" t="str">
        <x:v>2-2-1</x:v>
      </x:c>
      <x:c r="T620" s="330" t="n">
        <x:v>0.95</x:v>
      </x:c>
      <x:c r="U620" s="330" t="n">
        <x:v>0</x:v>
      </x:c>
      <x:c r="V620" s="331" t="str">
        <x:v>load × reps</x:v>
      </x:c>
      <x:c r="W620" s="332" t="str">
        <x:f>'Readiness'!K73</x:f>
      </x:c>
      <x:c r="X620" s="314" t="n">
        <x:f>'Readiness'!L73</x:f>
        <x:v>1</x:v>
      </x:c>
      <x:c r="Y620" s="315" t="n">
        <x:f>IF(J620="Mobility",N620,MAX(1,ROUND(N620*X620,0)))</x:f>
        <x:v>2</x:v>
      </x:c>
      <x:c r="Z620" s="333" t="n">
        <x:f>ROUND((IF(AU564&gt;0,AU564,IF(Z564&gt;0,Z564,'Setup'!$D$90))*T620)/'Setup'!$B$9,0)*'Setup'!$B$9</x:f>
        <x:v>0</x:v>
      </x:c>
      <x:c r="AA620" s="334"/>
      <x:c r="AB620" s="334"/>
      <x:c r="AC620" s="334"/>
      <x:c r="AD620" s="334"/>
      <x:c r="AE620" s="334"/>
      <x:c r="AF620" s="334"/>
      <x:c r="AG620" s="334"/>
      <x:c r="AH620" s="334"/>
      <x:c r="AI620" s="334"/>
      <x:c r="AJ620" s="312"/>
      <x:c r="AK620" s="312"/>
      <x:c r="AL620" s="312"/>
      <x:c r="AM620" s="312"/>
      <x:c r="AN620" s="312"/>
      <x:c r="AO620" s="315" t="n">
        <x:f>COUNT(AB620,AD620,AF620,AH620,AJ620)</x:f>
        <x:v>0</x:v>
      </x:c>
      <x:c r="AP620" s="315" t="n">
        <x:f>SUM(AB620,AD620,AF620,AH620,AJ620)</x:f>
        <x:v>0</x:v>
      </x:c>
      <x:c r="AQ620" s="333" t="n">
        <x:f>AA620*AB620+AC620*AD620+AE620*AF620+AG620*AH620+AI620*AJ620</x:f>
        <x:v>0</x:v>
      </x:c>
      <x:c r="AR620" s="333" t="n">
        <x:f>IF(OR(J620="Strength",J620="Hypertrophy"),MAX(IF(AB620&gt;0,AA620*(1+AB620/30),0),IF(AD620&gt;0,AC620*(1+AD620/30),0),IF(AF620&gt;0,AE620*(1+AF620/30),0),IF(AH620&gt;0,AG620*(1+AH620/30),0),IF(AJ620&gt;0,AI620*(1+AJ620/30),0)),0)</x:f>
        <x:v>0</x:v>
      </x:c>
      <x:c r="AS620" s="315" t="str">
        <x:f>IF(AN620&lt;&gt;"Yes","Not logged",IF(AL620&gt;='Setup'!$B$14,"STOP / MODIFY",IF(Z620=0,"Complete",IF(OR(AO620=0,AK620=""),"Add set data + RIR",IF(AND(MAX(AB620,AD620,AF620,AH620,AJ620)&gt;=P620,AK620&gt;=Q620+1),"Progress",IF(OR(MAX(AB620,AD620,AF620,AH620,AJ620)&lt;O620,AK620&lt;Q620-1),"Regress","Hold"))))))</x:f>
        <x:v>Not logged</x:v>
      </x:c>
      <x:c r="AT620" s="335" t="n">
        <x:f>IF(OR(Z620=0,AN620&lt;&gt;"Yes",AO620=0,AK620=""),0,IF(AL620&gt;='Setup'!$B$14,-2*'Setup'!$B$11,IF(AND(MAX(AB620,AD620,AF620,AH620,AJ620)&gt;=P620,AK620&gt;=Q620+1),'Setup'!$B$10,IF(OR(MAX(AB620,AD620,AF620,AH620,AJ620)&lt;O620,AK620&lt;Q620-1),-'Setup'!$B$11,0))))</x:f>
        <x:v>0</x:v>
      </x:c>
      <x:c r="AU620" s="333" t="n">
        <x:f>IF(Z620=0,0,IF(AN620&lt;&gt;"Yes",Z620,IF(COUNT(AA620,AC620,AE620,AG620,AI620)=0,Z620,ROUND((MAX(AA620,AC620,AE620,AG620,AI620)*(1+AT620))/'Setup'!$B$9,0)*'Setup'!$B$9)))</x:f>
        <x:v>0</x:v>
      </x:c>
      <x:c r="AV620" s="336"/>
    </x:row>
    <x:row r="621">
      <x:c r="A621" s="310" t="n">
        <x:f>'Setup'!$B$3+(C621-1)*7+(D621-1)</x:f>
        <x:v>46321</x:v>
      </x:c>
      <x:c r="B621" s="311" t="str">
        <x:v>12|1|8</x:v>
      </x:c>
      <x:c r="C621" s="311" t="n">
        <x:v>12</x:v>
      </x:c>
      <x:c r="D621" s="311" t="n">
        <x:v>1</x:v>
      </x:c>
      <x:c r="E621" s="311" t="str">
        <x:v>Taper + Performance</x:v>
      </x:c>
      <x:c r="F621" s="311" t="str">
        <x:v>Lower Power + Squat</x:v>
      </x:c>
      <x:c r="G621" s="311" t="str">
        <x:v>Squat strength and reactive power</x:v>
      </x:c>
      <x:c r="H621" s="311" t="n">
        <x:v>8</x:v>
      </x:c>
      <x:c r="I621" s="311" t="str">
        <x:v>Ankle Dorsiflexion Mobilization</x:v>
      </x:c>
      <x:c r="J621" s="311" t="str">
        <x:v>Mobility</x:v>
      </x:c>
      <x:c r="K621" s="311" t="str">
        <x:v>Ankles</x:v>
      </x:c>
      <x:c r="L621" s="311" t="str">
        <x:v>Straight sets, leave 4 RIR</x:v>
      </x:c>
      <x:c r="M621" s="311" t="str"/>
      <x:c r="N621" s="311" t="n">
        <x:v>2</x:v>
      </x:c>
      <x:c r="O621" s="311" t="n">
        <x:v>8</x:v>
      </x:c>
      <x:c r="P621" s="311" t="n">
        <x:v>12</x:v>
      </x:c>
      <x:c r="Q621" s="311" t="str"/>
      <x:c r="R621" s="311" t="n">
        <x:v>20</x:v>
      </x:c>
      <x:c r="S621" s="311" t="str">
        <x:v>Slow</x:v>
      </x:c>
      <x:c r="T621" s="330" t="n">
        <x:v>0.95</x:v>
      </x:c>
      <x:c r="U621" s="330" t="n">
        <x:v>0</x:v>
      </x:c>
      <x:c r="V621" s="331" t="str">
        <x:v>reps</x:v>
      </x:c>
      <x:c r="W621" s="332" t="str">
        <x:f>'Readiness'!K73</x:f>
      </x:c>
      <x:c r="X621" s="314" t="n">
        <x:f>'Readiness'!L73</x:f>
        <x:v>1</x:v>
      </x:c>
      <x:c r="Y621" s="315" t="n">
        <x:f>IF(J621="Mobility",N621,MAX(1,ROUND(N621*X621,0)))</x:f>
        <x:v>2</x:v>
      </x:c>
      <x:c r="Z621" s="333" t="n">
        <x:f>0</x:f>
        <x:v>0</x:v>
      </x:c>
      <x:c r="AA621" s="334"/>
      <x:c r="AB621" s="334"/>
      <x:c r="AC621" s="334"/>
      <x:c r="AD621" s="334"/>
      <x:c r="AE621" s="334"/>
      <x:c r="AF621" s="334"/>
      <x:c r="AG621" s="334"/>
      <x:c r="AH621" s="334"/>
      <x:c r="AI621" s="334"/>
      <x:c r="AJ621" s="312"/>
      <x:c r="AK621" s="312"/>
      <x:c r="AL621" s="312"/>
      <x:c r="AM621" s="312"/>
      <x:c r="AN621" s="312"/>
      <x:c r="AO621" s="315" t="n">
        <x:f>COUNT(AB621,AD621,AF621,AH621,AJ621)</x:f>
        <x:v>0</x:v>
      </x:c>
      <x:c r="AP621" s="315" t="n">
        <x:f>SUM(AB621,AD621,AF621,AH621,AJ621)</x:f>
        <x:v>0</x:v>
      </x:c>
      <x:c r="AQ621" s="333" t="n">
        <x:f>AA621*AB621+AC621*AD621+AE621*AF621+AG621*AH621+AI621*AJ621</x:f>
        <x:v>0</x:v>
      </x:c>
      <x:c r="AR621" s="333" t="n">
        <x:f>IF(OR(J621="Strength",J621="Hypertrophy"),MAX(IF(AB621&gt;0,AA621*(1+AB621/30),0),IF(AD621&gt;0,AC621*(1+AD621/30),0),IF(AF621&gt;0,AE621*(1+AF621/30),0),IF(AH621&gt;0,AG621*(1+AH621/30),0),IF(AJ621&gt;0,AI621*(1+AJ621/30),0)),0)</x:f>
        <x:v>0</x:v>
      </x:c>
      <x:c r="AS621" s="315" t="str">
        <x:f>IF(AN621&lt;&gt;"Yes","Not logged",IF(AL621&gt;='Setup'!$B$14,"STOP / MODIFY",IF(Z621=0,"Complete",IF(OR(AO621=0,AK621=""),"Add set data + RIR",IF(AND(MAX(AB621,AD621,AF621,AH621,AJ621)&gt;=P621,AK621&gt;=Q621+1),"Progress",IF(OR(MAX(AB621,AD621,AF621,AH621,AJ621)&lt;O621,AK621&lt;Q621-1),"Regress","Hold"))))))</x:f>
        <x:v>Not logged</x:v>
      </x:c>
      <x:c r="AT621" s="335" t="n">
        <x:f>IF(OR(Z621=0,AN621&lt;&gt;"Yes",AO621=0,AK621=""),0,IF(AL621&gt;='Setup'!$B$14,-2*'Setup'!$B$11,IF(AND(MAX(AB621,AD621,AF621,AH621,AJ621)&gt;=P621,AK621&gt;=Q621+1),'Setup'!$B$10,IF(OR(MAX(AB621,AD621,AF621,AH621,AJ621)&lt;O621,AK621&lt;Q621-1),-'Setup'!$B$11,0))))</x:f>
        <x:v>0</x:v>
      </x:c>
      <x:c r="AU621" s="333" t="n">
        <x:f>IF(Z621=0,0,IF(AN621&lt;&gt;"Yes",Z621,IF(COUNT(AA621,AC621,AE621,AG621,AI621)=0,Z621,ROUND((MAX(AA621,AC621,AE621,AG621,AI621)*(1+AT621))/'Setup'!$B$9,0)*'Setup'!$B$9)))</x:f>
        <x:v>0</x:v>
      </x:c>
      <x:c r="AV621" s="336"/>
    </x:row>
    <x:row r="622">
      <x:c r="A622" s="310" t="n">
        <x:f>'Setup'!$B$3+(C622-1)*7+(D622-1)</x:f>
        <x:v>46321</x:v>
      </x:c>
      <x:c r="B622" s="311" t="str">
        <x:v>12|1|9</x:v>
      </x:c>
      <x:c r="C622" s="311" t="n">
        <x:v>12</x:v>
      </x:c>
      <x:c r="D622" s="311" t="n">
        <x:v>1</x:v>
      </x:c>
      <x:c r="E622" s="311" t="str">
        <x:v>Taper + Performance</x:v>
      </x:c>
      <x:c r="F622" s="311" t="str">
        <x:v>Lower Power + Squat</x:v>
      </x:c>
      <x:c r="G622" s="311" t="str">
        <x:v>Squat strength and reactive power</x:v>
      </x:c>
      <x:c r="H622" s="311" t="n">
        <x:v>9</x:v>
      </x:c>
      <x:c r="I622" s="311" t="str">
        <x:v>90/90 Hip Switch</x:v>
      </x:c>
      <x:c r="J622" s="311" t="str">
        <x:v>Mobility</x:v>
      </x:c>
      <x:c r="K622" s="311" t="str">
        <x:v>Hips</x:v>
      </x:c>
      <x:c r="L622" s="311" t="str">
        <x:v>Straight sets, leave 4 RIR</x:v>
      </x:c>
      <x:c r="M622" s="311" t="str"/>
      <x:c r="N622" s="311" t="n">
        <x:v>2</x:v>
      </x:c>
      <x:c r="O622" s="311" t="n">
        <x:v>6</x:v>
      </x:c>
      <x:c r="P622" s="311" t="n">
        <x:v>10</x:v>
      </x:c>
      <x:c r="Q622" s="311" t="str"/>
      <x:c r="R622" s="311" t="n">
        <x:v>20</x:v>
      </x:c>
      <x:c r="S622" s="311" t="str">
        <x:v>Slow</x:v>
      </x:c>
      <x:c r="T622" s="330" t="n">
        <x:v>0.95</x:v>
      </x:c>
      <x:c r="U622" s="330" t="n">
        <x:v>0</x:v>
      </x:c>
      <x:c r="V622" s="331" t="str">
        <x:v>reps</x:v>
      </x:c>
      <x:c r="W622" s="332" t="str">
        <x:f>'Readiness'!K73</x:f>
      </x:c>
      <x:c r="X622" s="314" t="n">
        <x:f>'Readiness'!L73</x:f>
        <x:v>1</x:v>
      </x:c>
      <x:c r="Y622" s="315" t="n">
        <x:f>IF(J622="Mobility",N622,MAX(1,ROUND(N622*X622,0)))</x:f>
        <x:v>2</x:v>
      </x:c>
      <x:c r="Z622" s="333" t="n">
        <x:f>0</x:f>
        <x:v>0</x:v>
      </x:c>
      <x:c r="AA622" s="334"/>
      <x:c r="AB622" s="334"/>
      <x:c r="AC622" s="334"/>
      <x:c r="AD622" s="334"/>
      <x:c r="AE622" s="334"/>
      <x:c r="AF622" s="334"/>
      <x:c r="AG622" s="334"/>
      <x:c r="AH622" s="334"/>
      <x:c r="AI622" s="334"/>
      <x:c r="AJ622" s="312"/>
      <x:c r="AK622" s="312"/>
      <x:c r="AL622" s="312"/>
      <x:c r="AM622" s="312"/>
      <x:c r="AN622" s="312"/>
      <x:c r="AO622" s="315" t="n">
        <x:f>COUNT(AB622,AD622,AF622,AH622,AJ622)</x:f>
        <x:v>0</x:v>
      </x:c>
      <x:c r="AP622" s="315" t="n">
        <x:f>SUM(AB622,AD622,AF622,AH622,AJ622)</x:f>
        <x:v>0</x:v>
      </x:c>
      <x:c r="AQ622" s="333" t="n">
        <x:f>AA622*AB622+AC622*AD622+AE622*AF622+AG622*AH622+AI622*AJ622</x:f>
        <x:v>0</x:v>
      </x:c>
      <x:c r="AR622" s="333" t="n">
        <x:f>IF(OR(J622="Strength",J622="Hypertrophy"),MAX(IF(AB622&gt;0,AA622*(1+AB622/30),0),IF(AD622&gt;0,AC622*(1+AD622/30),0),IF(AF622&gt;0,AE622*(1+AF622/30),0),IF(AH622&gt;0,AG622*(1+AH622/30),0),IF(AJ622&gt;0,AI622*(1+AJ622/30),0)),0)</x:f>
        <x:v>0</x:v>
      </x:c>
      <x:c r="AS622" s="315" t="str">
        <x:f>IF(AN622&lt;&gt;"Yes","Not logged",IF(AL622&gt;='Setup'!$B$14,"STOP / MODIFY",IF(Z622=0,"Complete",IF(OR(AO622=0,AK622=""),"Add set data + RIR",IF(AND(MAX(AB622,AD622,AF622,AH622,AJ622)&gt;=P622,AK622&gt;=Q622+1),"Progress",IF(OR(MAX(AB622,AD622,AF622,AH622,AJ622)&lt;O622,AK622&lt;Q622-1),"Regress","Hold"))))))</x:f>
        <x:v>Not logged</x:v>
      </x:c>
      <x:c r="AT622" s="335" t="n">
        <x:f>IF(OR(Z622=0,AN622&lt;&gt;"Yes",AO622=0,AK622=""),0,IF(AL622&gt;='Setup'!$B$14,-2*'Setup'!$B$11,IF(AND(MAX(AB622,AD622,AF622,AH622,AJ622)&gt;=P622,AK622&gt;=Q622+1),'Setup'!$B$10,IF(OR(MAX(AB622,AD622,AF622,AH622,AJ622)&lt;O622,AK622&lt;Q622-1),-'Setup'!$B$11,0))))</x:f>
        <x:v>0</x:v>
      </x:c>
      <x:c r="AU622" s="333" t="n">
        <x:f>IF(Z622=0,0,IF(AN622&lt;&gt;"Yes",Z622,IF(COUNT(AA622,AC622,AE622,AG622,AI622)=0,Z622,ROUND((MAX(AA622,AC622,AE622,AG622,AI622)*(1+AT622))/'Setup'!$B$9,0)*'Setup'!$B$9)))</x:f>
        <x:v>0</x:v>
      </x:c>
      <x:c r="AV622" s="336"/>
    </x:row>
    <x:row r="623">
      <x:c r="A623" s="310" t="n">
        <x:f>'Setup'!$B$3+(C623-1)*7+(D623-1)</x:f>
        <x:v>46322</x:v>
      </x:c>
      <x:c r="B623" s="311" t="str">
        <x:v>12|2|1</x:v>
      </x:c>
      <x:c r="C623" s="311" t="n">
        <x:v>12</x:v>
      </x:c>
      <x:c r="D623" s="311" t="n">
        <x:v>2</x:v>
      </x:c>
      <x:c r="E623" s="311" t="str">
        <x:v>Taper + Performance</x:v>
      </x:c>
      <x:c r="F623" s="311" t="str">
        <x:v>Back + Triceps</x:v>
      </x:c>
      <x:c r="G623" s="311" t="str">
        <x:v>High-volume back with triceps isolation</x:v>
      </x:c>
      <x:c r="H623" s="311" t="n">
        <x:v>1</x:v>
      </x:c>
      <x:c r="I623" s="311" t="str">
        <x:v>Neutral-Grip Lat Pulldown</x:v>
      </x:c>
      <x:c r="J623" s="311" t="str">
        <x:v>Hypertrophy</x:v>
      </x:c>
      <x:c r="K623" s="311" t="str">
        <x:v>Back</x:v>
      </x:c>
      <x:c r="L623" s="311" t="str">
        <x:v>Straight sets, leave 4 RIR</x:v>
      </x:c>
      <x:c r="M623" s="311" t="str"/>
      <x:c r="N623" s="311" t="n">
        <x:v>3</x:v>
      </x:c>
      <x:c r="O623" s="311" t="n">
        <x:v>8</x:v>
      </x:c>
      <x:c r="P623" s="311" t="n">
        <x:v>12</x:v>
      </x:c>
      <x:c r="Q623" s="311" t="n">
        <x:v>4</x:v>
      </x:c>
      <x:c r="R623" s="311" t="n">
        <x:v>90</x:v>
      </x:c>
      <x:c r="S623" s="311" t="str">
        <x:v>2-1-1</x:v>
      </x:c>
      <x:c r="T623" s="330" t="n">
        <x:v>0.95</x:v>
      </x:c>
      <x:c r="U623" s="330" t="n">
        <x:v>0</x:v>
      </x:c>
      <x:c r="V623" s="331" t="str">
        <x:v>load × reps</x:v>
      </x:c>
      <x:c r="W623" s="332" t="str">
        <x:f>'Readiness'!K74</x:f>
      </x:c>
      <x:c r="X623" s="314" t="n">
        <x:f>'Readiness'!L74</x:f>
        <x:v>1</x:v>
      </x:c>
      <x:c r="Y623" s="315" t="n">
        <x:f>IF(J623="Mobility",N623,MAX(1,ROUND(N623*X623,0)))</x:f>
        <x:v>3</x:v>
      </x:c>
      <x:c r="Z623" s="333" t="n">
        <x:f>ROUND((IF(AU567&gt;0,AU567,IF(Z567&gt;0,Z567,'Setup'!$D$65))*T623)/'Setup'!$B$9,0)*'Setup'!$B$9</x:f>
        <x:v>0</x:v>
      </x:c>
      <x:c r="AA623" s="334"/>
      <x:c r="AB623" s="334"/>
      <x:c r="AC623" s="334"/>
      <x:c r="AD623" s="334"/>
      <x:c r="AE623" s="334"/>
      <x:c r="AF623" s="334"/>
      <x:c r="AG623" s="334"/>
      <x:c r="AH623" s="334"/>
      <x:c r="AI623" s="334"/>
      <x:c r="AJ623" s="312"/>
      <x:c r="AK623" s="312"/>
      <x:c r="AL623" s="312"/>
      <x:c r="AM623" s="312"/>
      <x:c r="AN623" s="312"/>
      <x:c r="AO623" s="315" t="n">
        <x:f>COUNT(AB623,AD623,AF623,AH623,AJ623)</x:f>
        <x:v>0</x:v>
      </x:c>
      <x:c r="AP623" s="315" t="n">
        <x:f>SUM(AB623,AD623,AF623,AH623,AJ623)</x:f>
        <x:v>0</x:v>
      </x:c>
      <x:c r="AQ623" s="333" t="n">
        <x:f>AA623*AB623+AC623*AD623+AE623*AF623+AG623*AH623+AI623*AJ623</x:f>
        <x:v>0</x:v>
      </x:c>
      <x:c r="AR623" s="333" t="n">
        <x:f>IF(OR(J623="Strength",J623="Hypertrophy"),MAX(IF(AB623&gt;0,AA623*(1+AB623/30),0),IF(AD623&gt;0,AC623*(1+AD623/30),0),IF(AF623&gt;0,AE623*(1+AF623/30),0),IF(AH623&gt;0,AG623*(1+AH623/30),0),IF(AJ623&gt;0,AI623*(1+AJ623/30),0)),0)</x:f>
        <x:v>0</x:v>
      </x:c>
      <x:c r="AS623" s="315" t="str">
        <x:f>IF(AN623&lt;&gt;"Yes","Not logged",IF(AL623&gt;='Setup'!$B$14,"STOP / MODIFY",IF(Z623=0,"Complete",IF(OR(AO623=0,AK623=""),"Add set data + RIR",IF(AND(MAX(AB623,AD623,AF623,AH623,AJ623)&gt;=P623,AK623&gt;=Q623+1),"Progress",IF(OR(MAX(AB623,AD623,AF623,AH623,AJ623)&lt;O623,AK623&lt;Q623-1),"Regress","Hold"))))))</x:f>
        <x:v>Not logged</x:v>
      </x:c>
      <x:c r="AT623" s="335" t="n">
        <x:f>IF(OR(Z623=0,AN623&lt;&gt;"Yes",AO623=0,AK623=""),0,IF(AL623&gt;='Setup'!$B$14,-2*'Setup'!$B$11,IF(AND(MAX(AB623,AD623,AF623,AH623,AJ623)&gt;=P623,AK623&gt;=Q623+1),'Setup'!$B$10,IF(OR(MAX(AB623,AD623,AF623,AH623,AJ623)&lt;O623,AK623&lt;Q623-1),-'Setup'!$B$11,0))))</x:f>
        <x:v>0</x:v>
      </x:c>
      <x:c r="AU623" s="333" t="n">
        <x:f>IF(Z623=0,0,IF(AN623&lt;&gt;"Yes",Z623,IF(COUNT(AA623,AC623,AE623,AG623,AI623)=0,Z623,ROUND((MAX(AA623,AC623,AE623,AG623,AI623)*(1+AT623))/'Setup'!$B$9,0)*'Setup'!$B$9)))</x:f>
        <x:v>0</x:v>
      </x:c>
      <x:c r="AV623" s="336"/>
    </x:row>
    <x:row r="624">
      <x:c r="A624" s="310" t="n">
        <x:f>'Setup'!$B$3+(C624-1)*7+(D624-1)</x:f>
        <x:v>46322</x:v>
      </x:c>
      <x:c r="B624" s="311" t="str">
        <x:v>12|2|2</x:v>
      </x:c>
      <x:c r="C624" s="311" t="n">
        <x:v>12</x:v>
      </x:c>
      <x:c r="D624" s="311" t="n">
        <x:v>2</x:v>
      </x:c>
      <x:c r="E624" s="311" t="str">
        <x:v>Taper + Performance</x:v>
      </x:c>
      <x:c r="F624" s="311" t="str">
        <x:v>Back + Triceps</x:v>
      </x:c>
      <x:c r="G624" s="311" t="str">
        <x:v>High-volume back with triceps isolation</x:v>
      </x:c>
      <x:c r="H624" s="311" t="n">
        <x:v>2</x:v>
      </x:c>
      <x:c r="I624" s="311" t="str">
        <x:v>Machine High Row</x:v>
      </x:c>
      <x:c r="J624" s="311" t="str">
        <x:v>Hypertrophy</x:v>
      </x:c>
      <x:c r="K624" s="311" t="str">
        <x:v>Back</x:v>
      </x:c>
      <x:c r="L624" s="311" t="str">
        <x:v>Straight sets, leave 4 RIR</x:v>
      </x:c>
      <x:c r="M624" s="311" t="str"/>
      <x:c r="N624" s="311" t="n">
        <x:v>3</x:v>
      </x:c>
      <x:c r="O624" s="311" t="n">
        <x:v>8</x:v>
      </x:c>
      <x:c r="P624" s="311" t="n">
        <x:v>12</x:v>
      </x:c>
      <x:c r="Q624" s="311" t="n">
        <x:v>4</x:v>
      </x:c>
      <x:c r="R624" s="311" t="n">
        <x:v>90</x:v>
      </x:c>
      <x:c r="S624" s="311" t="str">
        <x:v>2-1-1</x:v>
      </x:c>
      <x:c r="T624" s="330" t="n">
        <x:v>0.95</x:v>
      </x:c>
      <x:c r="U624" s="330" t="n">
        <x:v>0</x:v>
      </x:c>
      <x:c r="V624" s="331" t="str">
        <x:v>load × reps</x:v>
      </x:c>
      <x:c r="W624" s="332" t="str">
        <x:f>'Readiness'!K74</x:f>
      </x:c>
      <x:c r="X624" s="314" t="n">
        <x:f>'Readiness'!L74</x:f>
        <x:v>1</x:v>
      </x:c>
      <x:c r="Y624" s="315" t="n">
        <x:f>IF(J624="Mobility",N624,MAX(1,ROUND(N624*X624,0)))</x:f>
        <x:v>3</x:v>
      </x:c>
      <x:c r="Z624" s="333" t="n">
        <x:f>ROUND((IF(AU568&gt;0,AU568,IF(Z568&gt;0,Z568,'Setup'!$D$61))*T624)/'Setup'!$B$9,0)*'Setup'!$B$9</x:f>
        <x:v>0</x:v>
      </x:c>
      <x:c r="AA624" s="334"/>
      <x:c r="AB624" s="334"/>
      <x:c r="AC624" s="334"/>
      <x:c r="AD624" s="334"/>
      <x:c r="AE624" s="334"/>
      <x:c r="AF624" s="334"/>
      <x:c r="AG624" s="334"/>
      <x:c r="AH624" s="334"/>
      <x:c r="AI624" s="334"/>
      <x:c r="AJ624" s="312"/>
      <x:c r="AK624" s="312"/>
      <x:c r="AL624" s="312"/>
      <x:c r="AM624" s="312"/>
      <x:c r="AN624" s="312"/>
      <x:c r="AO624" s="315" t="n">
        <x:f>COUNT(AB624,AD624,AF624,AH624,AJ624)</x:f>
        <x:v>0</x:v>
      </x:c>
      <x:c r="AP624" s="315" t="n">
        <x:f>SUM(AB624,AD624,AF624,AH624,AJ624)</x:f>
        <x:v>0</x:v>
      </x:c>
      <x:c r="AQ624" s="333" t="n">
        <x:f>AA624*AB624+AC624*AD624+AE624*AF624+AG624*AH624+AI624*AJ624</x:f>
        <x:v>0</x:v>
      </x:c>
      <x:c r="AR624" s="333" t="n">
        <x:f>IF(OR(J624="Strength",J624="Hypertrophy"),MAX(IF(AB624&gt;0,AA624*(1+AB624/30),0),IF(AD624&gt;0,AC624*(1+AD624/30),0),IF(AF624&gt;0,AE624*(1+AF624/30),0),IF(AH624&gt;0,AG624*(1+AH624/30),0),IF(AJ624&gt;0,AI624*(1+AJ624/30),0)),0)</x:f>
        <x:v>0</x:v>
      </x:c>
      <x:c r="AS624" s="315" t="str">
        <x:f>IF(AN624&lt;&gt;"Yes","Not logged",IF(AL624&gt;='Setup'!$B$14,"STOP / MODIFY",IF(Z624=0,"Complete",IF(OR(AO624=0,AK624=""),"Add set data + RIR",IF(AND(MAX(AB624,AD624,AF624,AH624,AJ624)&gt;=P624,AK624&gt;=Q624+1),"Progress",IF(OR(MAX(AB624,AD624,AF624,AH624,AJ624)&lt;O624,AK624&lt;Q624-1),"Regress","Hold"))))))</x:f>
        <x:v>Not logged</x:v>
      </x:c>
      <x:c r="AT624" s="335" t="n">
        <x:f>IF(OR(Z624=0,AN624&lt;&gt;"Yes",AO624=0,AK624=""),0,IF(AL624&gt;='Setup'!$B$14,-2*'Setup'!$B$11,IF(AND(MAX(AB624,AD624,AF624,AH624,AJ624)&gt;=P624,AK624&gt;=Q624+1),'Setup'!$B$10,IF(OR(MAX(AB624,AD624,AF624,AH624,AJ624)&lt;O624,AK624&lt;Q624-1),-'Setup'!$B$11,0))))</x:f>
        <x:v>0</x:v>
      </x:c>
      <x:c r="AU624" s="333" t="n">
        <x:f>IF(Z624=0,0,IF(AN624&lt;&gt;"Yes",Z624,IF(COUNT(AA624,AC624,AE624,AG624,AI624)=0,Z624,ROUND((MAX(AA624,AC624,AE624,AG624,AI624)*(1+AT624))/'Setup'!$B$9,0)*'Setup'!$B$9)))</x:f>
        <x:v>0</x:v>
      </x:c>
      <x:c r="AV624" s="336"/>
    </x:row>
    <x:row r="625">
      <x:c r="A625" s="310" t="n">
        <x:f>'Setup'!$B$3+(C625-1)*7+(D625-1)</x:f>
        <x:v>46322</x:v>
      </x:c>
      <x:c r="B625" s="311" t="str">
        <x:v>12|2|3</x:v>
      </x:c>
      <x:c r="C625" s="311" t="n">
        <x:v>12</x:v>
      </x:c>
      <x:c r="D625" s="311" t="n">
        <x:v>2</x:v>
      </x:c>
      <x:c r="E625" s="311" t="str">
        <x:v>Taper + Performance</x:v>
      </x:c>
      <x:c r="F625" s="311" t="str">
        <x:v>Back + Triceps</x:v>
      </x:c>
      <x:c r="G625" s="311" t="str">
        <x:v>High-volume back with triceps isolation</x:v>
      </x:c>
      <x:c r="H625" s="311" t="n">
        <x:v>3</x:v>
      </x:c>
      <x:c r="I625" s="311" t="str">
        <x:v>One-Arm Cable Row</x:v>
      </x:c>
      <x:c r="J625" s="311" t="str">
        <x:v>Hypertrophy</x:v>
      </x:c>
      <x:c r="K625" s="311" t="str">
        <x:v>Back</x:v>
      </x:c>
      <x:c r="L625" s="311" t="str">
        <x:v>Straight sets, leave 4 RIR</x:v>
      </x:c>
      <x:c r="M625" s="311" t="str"/>
      <x:c r="N625" s="311" t="n">
        <x:v>2</x:v>
      </x:c>
      <x:c r="O625" s="311" t="n">
        <x:v>10</x:v>
      </x:c>
      <x:c r="P625" s="311" t="n">
        <x:v>15</x:v>
      </x:c>
      <x:c r="Q625" s="311" t="n">
        <x:v>4</x:v>
      </x:c>
      <x:c r="R625" s="311" t="n">
        <x:v>75</x:v>
      </x:c>
      <x:c r="S625" s="311" t="str">
        <x:v>2-1-1</x:v>
      </x:c>
      <x:c r="T625" s="330" t="n">
        <x:v>0.95</x:v>
      </x:c>
      <x:c r="U625" s="330" t="n">
        <x:v>0</x:v>
      </x:c>
      <x:c r="V625" s="331" t="str">
        <x:v>load × reps</x:v>
      </x:c>
      <x:c r="W625" s="332" t="str">
        <x:f>'Readiness'!K74</x:f>
      </x:c>
      <x:c r="X625" s="314" t="n">
        <x:f>'Readiness'!L74</x:f>
        <x:v>1</x:v>
      </x:c>
      <x:c r="Y625" s="315" t="n">
        <x:f>IF(J625="Mobility",N625,MAX(1,ROUND(N625*X625,0)))</x:f>
        <x:v>2</x:v>
      </x:c>
      <x:c r="Z625" s="333" t="n">
        <x:f>ROUND((IF(AU569&gt;0,AU569,IF(Z569&gt;0,Z569,'Setup'!$D$67))*T625)/'Setup'!$B$9,0)*'Setup'!$B$9</x:f>
        <x:v>0</x:v>
      </x:c>
      <x:c r="AA625" s="334"/>
      <x:c r="AB625" s="334"/>
      <x:c r="AC625" s="334"/>
      <x:c r="AD625" s="334"/>
      <x:c r="AE625" s="334"/>
      <x:c r="AF625" s="334"/>
      <x:c r="AG625" s="334"/>
      <x:c r="AH625" s="334"/>
      <x:c r="AI625" s="334"/>
      <x:c r="AJ625" s="312"/>
      <x:c r="AK625" s="312"/>
      <x:c r="AL625" s="312"/>
      <x:c r="AM625" s="312"/>
      <x:c r="AN625" s="312"/>
      <x:c r="AO625" s="315" t="n">
        <x:f>COUNT(AB625,AD625,AF625,AH625,AJ625)</x:f>
        <x:v>0</x:v>
      </x:c>
      <x:c r="AP625" s="315" t="n">
        <x:f>SUM(AB625,AD625,AF625,AH625,AJ625)</x:f>
        <x:v>0</x:v>
      </x:c>
      <x:c r="AQ625" s="333" t="n">
        <x:f>AA625*AB625+AC625*AD625+AE625*AF625+AG625*AH625+AI625*AJ625</x:f>
        <x:v>0</x:v>
      </x:c>
      <x:c r="AR625" s="333" t="n">
        <x:f>IF(OR(J625="Strength",J625="Hypertrophy"),MAX(IF(AB625&gt;0,AA625*(1+AB625/30),0),IF(AD625&gt;0,AC625*(1+AD625/30),0),IF(AF625&gt;0,AE625*(1+AF625/30),0),IF(AH625&gt;0,AG625*(1+AH625/30),0),IF(AJ625&gt;0,AI625*(1+AJ625/30),0)),0)</x:f>
        <x:v>0</x:v>
      </x:c>
      <x:c r="AS625" s="315" t="str">
        <x:f>IF(AN625&lt;&gt;"Yes","Not logged",IF(AL625&gt;='Setup'!$B$14,"STOP / MODIFY",IF(Z625=0,"Complete",IF(OR(AO625=0,AK625=""),"Add set data + RIR",IF(AND(MAX(AB625,AD625,AF625,AH625,AJ625)&gt;=P625,AK625&gt;=Q625+1),"Progress",IF(OR(MAX(AB625,AD625,AF625,AH625,AJ625)&lt;O625,AK625&lt;Q625-1),"Regress","Hold"))))))</x:f>
        <x:v>Not logged</x:v>
      </x:c>
      <x:c r="AT625" s="335" t="n">
        <x:f>IF(OR(Z625=0,AN625&lt;&gt;"Yes",AO625=0,AK625=""),0,IF(AL625&gt;='Setup'!$B$14,-2*'Setup'!$B$11,IF(AND(MAX(AB625,AD625,AF625,AH625,AJ625)&gt;=P625,AK625&gt;=Q625+1),'Setup'!$B$10,IF(OR(MAX(AB625,AD625,AF625,AH625,AJ625)&lt;O625,AK625&lt;Q625-1),-'Setup'!$B$11,0))))</x:f>
        <x:v>0</x:v>
      </x:c>
      <x:c r="AU625" s="333" t="n">
        <x:f>IF(Z625=0,0,IF(AN625&lt;&gt;"Yes",Z625,IF(COUNT(AA625,AC625,AE625,AG625,AI625)=0,Z625,ROUND((MAX(AA625,AC625,AE625,AG625,AI625)*(1+AT625))/'Setup'!$B$9,0)*'Setup'!$B$9)))</x:f>
        <x:v>0</x:v>
      </x:c>
      <x:c r="AV625" s="336"/>
    </x:row>
    <x:row r="626">
      <x:c r="A626" s="310" t="n">
        <x:f>'Setup'!$B$3+(C626-1)*7+(D626-1)</x:f>
        <x:v>46322</x:v>
      </x:c>
      <x:c r="B626" s="311" t="str">
        <x:v>12|2|4</x:v>
      </x:c>
      <x:c r="C626" s="311" t="n">
        <x:v>12</x:v>
      </x:c>
      <x:c r="D626" s="311" t="n">
        <x:v>2</x:v>
      </x:c>
      <x:c r="E626" s="311" t="str">
        <x:v>Taper + Performance</x:v>
      </x:c>
      <x:c r="F626" s="311" t="str">
        <x:v>Back + Triceps</x:v>
      </x:c>
      <x:c r="G626" s="311" t="str">
        <x:v>High-volume back with triceps isolation</x:v>
      </x:c>
      <x:c r="H626" s="311" t="n">
        <x:v>4</x:v>
      </x:c>
      <x:c r="I626" s="311" t="str">
        <x:v>Straight-Arm Pulldown</x:v>
      </x:c>
      <x:c r="J626" s="311" t="str">
        <x:v>Hypertrophy</x:v>
      </x:c>
      <x:c r="K626" s="311" t="str">
        <x:v>Back</x:v>
      </x:c>
      <x:c r="L626" s="311" t="str">
        <x:v>Straight sets, leave 4 RIR</x:v>
      </x:c>
      <x:c r="M626" s="311" t="str"/>
      <x:c r="N626" s="311" t="n">
        <x:v>2</x:v>
      </x:c>
      <x:c r="O626" s="311" t="n">
        <x:v>12</x:v>
      </x:c>
      <x:c r="P626" s="311" t="n">
        <x:v>15</x:v>
      </x:c>
      <x:c r="Q626" s="311" t="n">
        <x:v>4</x:v>
      </x:c>
      <x:c r="R626" s="311" t="n">
        <x:v>60</x:v>
      </x:c>
      <x:c r="S626" s="311" t="str">
        <x:v>3-1-1</x:v>
      </x:c>
      <x:c r="T626" s="330" t="n">
        <x:v>0.95</x:v>
      </x:c>
      <x:c r="U626" s="330" t="n">
        <x:v>0</x:v>
      </x:c>
      <x:c r="V626" s="331" t="str">
        <x:v>load × reps</x:v>
      </x:c>
      <x:c r="W626" s="332" t="str">
        <x:f>'Readiness'!K74</x:f>
      </x:c>
      <x:c r="X626" s="314" t="n">
        <x:f>'Readiness'!L74</x:f>
        <x:v>1</x:v>
      </x:c>
      <x:c r="Y626" s="315" t="n">
        <x:f>IF(J626="Mobility",N626,MAX(1,ROUND(N626*X626,0)))</x:f>
        <x:v>2</x:v>
      </x:c>
      <x:c r="Z626" s="333" t="n">
        <x:f>ROUND((IF(AU570&gt;0,AU570,IF(Z570&gt;0,Z570,'Setup'!$D$91))*T626)/'Setup'!$B$9,0)*'Setup'!$B$9</x:f>
        <x:v>0</x:v>
      </x:c>
      <x:c r="AA626" s="334"/>
      <x:c r="AB626" s="334"/>
      <x:c r="AC626" s="334"/>
      <x:c r="AD626" s="334"/>
      <x:c r="AE626" s="334"/>
      <x:c r="AF626" s="334"/>
      <x:c r="AG626" s="334"/>
      <x:c r="AH626" s="334"/>
      <x:c r="AI626" s="334"/>
      <x:c r="AJ626" s="312"/>
      <x:c r="AK626" s="312"/>
      <x:c r="AL626" s="312"/>
      <x:c r="AM626" s="312"/>
      <x:c r="AN626" s="312"/>
      <x:c r="AO626" s="315" t="n">
        <x:f>COUNT(AB626,AD626,AF626,AH626,AJ626)</x:f>
        <x:v>0</x:v>
      </x:c>
      <x:c r="AP626" s="315" t="n">
        <x:f>SUM(AB626,AD626,AF626,AH626,AJ626)</x:f>
        <x:v>0</x:v>
      </x:c>
      <x:c r="AQ626" s="333" t="n">
        <x:f>AA626*AB626+AC626*AD626+AE626*AF626+AG626*AH626+AI626*AJ626</x:f>
        <x:v>0</x:v>
      </x:c>
      <x:c r="AR626" s="333" t="n">
        <x:f>IF(OR(J626="Strength",J626="Hypertrophy"),MAX(IF(AB626&gt;0,AA626*(1+AB626/30),0),IF(AD626&gt;0,AC626*(1+AD626/30),0),IF(AF626&gt;0,AE626*(1+AF626/30),0),IF(AH626&gt;0,AG626*(1+AH626/30),0),IF(AJ626&gt;0,AI626*(1+AJ626/30),0)),0)</x:f>
        <x:v>0</x:v>
      </x:c>
      <x:c r="AS626" s="315" t="str">
        <x:f>IF(AN626&lt;&gt;"Yes","Not logged",IF(AL626&gt;='Setup'!$B$14,"STOP / MODIFY",IF(Z626=0,"Complete",IF(OR(AO626=0,AK626=""),"Add set data + RIR",IF(AND(MAX(AB626,AD626,AF626,AH626,AJ626)&gt;=P626,AK626&gt;=Q626+1),"Progress",IF(OR(MAX(AB626,AD626,AF626,AH626,AJ626)&lt;O626,AK626&lt;Q626-1),"Regress","Hold"))))))</x:f>
        <x:v>Not logged</x:v>
      </x:c>
      <x:c r="AT626" s="335" t="n">
        <x:f>IF(OR(Z626=0,AN626&lt;&gt;"Yes",AO626=0,AK626=""),0,IF(AL626&gt;='Setup'!$B$14,-2*'Setup'!$B$11,IF(AND(MAX(AB626,AD626,AF626,AH626,AJ626)&gt;=P626,AK626&gt;=Q626+1),'Setup'!$B$10,IF(OR(MAX(AB626,AD626,AF626,AH626,AJ626)&lt;O626,AK626&lt;Q626-1),-'Setup'!$B$11,0))))</x:f>
        <x:v>0</x:v>
      </x:c>
      <x:c r="AU626" s="333" t="n">
        <x:f>IF(Z626=0,0,IF(AN626&lt;&gt;"Yes",Z626,IF(COUNT(AA626,AC626,AE626,AG626,AI626)=0,Z626,ROUND((MAX(AA626,AC626,AE626,AG626,AI626)*(1+AT626))/'Setup'!$B$9,0)*'Setup'!$B$9)))</x:f>
        <x:v>0</x:v>
      </x:c>
      <x:c r="AV626" s="336"/>
    </x:row>
    <x:row r="627">
      <x:c r="A627" s="310" t="n">
        <x:f>'Setup'!$B$3+(C627-1)*7+(D627-1)</x:f>
        <x:v>46322</x:v>
      </x:c>
      <x:c r="B627" s="311" t="str">
        <x:v>12|2|5</x:v>
      </x:c>
      <x:c r="C627" s="311" t="n">
        <x:v>12</x:v>
      </x:c>
      <x:c r="D627" s="311" t="n">
        <x:v>2</x:v>
      </x:c>
      <x:c r="E627" s="311" t="str">
        <x:v>Taper + Performance</x:v>
      </x:c>
      <x:c r="F627" s="311" t="str">
        <x:v>Back + Triceps</x:v>
      </x:c>
      <x:c r="G627" s="311" t="str">
        <x:v>High-volume back with triceps isolation</x:v>
      </x:c>
      <x:c r="H627" s="311" t="n">
        <x:v>5</x:v>
      </x:c>
      <x:c r="I627" s="311" t="str">
        <x:v>Rear Delt Cable Fly</x:v>
      </x:c>
      <x:c r="J627" s="311" t="str">
        <x:v>Hypertrophy</x:v>
      </x:c>
      <x:c r="K627" s="311" t="str">
        <x:v>Rear Delts</x:v>
      </x:c>
      <x:c r="L627" s="311" t="str">
        <x:v>Straight sets, leave 4 RIR</x:v>
      </x:c>
      <x:c r="M627" s="311" t="str"/>
      <x:c r="N627" s="311" t="n">
        <x:v>3</x:v>
      </x:c>
      <x:c r="O627" s="311" t="n">
        <x:v>15</x:v>
      </x:c>
      <x:c r="P627" s="311" t="n">
        <x:v>20</x:v>
      </x:c>
      <x:c r="Q627" s="311" t="n">
        <x:v>4</x:v>
      </x:c>
      <x:c r="R627" s="311" t="n">
        <x:v>45</x:v>
      </x:c>
      <x:c r="S627" s="311" t="str">
        <x:v>2-1-2</x:v>
      </x:c>
      <x:c r="T627" s="330" t="n">
        <x:v>0.95</x:v>
      </x:c>
      <x:c r="U627" s="330" t="n">
        <x:v>0</x:v>
      </x:c>
      <x:c r="V627" s="331" t="str">
        <x:v>load × reps</x:v>
      </x:c>
      <x:c r="W627" s="332" t="str">
        <x:f>'Readiness'!K74</x:f>
      </x:c>
      <x:c r="X627" s="314" t="n">
        <x:f>'Readiness'!L74</x:f>
        <x:v>1</x:v>
      </x:c>
      <x:c r="Y627" s="315" t="n">
        <x:f>IF(J627="Mobility",N627,MAX(1,ROUND(N627*X627,0)))</x:f>
        <x:v>3</x:v>
      </x:c>
      <x:c r="Z627" s="333" t="n">
        <x:f>ROUND((IF(AU571&gt;0,AU571,IF(Z571&gt;0,Z571,'Setup'!$D$78))*T627)/'Setup'!$B$9,0)*'Setup'!$B$9</x:f>
        <x:v>0</x:v>
      </x:c>
      <x:c r="AA627" s="334"/>
      <x:c r="AB627" s="334"/>
      <x:c r="AC627" s="334"/>
      <x:c r="AD627" s="334"/>
      <x:c r="AE627" s="334"/>
      <x:c r="AF627" s="334"/>
      <x:c r="AG627" s="334"/>
      <x:c r="AH627" s="334"/>
      <x:c r="AI627" s="334"/>
      <x:c r="AJ627" s="312"/>
      <x:c r="AK627" s="312"/>
      <x:c r="AL627" s="312"/>
      <x:c r="AM627" s="312"/>
      <x:c r="AN627" s="312"/>
      <x:c r="AO627" s="315" t="n">
        <x:f>COUNT(AB627,AD627,AF627,AH627,AJ627)</x:f>
        <x:v>0</x:v>
      </x:c>
      <x:c r="AP627" s="315" t="n">
        <x:f>SUM(AB627,AD627,AF627,AH627,AJ627)</x:f>
        <x:v>0</x:v>
      </x:c>
      <x:c r="AQ627" s="333" t="n">
        <x:f>AA627*AB627+AC627*AD627+AE627*AF627+AG627*AH627+AI627*AJ627</x:f>
        <x:v>0</x:v>
      </x:c>
      <x:c r="AR627" s="333" t="n">
        <x:f>IF(OR(J627="Strength",J627="Hypertrophy"),MAX(IF(AB627&gt;0,AA627*(1+AB627/30),0),IF(AD627&gt;0,AC627*(1+AD627/30),0),IF(AF627&gt;0,AE627*(1+AF627/30),0),IF(AH627&gt;0,AG627*(1+AH627/30),0),IF(AJ627&gt;0,AI627*(1+AJ627/30),0)),0)</x:f>
        <x:v>0</x:v>
      </x:c>
      <x:c r="AS627" s="315" t="str">
        <x:f>IF(AN627&lt;&gt;"Yes","Not logged",IF(AL627&gt;='Setup'!$B$14,"STOP / MODIFY",IF(Z627=0,"Complete",IF(OR(AO627=0,AK627=""),"Add set data + RIR",IF(AND(MAX(AB627,AD627,AF627,AH627,AJ627)&gt;=P627,AK627&gt;=Q627+1),"Progress",IF(OR(MAX(AB627,AD627,AF627,AH627,AJ627)&lt;O627,AK627&lt;Q627-1),"Regress","Hold"))))))</x:f>
        <x:v>Not logged</x:v>
      </x:c>
      <x:c r="AT627" s="335" t="n">
        <x:f>IF(OR(Z627=0,AN627&lt;&gt;"Yes",AO627=0,AK627=""),0,IF(AL627&gt;='Setup'!$B$14,-2*'Setup'!$B$11,IF(AND(MAX(AB627,AD627,AF627,AH627,AJ627)&gt;=P627,AK627&gt;=Q627+1),'Setup'!$B$10,IF(OR(MAX(AB627,AD627,AF627,AH627,AJ627)&lt;O627,AK627&lt;Q627-1),-'Setup'!$B$11,0))))</x:f>
        <x:v>0</x:v>
      </x:c>
      <x:c r="AU627" s="333" t="n">
        <x:f>IF(Z627=0,0,IF(AN627&lt;&gt;"Yes",Z627,IF(COUNT(AA627,AC627,AE627,AG627,AI627)=0,Z627,ROUND((MAX(AA627,AC627,AE627,AG627,AI627)*(1+AT627))/'Setup'!$B$9,0)*'Setup'!$B$9)))</x:f>
        <x:v>0</x:v>
      </x:c>
      <x:c r="AV627" s="336"/>
    </x:row>
    <x:row r="628">
      <x:c r="A628" s="310" t="n">
        <x:f>'Setup'!$B$3+(C628-1)*7+(D628-1)</x:f>
        <x:v>46322</x:v>
      </x:c>
      <x:c r="B628" s="311" t="str">
        <x:v>12|2|6</x:v>
      </x:c>
      <x:c r="C628" s="311" t="n">
        <x:v>12</x:v>
      </x:c>
      <x:c r="D628" s="311" t="n">
        <x:v>2</x:v>
      </x:c>
      <x:c r="E628" s="311" t="str">
        <x:v>Taper + Performance</x:v>
      </x:c>
      <x:c r="F628" s="311" t="str">
        <x:v>Back + Triceps</x:v>
      </x:c>
      <x:c r="G628" s="311" t="str">
        <x:v>High-volume back with triceps isolation</x:v>
      </x:c>
      <x:c r="H628" s="311" t="n">
        <x:v>6</x:v>
      </x:c>
      <x:c r="I628" s="311" t="str">
        <x:v>Dumbbell Lateral Raise</x:v>
      </x:c>
      <x:c r="J628" s="311" t="str">
        <x:v>Hypertrophy</x:v>
      </x:c>
      <x:c r="K628" s="311" t="str">
        <x:v>Shoulders</x:v>
      </x:c>
      <x:c r="L628" s="311" t="str">
        <x:v>Straight sets, leave 4 RIR</x:v>
      </x:c>
      <x:c r="M628" s="311" t="str"/>
      <x:c r="N628" s="311" t="n">
        <x:v>3</x:v>
      </x:c>
      <x:c r="O628" s="311" t="n">
        <x:v>12</x:v>
      </x:c>
      <x:c r="P628" s="311" t="n">
        <x:v>20</x:v>
      </x:c>
      <x:c r="Q628" s="311" t="n">
        <x:v>4</x:v>
      </x:c>
      <x:c r="R628" s="311" t="n">
        <x:v>45</x:v>
      </x:c>
      <x:c r="S628" s="311" t="str">
        <x:v>2-1-2</x:v>
      </x:c>
      <x:c r="T628" s="330" t="n">
        <x:v>0.95</x:v>
      </x:c>
      <x:c r="U628" s="330" t="n">
        <x:v>0</x:v>
      </x:c>
      <x:c r="V628" s="331" t="str">
        <x:v>load × reps</x:v>
      </x:c>
      <x:c r="W628" s="332" t="str">
        <x:f>'Readiness'!K74</x:f>
      </x:c>
      <x:c r="X628" s="314" t="n">
        <x:f>'Readiness'!L74</x:f>
        <x:v>1</x:v>
      </x:c>
      <x:c r="Y628" s="315" t="n">
        <x:f>IF(J628="Mobility",N628,MAX(1,ROUND(N628*X628,0)))</x:f>
        <x:v>3</x:v>
      </x:c>
      <x:c r="Z628" s="333" t="n">
        <x:f>ROUND((IF(AU572&gt;0,AU572,IF(Z572&gt;0,Z572,'Setup'!$D$39))*T628)/'Setup'!$B$9,0)*'Setup'!$B$9</x:f>
        <x:v>0</x:v>
      </x:c>
      <x:c r="AA628" s="334"/>
      <x:c r="AB628" s="334"/>
      <x:c r="AC628" s="334"/>
      <x:c r="AD628" s="334"/>
      <x:c r="AE628" s="334"/>
      <x:c r="AF628" s="334"/>
      <x:c r="AG628" s="334"/>
      <x:c r="AH628" s="334"/>
      <x:c r="AI628" s="334"/>
      <x:c r="AJ628" s="312"/>
      <x:c r="AK628" s="312"/>
      <x:c r="AL628" s="312"/>
      <x:c r="AM628" s="312"/>
      <x:c r="AN628" s="312"/>
      <x:c r="AO628" s="315" t="n">
        <x:f>COUNT(AB628,AD628,AF628,AH628,AJ628)</x:f>
        <x:v>0</x:v>
      </x:c>
      <x:c r="AP628" s="315" t="n">
        <x:f>SUM(AB628,AD628,AF628,AH628,AJ628)</x:f>
        <x:v>0</x:v>
      </x:c>
      <x:c r="AQ628" s="333" t="n">
        <x:f>AA628*AB628+AC628*AD628+AE628*AF628+AG628*AH628+AI628*AJ628</x:f>
        <x:v>0</x:v>
      </x:c>
      <x:c r="AR628" s="333" t="n">
        <x:f>IF(OR(J628="Strength",J628="Hypertrophy"),MAX(IF(AB628&gt;0,AA628*(1+AB628/30),0),IF(AD628&gt;0,AC628*(1+AD628/30),0),IF(AF628&gt;0,AE628*(1+AF628/30),0),IF(AH628&gt;0,AG628*(1+AH628/30),0),IF(AJ628&gt;0,AI628*(1+AJ628/30),0)),0)</x:f>
        <x:v>0</x:v>
      </x:c>
      <x:c r="AS628" s="315" t="str">
        <x:f>IF(AN628&lt;&gt;"Yes","Not logged",IF(AL628&gt;='Setup'!$B$14,"STOP / MODIFY",IF(Z628=0,"Complete",IF(OR(AO628=0,AK628=""),"Add set data + RIR",IF(AND(MAX(AB628,AD628,AF628,AH628,AJ628)&gt;=P628,AK628&gt;=Q628+1),"Progress",IF(OR(MAX(AB628,AD628,AF628,AH628,AJ628)&lt;O628,AK628&lt;Q628-1),"Regress","Hold"))))))</x:f>
        <x:v>Not logged</x:v>
      </x:c>
      <x:c r="AT628" s="335" t="n">
        <x:f>IF(OR(Z628=0,AN628&lt;&gt;"Yes",AO628=0,AK628=""),0,IF(AL628&gt;='Setup'!$B$14,-2*'Setup'!$B$11,IF(AND(MAX(AB628,AD628,AF628,AH628,AJ628)&gt;=P628,AK628&gt;=Q628+1),'Setup'!$B$10,IF(OR(MAX(AB628,AD628,AF628,AH628,AJ628)&lt;O628,AK628&lt;Q628-1),-'Setup'!$B$11,0))))</x:f>
        <x:v>0</x:v>
      </x:c>
      <x:c r="AU628" s="333" t="n">
        <x:f>IF(Z628=0,0,IF(AN628&lt;&gt;"Yes",Z628,IF(COUNT(AA628,AC628,AE628,AG628,AI628)=0,Z628,ROUND((MAX(AA628,AC628,AE628,AG628,AI628)*(1+AT628))/'Setup'!$B$9,0)*'Setup'!$B$9)))</x:f>
        <x:v>0</x:v>
      </x:c>
      <x:c r="AV628" s="336"/>
    </x:row>
    <x:row r="629">
      <x:c r="A629" s="310" t="n">
        <x:f>'Setup'!$B$3+(C629-1)*7+(D629-1)</x:f>
        <x:v>46322</x:v>
      </x:c>
      <x:c r="B629" s="311" t="str">
        <x:v>12|2|7</x:v>
      </x:c>
      <x:c r="C629" s="311" t="n">
        <x:v>12</x:v>
      </x:c>
      <x:c r="D629" s="311" t="n">
        <x:v>2</x:v>
      </x:c>
      <x:c r="E629" s="311" t="str">
        <x:v>Taper + Performance</x:v>
      </x:c>
      <x:c r="F629" s="311" t="str">
        <x:v>Back + Triceps</x:v>
      </x:c>
      <x:c r="G629" s="311" t="str">
        <x:v>High-volume back with triceps isolation</x:v>
      </x:c>
      <x:c r="H629" s="311" t="n">
        <x:v>7</x:v>
      </x:c>
      <x:c r="I629" s="311" t="str">
        <x:v>Overhead Cable Triceps Extension</x:v>
      </x:c>
      <x:c r="J629" s="311" t="str">
        <x:v>Hypertrophy</x:v>
      </x:c>
      <x:c r="K629" s="311" t="str">
        <x:v>Triceps</x:v>
      </x:c>
      <x:c r="L629" s="311" t="str">
        <x:v>Straight sets, leave 4 RIR</x:v>
      </x:c>
      <x:c r="M629" s="311" t="str"/>
      <x:c r="N629" s="311" t="n">
        <x:v>2</x:v>
      </x:c>
      <x:c r="O629" s="311" t="n">
        <x:v>10</x:v>
      </x:c>
      <x:c r="P629" s="311" t="n">
        <x:v>15</x:v>
      </x:c>
      <x:c r="Q629" s="311" t="n">
        <x:v>4</x:v>
      </x:c>
      <x:c r="R629" s="311" t="n">
        <x:v>60</x:v>
      </x:c>
      <x:c r="S629" s="311" t="str">
        <x:v>3-0-1</x:v>
      </x:c>
      <x:c r="T629" s="330" t="n">
        <x:v>0.95</x:v>
      </x:c>
      <x:c r="U629" s="330" t="n">
        <x:v>0</x:v>
      </x:c>
      <x:c r="V629" s="331" t="str">
        <x:v>load × reps</x:v>
      </x:c>
      <x:c r="W629" s="332" t="str">
        <x:f>'Readiness'!K74</x:f>
      </x:c>
      <x:c r="X629" s="314" t="n">
        <x:f>'Readiness'!L74</x:f>
        <x:v>1</x:v>
      </x:c>
      <x:c r="Y629" s="315" t="n">
        <x:f>IF(J629="Mobility",N629,MAX(1,ROUND(N629*X629,0)))</x:f>
        <x:v>2</x:v>
      </x:c>
      <x:c r="Z629" s="333" t="n">
        <x:f>ROUND((IF(AU573&gt;0,AU573,IF(Z573&gt;0,Z573,'Setup'!$D$69))*T629)/'Setup'!$B$9,0)*'Setup'!$B$9</x:f>
        <x:v>0</x:v>
      </x:c>
      <x:c r="AA629" s="334"/>
      <x:c r="AB629" s="334"/>
      <x:c r="AC629" s="334"/>
      <x:c r="AD629" s="334"/>
      <x:c r="AE629" s="334"/>
      <x:c r="AF629" s="334"/>
      <x:c r="AG629" s="334"/>
      <x:c r="AH629" s="334"/>
      <x:c r="AI629" s="334"/>
      <x:c r="AJ629" s="312"/>
      <x:c r="AK629" s="312"/>
      <x:c r="AL629" s="312"/>
      <x:c r="AM629" s="312"/>
      <x:c r="AN629" s="312"/>
      <x:c r="AO629" s="315" t="n">
        <x:f>COUNT(AB629,AD629,AF629,AH629,AJ629)</x:f>
        <x:v>0</x:v>
      </x:c>
      <x:c r="AP629" s="315" t="n">
        <x:f>SUM(AB629,AD629,AF629,AH629,AJ629)</x:f>
        <x:v>0</x:v>
      </x:c>
      <x:c r="AQ629" s="333" t="n">
        <x:f>AA629*AB629+AC629*AD629+AE629*AF629+AG629*AH629+AI629*AJ629</x:f>
        <x:v>0</x:v>
      </x:c>
      <x:c r="AR629" s="333" t="n">
        <x:f>IF(OR(J629="Strength",J629="Hypertrophy"),MAX(IF(AB629&gt;0,AA629*(1+AB629/30),0),IF(AD629&gt;0,AC629*(1+AD629/30),0),IF(AF629&gt;0,AE629*(1+AF629/30),0),IF(AH629&gt;0,AG629*(1+AH629/30),0),IF(AJ629&gt;0,AI629*(1+AJ629/30),0)),0)</x:f>
        <x:v>0</x:v>
      </x:c>
      <x:c r="AS629" s="315" t="str">
        <x:f>IF(AN629&lt;&gt;"Yes","Not logged",IF(AL629&gt;='Setup'!$B$14,"STOP / MODIFY",IF(Z629=0,"Complete",IF(OR(AO629=0,AK629=""),"Add set data + RIR",IF(AND(MAX(AB629,AD629,AF629,AH629,AJ629)&gt;=P629,AK629&gt;=Q629+1),"Progress",IF(OR(MAX(AB629,AD629,AF629,AH629,AJ629)&lt;O629,AK629&lt;Q629-1),"Regress","Hold"))))))</x:f>
        <x:v>Not logged</x:v>
      </x:c>
      <x:c r="AT629" s="335" t="n">
        <x:f>IF(OR(Z629=0,AN629&lt;&gt;"Yes",AO629=0,AK629=""),0,IF(AL629&gt;='Setup'!$B$14,-2*'Setup'!$B$11,IF(AND(MAX(AB629,AD629,AF629,AH629,AJ629)&gt;=P629,AK629&gt;=Q629+1),'Setup'!$B$10,IF(OR(MAX(AB629,AD629,AF629,AH629,AJ629)&lt;O629,AK629&lt;Q629-1),-'Setup'!$B$11,0))))</x:f>
        <x:v>0</x:v>
      </x:c>
      <x:c r="AU629" s="333" t="n">
        <x:f>IF(Z629=0,0,IF(AN629&lt;&gt;"Yes",Z629,IF(COUNT(AA629,AC629,AE629,AG629,AI629)=0,Z629,ROUND((MAX(AA629,AC629,AE629,AG629,AI629)*(1+AT629))/'Setup'!$B$9,0)*'Setup'!$B$9)))</x:f>
        <x:v>0</x:v>
      </x:c>
      <x:c r="AV629" s="336"/>
    </x:row>
    <x:row r="630">
      <x:c r="A630" s="310" t="n">
        <x:f>'Setup'!$B$3+(C630-1)*7+(D630-1)</x:f>
        <x:v>46322</x:v>
      </x:c>
      <x:c r="B630" s="311" t="str">
        <x:v>12|2|8</x:v>
      </x:c>
      <x:c r="C630" s="311" t="n">
        <x:v>12</x:v>
      </x:c>
      <x:c r="D630" s="311" t="n">
        <x:v>2</x:v>
      </x:c>
      <x:c r="E630" s="311" t="str">
        <x:v>Taper + Performance</x:v>
      </x:c>
      <x:c r="F630" s="311" t="str">
        <x:v>Back + Triceps</x:v>
      </x:c>
      <x:c r="G630" s="311" t="str">
        <x:v>High-volume back with triceps isolation</x:v>
      </x:c>
      <x:c r="H630" s="311" t="n">
        <x:v>8</x:v>
      </x:c>
      <x:c r="I630" s="311" t="str">
        <x:v>Triceps Pressdown</x:v>
      </x:c>
      <x:c r="J630" s="311" t="str">
        <x:v>Hypertrophy</x:v>
      </x:c>
      <x:c r="K630" s="311" t="str">
        <x:v>Triceps</x:v>
      </x:c>
      <x:c r="L630" s="311" t="str">
        <x:v>Straight sets, leave 4 RIR</x:v>
      </x:c>
      <x:c r="M630" s="311" t="str"/>
      <x:c r="N630" s="311" t="n">
        <x:v>2</x:v>
      </x:c>
      <x:c r="O630" s="311" t="n">
        <x:v>12</x:v>
      </x:c>
      <x:c r="P630" s="311" t="n">
        <x:v>15</x:v>
      </x:c>
      <x:c r="Q630" s="311" t="n">
        <x:v>4</x:v>
      </x:c>
      <x:c r="R630" s="311" t="n">
        <x:v>60</x:v>
      </x:c>
      <x:c r="S630" s="311" t="str">
        <x:v>2-1-1</x:v>
      </x:c>
      <x:c r="T630" s="330" t="n">
        <x:v>0.95</x:v>
      </x:c>
      <x:c r="U630" s="330" t="n">
        <x:v>0</x:v>
      </x:c>
      <x:c r="V630" s="331" t="str">
        <x:v>load × reps</x:v>
      </x:c>
      <x:c r="W630" s="332" t="str">
        <x:f>'Readiness'!K74</x:f>
      </x:c>
      <x:c r="X630" s="314" t="n">
        <x:f>'Readiness'!L74</x:f>
        <x:v>1</x:v>
      </x:c>
      <x:c r="Y630" s="315" t="n">
        <x:f>IF(J630="Mobility",N630,MAX(1,ROUND(N630*X630,0)))</x:f>
        <x:v>2</x:v>
      </x:c>
      <x:c r="Z630" s="333" t="n">
        <x:f>ROUND((IF(AU574&gt;0,AU574,IF(Z574&gt;0,Z574,'Setup'!$D$92))*T630)/'Setup'!$B$9,0)*'Setup'!$B$9</x:f>
        <x:v>0</x:v>
      </x:c>
      <x:c r="AA630" s="334"/>
      <x:c r="AB630" s="334"/>
      <x:c r="AC630" s="334"/>
      <x:c r="AD630" s="334"/>
      <x:c r="AE630" s="334"/>
      <x:c r="AF630" s="334"/>
      <x:c r="AG630" s="334"/>
      <x:c r="AH630" s="334"/>
      <x:c r="AI630" s="334"/>
      <x:c r="AJ630" s="312"/>
      <x:c r="AK630" s="312"/>
      <x:c r="AL630" s="312"/>
      <x:c r="AM630" s="312"/>
      <x:c r="AN630" s="312"/>
      <x:c r="AO630" s="315" t="n">
        <x:f>COUNT(AB630,AD630,AF630,AH630,AJ630)</x:f>
        <x:v>0</x:v>
      </x:c>
      <x:c r="AP630" s="315" t="n">
        <x:f>SUM(AB630,AD630,AF630,AH630,AJ630)</x:f>
        <x:v>0</x:v>
      </x:c>
      <x:c r="AQ630" s="333" t="n">
        <x:f>AA630*AB630+AC630*AD630+AE630*AF630+AG630*AH630+AI630*AJ630</x:f>
        <x:v>0</x:v>
      </x:c>
      <x:c r="AR630" s="333" t="n">
        <x:f>IF(OR(J630="Strength",J630="Hypertrophy"),MAX(IF(AB630&gt;0,AA630*(1+AB630/30),0),IF(AD630&gt;0,AC630*(1+AD630/30),0),IF(AF630&gt;0,AE630*(1+AF630/30),0),IF(AH630&gt;0,AG630*(1+AH630/30),0),IF(AJ630&gt;0,AI630*(1+AJ630/30),0)),0)</x:f>
        <x:v>0</x:v>
      </x:c>
      <x:c r="AS630" s="315" t="str">
        <x:f>IF(AN630&lt;&gt;"Yes","Not logged",IF(AL630&gt;='Setup'!$B$14,"STOP / MODIFY",IF(Z630=0,"Complete",IF(OR(AO630=0,AK630=""),"Add set data + RIR",IF(AND(MAX(AB630,AD630,AF630,AH630,AJ630)&gt;=P630,AK630&gt;=Q630+1),"Progress",IF(OR(MAX(AB630,AD630,AF630,AH630,AJ630)&lt;O630,AK630&lt;Q630-1),"Regress","Hold"))))))</x:f>
        <x:v>Not logged</x:v>
      </x:c>
      <x:c r="AT630" s="335" t="n">
        <x:f>IF(OR(Z630=0,AN630&lt;&gt;"Yes",AO630=0,AK630=""),0,IF(AL630&gt;='Setup'!$B$14,-2*'Setup'!$B$11,IF(AND(MAX(AB630,AD630,AF630,AH630,AJ630)&gt;=P630,AK630&gt;=Q630+1),'Setup'!$B$10,IF(OR(MAX(AB630,AD630,AF630,AH630,AJ630)&lt;O630,AK630&lt;Q630-1),-'Setup'!$B$11,0))))</x:f>
        <x:v>0</x:v>
      </x:c>
      <x:c r="AU630" s="333" t="n">
        <x:f>IF(Z630=0,0,IF(AN630&lt;&gt;"Yes",Z630,IF(COUNT(AA630,AC630,AE630,AG630,AI630)=0,Z630,ROUND((MAX(AA630,AC630,AE630,AG630,AI630)*(1+AT630))/'Setup'!$B$9,0)*'Setup'!$B$9)))</x:f>
        <x:v>0</x:v>
      </x:c>
      <x:c r="AV630" s="336"/>
    </x:row>
    <x:row r="631">
      <x:c r="A631" s="310" t="n">
        <x:f>'Setup'!$B$3+(C631-1)*7+(D631-1)</x:f>
        <x:v>46322</x:v>
      </x:c>
      <x:c r="B631" s="311" t="str">
        <x:v>12|2|9</x:v>
      </x:c>
      <x:c r="C631" s="311" t="n">
        <x:v>12</x:v>
      </x:c>
      <x:c r="D631" s="311" t="n">
        <x:v>2</x:v>
      </x:c>
      <x:c r="E631" s="311" t="str">
        <x:v>Taper + Performance</x:v>
      </x:c>
      <x:c r="F631" s="311" t="str">
        <x:v>Back + Triceps</x:v>
      </x:c>
      <x:c r="G631" s="311" t="str">
        <x:v>High-volume back with triceps isolation</x:v>
      </x:c>
      <x:c r="H631" s="311" t="n">
        <x:v>9</x:v>
      </x:c>
      <x:c r="I631" s="311" t="str">
        <x:v>SkiErg Power Intervals</x:v>
      </x:c>
      <x:c r="J631" s="311" t="str">
        <x:v>Athletic</x:v>
      </x:c>
      <x:c r="K631" s="311" t="str">
        <x:v>Full Body</x:v>
      </x:c>
      <x:c r="L631" s="311" t="str">
        <x:v>Straight sets, leave 4 RIR</x:v>
      </x:c>
      <x:c r="M631" s="311" t="str"/>
      <x:c r="N631" s="311" t="n">
        <x:v>4</x:v>
      </x:c>
      <x:c r="O631" s="311" t="n">
        <x:v>15</x:v>
      </x:c>
      <x:c r="P631" s="311" t="n">
        <x:v>15</x:v>
      </x:c>
      <x:c r="Q631" s="311" t="n">
        <x:v>4</x:v>
      </x:c>
      <x:c r="R631" s="311" t="n">
        <x:v>45</x:v>
      </x:c>
      <x:c r="S631" s="311" t="str">
        <x:v>Powerful</x:v>
      </x:c>
      <x:c r="T631" s="330" t="n">
        <x:v>0.95</x:v>
      </x:c>
      <x:c r="U631" s="330" t="n">
        <x:v>0</x:v>
      </x:c>
      <x:c r="V631" s="331" t="str">
        <x:v>watts / meters</x:v>
      </x:c>
      <x:c r="W631" s="332" t="str">
        <x:f>'Readiness'!K74</x:f>
      </x:c>
      <x:c r="X631" s="314" t="n">
        <x:f>'Readiness'!L74</x:f>
        <x:v>1</x:v>
      </x:c>
      <x:c r="Y631" s="315" t="n">
        <x:f>IF(J631="Mobility",N631,MAX(1,ROUND(N631*X631,0)))</x:f>
        <x:v>4</x:v>
      </x:c>
      <x:c r="Z631" s="333" t="n">
        <x:f>0</x:f>
        <x:v>0</x:v>
      </x:c>
      <x:c r="AA631" s="334"/>
      <x:c r="AB631" s="334"/>
      <x:c r="AC631" s="334"/>
      <x:c r="AD631" s="334"/>
      <x:c r="AE631" s="334"/>
      <x:c r="AF631" s="334"/>
      <x:c r="AG631" s="334"/>
      <x:c r="AH631" s="334"/>
      <x:c r="AI631" s="334"/>
      <x:c r="AJ631" s="312"/>
      <x:c r="AK631" s="312"/>
      <x:c r="AL631" s="312"/>
      <x:c r="AM631" s="312"/>
      <x:c r="AN631" s="312"/>
      <x:c r="AO631" s="315" t="n">
        <x:f>COUNT(AB631,AD631,AF631,AH631,AJ631)</x:f>
        <x:v>0</x:v>
      </x:c>
      <x:c r="AP631" s="315" t="n">
        <x:f>SUM(AB631,AD631,AF631,AH631,AJ631)</x:f>
        <x:v>0</x:v>
      </x:c>
      <x:c r="AQ631" s="333" t="n">
        <x:f>AA631*AB631+AC631*AD631+AE631*AF631+AG631*AH631+AI631*AJ631</x:f>
        <x:v>0</x:v>
      </x:c>
      <x:c r="AR631" s="333" t="n">
        <x:f>IF(OR(J631="Strength",J631="Hypertrophy"),MAX(IF(AB631&gt;0,AA631*(1+AB631/30),0),IF(AD631&gt;0,AC631*(1+AD631/30),0),IF(AF631&gt;0,AE631*(1+AF631/30),0),IF(AH631&gt;0,AG631*(1+AH631/30),0),IF(AJ631&gt;0,AI631*(1+AJ631/30),0)),0)</x:f>
        <x:v>0</x:v>
      </x:c>
      <x:c r="AS631" s="315" t="str">
        <x:f>IF(AN631&lt;&gt;"Yes","Not logged",IF(AL631&gt;='Setup'!$B$14,"STOP / MODIFY",IF(Z631=0,"Complete",IF(OR(AO631=0,AK631=""),"Add set data + RIR",IF(AND(MAX(AB631,AD631,AF631,AH631,AJ631)&gt;=P631,AK631&gt;=Q631+1),"Progress",IF(OR(MAX(AB631,AD631,AF631,AH631,AJ631)&lt;O631,AK631&lt;Q631-1),"Regress","Hold"))))))</x:f>
        <x:v>Not logged</x:v>
      </x:c>
      <x:c r="AT631" s="335" t="n">
        <x:f>IF(OR(Z631=0,AN631&lt;&gt;"Yes",AO631=0,AK631=""),0,IF(AL631&gt;='Setup'!$B$14,-2*'Setup'!$B$11,IF(AND(MAX(AB631,AD631,AF631,AH631,AJ631)&gt;=P631,AK631&gt;=Q631+1),'Setup'!$B$10,IF(OR(MAX(AB631,AD631,AF631,AH631,AJ631)&lt;O631,AK631&lt;Q631-1),-'Setup'!$B$11,0))))</x:f>
        <x:v>0</x:v>
      </x:c>
      <x:c r="AU631" s="333" t="n">
        <x:f>IF(Z631=0,0,IF(AN631&lt;&gt;"Yes",Z631,IF(COUNT(AA631,AC631,AE631,AG631,AI631)=0,Z631,ROUND((MAX(AA631,AC631,AE631,AG631,AI631)*(1+AT631))/'Setup'!$B$9,0)*'Setup'!$B$9)))</x:f>
        <x:v>0</x:v>
      </x:c>
      <x:c r="AV631" s="336"/>
    </x:row>
    <x:row r="632">
      <x:c r="A632" s="310" t="n">
        <x:f>'Setup'!$B$3+(C632-1)*7+(D632-1)</x:f>
        <x:v>46322</x:v>
      </x:c>
      <x:c r="B632" s="311" t="str">
        <x:v>12|2|10</x:v>
      </x:c>
      <x:c r="C632" s="311" t="n">
        <x:v>12</x:v>
      </x:c>
      <x:c r="D632" s="311" t="n">
        <x:v>2</x:v>
      </x:c>
      <x:c r="E632" s="311" t="str">
        <x:v>Taper + Performance</x:v>
      </x:c>
      <x:c r="F632" s="311" t="str">
        <x:v>Back + Triceps</x:v>
      </x:c>
      <x:c r="G632" s="311" t="str">
        <x:v>High-volume back with triceps isolation</x:v>
      </x:c>
      <x:c r="H632" s="311" t="n">
        <x:v>10</x:v>
      </x:c>
      <x:c r="I632" s="311" t="str">
        <x:v>Open-Book Thoracic Rotation</x:v>
      </x:c>
      <x:c r="J632" s="311" t="str">
        <x:v>Mobility</x:v>
      </x:c>
      <x:c r="K632" s="311" t="str">
        <x:v>Thoracic</x:v>
      </x:c>
      <x:c r="L632" s="311" t="str">
        <x:v>Straight sets, leave 4 RIR</x:v>
      </x:c>
      <x:c r="M632" s="311" t="str"/>
      <x:c r="N632" s="311" t="n">
        <x:v>2</x:v>
      </x:c>
      <x:c r="O632" s="311" t="n">
        <x:v>6</x:v>
      </x:c>
      <x:c r="P632" s="311" t="n">
        <x:v>10</x:v>
      </x:c>
      <x:c r="Q632" s="311" t="str"/>
      <x:c r="R632" s="311" t="n">
        <x:v>20</x:v>
      </x:c>
      <x:c r="S632" s="311" t="str">
        <x:v>Slow</x:v>
      </x:c>
      <x:c r="T632" s="330" t="n">
        <x:v>0.95</x:v>
      </x:c>
      <x:c r="U632" s="330" t="n">
        <x:v>0</x:v>
      </x:c>
      <x:c r="V632" s="331" t="str">
        <x:v>reps</x:v>
      </x:c>
      <x:c r="W632" s="332" t="str">
        <x:f>'Readiness'!K74</x:f>
      </x:c>
      <x:c r="X632" s="314" t="n">
        <x:f>'Readiness'!L74</x:f>
        <x:v>1</x:v>
      </x:c>
      <x:c r="Y632" s="315" t="n">
        <x:f>IF(J632="Mobility",N632,MAX(1,ROUND(N632*X632,0)))</x:f>
        <x:v>2</x:v>
      </x:c>
      <x:c r="Z632" s="333" t="n">
        <x:f>0</x:f>
        <x:v>0</x:v>
      </x:c>
      <x:c r="AA632" s="334"/>
      <x:c r="AB632" s="334"/>
      <x:c r="AC632" s="334"/>
      <x:c r="AD632" s="334"/>
      <x:c r="AE632" s="334"/>
      <x:c r="AF632" s="334"/>
      <x:c r="AG632" s="334"/>
      <x:c r="AH632" s="334"/>
      <x:c r="AI632" s="334"/>
      <x:c r="AJ632" s="312"/>
      <x:c r="AK632" s="312"/>
      <x:c r="AL632" s="312"/>
      <x:c r="AM632" s="312"/>
      <x:c r="AN632" s="312"/>
      <x:c r="AO632" s="315" t="n">
        <x:f>COUNT(AB632,AD632,AF632,AH632,AJ632)</x:f>
        <x:v>0</x:v>
      </x:c>
      <x:c r="AP632" s="315" t="n">
        <x:f>SUM(AB632,AD632,AF632,AH632,AJ632)</x:f>
        <x:v>0</x:v>
      </x:c>
      <x:c r="AQ632" s="333" t="n">
        <x:f>AA632*AB632+AC632*AD632+AE632*AF632+AG632*AH632+AI632*AJ632</x:f>
        <x:v>0</x:v>
      </x:c>
      <x:c r="AR632" s="333" t="n">
        <x:f>IF(OR(J632="Strength",J632="Hypertrophy"),MAX(IF(AB632&gt;0,AA632*(1+AB632/30),0),IF(AD632&gt;0,AC632*(1+AD632/30),0),IF(AF632&gt;0,AE632*(1+AF632/30),0),IF(AH632&gt;0,AG632*(1+AH632/30),0),IF(AJ632&gt;0,AI632*(1+AJ632/30),0)),0)</x:f>
        <x:v>0</x:v>
      </x:c>
      <x:c r="AS632" s="315" t="str">
        <x:f>IF(AN632&lt;&gt;"Yes","Not logged",IF(AL632&gt;='Setup'!$B$14,"STOP / MODIFY",IF(Z632=0,"Complete",IF(OR(AO632=0,AK632=""),"Add set data + RIR",IF(AND(MAX(AB632,AD632,AF632,AH632,AJ632)&gt;=P632,AK632&gt;=Q632+1),"Progress",IF(OR(MAX(AB632,AD632,AF632,AH632,AJ632)&lt;O632,AK632&lt;Q632-1),"Regress","Hold"))))))</x:f>
        <x:v>Not logged</x:v>
      </x:c>
      <x:c r="AT632" s="335" t="n">
        <x:f>IF(OR(Z632=0,AN632&lt;&gt;"Yes",AO632=0,AK632=""),0,IF(AL632&gt;='Setup'!$B$14,-2*'Setup'!$B$11,IF(AND(MAX(AB632,AD632,AF632,AH632,AJ632)&gt;=P632,AK632&gt;=Q632+1),'Setup'!$B$10,IF(OR(MAX(AB632,AD632,AF632,AH632,AJ632)&lt;O632,AK632&lt;Q632-1),-'Setup'!$B$11,0))))</x:f>
        <x:v>0</x:v>
      </x:c>
      <x:c r="AU632" s="333" t="n">
        <x:f>IF(Z632=0,0,IF(AN632&lt;&gt;"Yes",Z632,IF(COUNT(AA632,AC632,AE632,AG632,AI632)=0,Z632,ROUND((MAX(AA632,AC632,AE632,AG632,AI632)*(1+AT632))/'Setup'!$B$9,0)*'Setup'!$B$9)))</x:f>
        <x:v>0</x:v>
      </x:c>
      <x:c r="AV632" s="336"/>
    </x:row>
    <x:row r="633">
      <x:c r="A633" s="310" t="n">
        <x:f>'Setup'!$B$3+(C633-1)*7+(D633-1)</x:f>
        <x:v>46323</x:v>
      </x:c>
      <x:c r="B633" s="311" t="str">
        <x:v>12|3|1</x:v>
      </x:c>
      <x:c r="C633" s="311" t="n">
        <x:v>12</x:v>
      </x:c>
      <x:c r="D633" s="311" t="n">
        <x:v>3</x:v>
      </x:c>
      <x:c r="E633" s="311" t="str">
        <x:v>Taper + Performance</x:v>
      </x:c>
      <x:c r="F633" s="311" t="str">
        <x:v>Upper Power + Bench</x:v>
      </x:c>
      <x:c r="G633" s="311" t="str">
        <x:v>Bench strength and upper-body power</x:v>
      </x:c>
      <x:c r="H633" s="311" t="n">
        <x:v>1</x:v>
      </x:c>
      <x:c r="I633" s="311" t="str">
        <x:v>Medicine Ball Chest Pass</x:v>
      </x:c>
      <x:c r="J633" s="311" t="str">
        <x:v>Power</x:v>
      </x:c>
      <x:c r="K633" s="311" t="str">
        <x:v>Chest</x:v>
      </x:c>
      <x:c r="L633" s="311" t="str">
        <x:v>Straight sets, leave 4 RIR</x:v>
      </x:c>
      <x:c r="M633" s="311" t="str"/>
      <x:c r="N633" s="311" t="n">
        <x:v>3</x:v>
      </x:c>
      <x:c r="O633" s="311" t="n">
        <x:v>3</x:v>
      </x:c>
      <x:c r="P633" s="311" t="n">
        <x:v>3</x:v>
      </x:c>
      <x:c r="Q633" s="311" t="n">
        <x:v>4</x:v>
      </x:c>
      <x:c r="R633" s="311" t="n">
        <x:v>60</x:v>
      </x:c>
      <x:c r="S633" s="311" t="str">
        <x:v>Explosive</x:v>
      </x:c>
      <x:c r="T633" s="330" t="n">
        <x:v>0.95</x:v>
      </x:c>
      <x:c r="U633" s="330" t="n">
        <x:v>0</x:v>
      </x:c>
      <x:c r="V633" s="331" t="str">
        <x:v>throw quality</x:v>
      </x:c>
      <x:c r="W633" s="332" t="str">
        <x:f>'Readiness'!K75</x:f>
      </x:c>
      <x:c r="X633" s="314" t="n">
        <x:f>'Readiness'!L75</x:f>
        <x:v>1</x:v>
      </x:c>
      <x:c r="Y633" s="315" t="n">
        <x:f>IF(J633="Mobility",N633,MAX(1,ROUND(N633*X633,0)))</x:f>
        <x:v>3</x:v>
      </x:c>
      <x:c r="Z633" s="333" t="n">
        <x:f>0</x:f>
        <x:v>0</x:v>
      </x:c>
      <x:c r="AA633" s="334"/>
      <x:c r="AB633" s="334"/>
      <x:c r="AC633" s="334"/>
      <x:c r="AD633" s="334"/>
      <x:c r="AE633" s="334"/>
      <x:c r="AF633" s="334"/>
      <x:c r="AG633" s="334"/>
      <x:c r="AH633" s="334"/>
      <x:c r="AI633" s="334"/>
      <x:c r="AJ633" s="312"/>
      <x:c r="AK633" s="312"/>
      <x:c r="AL633" s="312"/>
      <x:c r="AM633" s="312"/>
      <x:c r="AN633" s="312"/>
      <x:c r="AO633" s="315" t="n">
        <x:f>COUNT(AB633,AD633,AF633,AH633,AJ633)</x:f>
        <x:v>0</x:v>
      </x:c>
      <x:c r="AP633" s="315" t="n">
        <x:f>SUM(AB633,AD633,AF633,AH633,AJ633)</x:f>
        <x:v>0</x:v>
      </x:c>
      <x:c r="AQ633" s="333" t="n">
        <x:f>AA633*AB633+AC633*AD633+AE633*AF633+AG633*AH633+AI633*AJ633</x:f>
        <x:v>0</x:v>
      </x:c>
      <x:c r="AR633" s="333" t="n">
        <x:f>IF(OR(J633="Strength",J633="Hypertrophy"),MAX(IF(AB633&gt;0,AA633*(1+AB633/30),0),IF(AD633&gt;0,AC633*(1+AD633/30),0),IF(AF633&gt;0,AE633*(1+AF633/30),0),IF(AH633&gt;0,AG633*(1+AH633/30),0),IF(AJ633&gt;0,AI633*(1+AJ633/30),0)),0)</x:f>
        <x:v>0</x:v>
      </x:c>
      <x:c r="AS633" s="315" t="str">
        <x:f>IF(AN633&lt;&gt;"Yes","Not logged",IF(AL633&gt;='Setup'!$B$14,"STOP / MODIFY",IF(Z633=0,"Complete",IF(OR(AO633=0,AK633=""),"Add set data + RIR",IF(AND(MAX(AB633,AD633,AF633,AH633,AJ633)&gt;=P633,AK633&gt;=Q633+1),"Progress",IF(OR(MAX(AB633,AD633,AF633,AH633,AJ633)&lt;O633,AK633&lt;Q633-1),"Regress","Hold"))))))</x:f>
        <x:v>Not logged</x:v>
      </x:c>
      <x:c r="AT633" s="335" t="n">
        <x:f>IF(OR(Z633=0,AN633&lt;&gt;"Yes",AO633=0,AK633=""),0,IF(AL633&gt;='Setup'!$B$14,-2*'Setup'!$B$11,IF(AND(MAX(AB633,AD633,AF633,AH633,AJ633)&gt;=P633,AK633&gt;=Q633+1),'Setup'!$B$10,IF(OR(MAX(AB633,AD633,AF633,AH633,AJ633)&lt;O633,AK633&lt;Q633-1),-'Setup'!$B$11,0))))</x:f>
        <x:v>0</x:v>
      </x:c>
      <x:c r="AU633" s="333" t="n">
        <x:f>IF(Z633=0,0,IF(AN633&lt;&gt;"Yes",Z633,IF(COUNT(AA633,AC633,AE633,AG633,AI633)=0,Z633,ROUND((MAX(AA633,AC633,AE633,AG633,AI633)*(1+AT633))/'Setup'!$B$9,0)*'Setup'!$B$9)))</x:f>
        <x:v>0</x:v>
      </x:c>
      <x:c r="AV633" s="336"/>
    </x:row>
    <x:row r="634">
      <x:c r="A634" s="310" t="n">
        <x:f>'Setup'!$B$3+(C634-1)*7+(D634-1)</x:f>
        <x:v>46323</x:v>
      </x:c>
      <x:c r="B634" s="311" t="str">
        <x:v>12|3|2</x:v>
      </x:c>
      <x:c r="C634" s="311" t="n">
        <x:v>12</x:v>
      </x:c>
      <x:c r="D634" s="311" t="n">
        <x:v>3</x:v>
      </x:c>
      <x:c r="E634" s="311" t="str">
        <x:v>Taper + Performance</x:v>
      </x:c>
      <x:c r="F634" s="311" t="str">
        <x:v>Upper Power + Bench</x:v>
      </x:c>
      <x:c r="G634" s="311" t="str">
        <x:v>Bench strength and upper-body power</x:v>
      </x:c>
      <x:c r="H634" s="311" t="n">
        <x:v>2</x:v>
      </x:c>
      <x:c r="I634" s="311" t="str">
        <x:v>Bench Press</x:v>
      </x:c>
      <x:c r="J634" s="311" t="str">
        <x:v>Strength</x:v>
      </x:c>
      <x:c r="K634" s="311" t="str">
        <x:v>Chest</x:v>
      </x:c>
      <x:c r="L634" s="311" t="str">
        <x:v>Performance top set, no grinder + easy back-offs</x:v>
      </x:c>
      <x:c r="M634" s="311" t="str"/>
      <x:c r="N634" s="311" t="n">
        <x:v>3</x:v>
      </x:c>
      <x:c r="O634" s="311" t="n">
        <x:v>3</x:v>
      </x:c>
      <x:c r="P634" s="311" t="n">
        <x:v>5</x:v>
      </x:c>
      <x:c r="Q634" s="311" t="n">
        <x:v>2</x:v>
      </x:c>
      <x:c r="R634" s="311" t="n">
        <x:v>180</x:v>
      </x:c>
      <x:c r="S634" s="311" t="str">
        <x:v>2-0-X</x:v>
      </x:c>
      <x:c r="T634" s="330" t="n">
        <x:v>1.03</x:v>
      </x:c>
      <x:c r="U634" s="330" t="n">
        <x:v>0.82</x:v>
      </x:c>
      <x:c r="V634" s="331" t="str">
        <x:v>load × reps</x:v>
      </x:c>
      <x:c r="W634" s="332" t="str">
        <x:f>'Readiness'!K75</x:f>
      </x:c>
      <x:c r="X634" s="314" t="n">
        <x:f>'Readiness'!L75</x:f>
        <x:v>1</x:v>
      </x:c>
      <x:c r="Y634" s="315" t="n">
        <x:f>IF(J634="Mobility",N634,MAX(1,ROUND(N634*X634,0)))</x:f>
        <x:v>3</x:v>
      </x:c>
      <x:c r="Z634" s="333" t="n">
        <x:f>ROUND((IF(AU578&gt;0,AU578,IF(Z578&gt;0,Z578,'Setup'!$D$27))*T634)/'Setup'!$B$9,0)*'Setup'!$B$9</x:f>
        <x:v>0</x:v>
      </x:c>
      <x:c r="AA634" s="334"/>
      <x:c r="AB634" s="334"/>
      <x:c r="AC634" s="334"/>
      <x:c r="AD634" s="334"/>
      <x:c r="AE634" s="334"/>
      <x:c r="AF634" s="334"/>
      <x:c r="AG634" s="334"/>
      <x:c r="AH634" s="334"/>
      <x:c r="AI634" s="334"/>
      <x:c r="AJ634" s="312"/>
      <x:c r="AK634" s="312"/>
      <x:c r="AL634" s="312"/>
      <x:c r="AM634" s="312"/>
      <x:c r="AN634" s="312"/>
      <x:c r="AO634" s="315" t="n">
        <x:f>COUNT(AB634,AD634,AF634,AH634,AJ634)</x:f>
        <x:v>0</x:v>
      </x:c>
      <x:c r="AP634" s="315" t="n">
        <x:f>SUM(AB634,AD634,AF634,AH634,AJ634)</x:f>
        <x:v>0</x:v>
      </x:c>
      <x:c r="AQ634" s="333" t="n">
        <x:f>AA634*AB634+AC634*AD634+AE634*AF634+AG634*AH634+AI634*AJ634</x:f>
        <x:v>0</x:v>
      </x:c>
      <x:c r="AR634" s="333" t="n">
        <x:f>IF(OR(J634="Strength",J634="Hypertrophy"),MAX(IF(AB634&gt;0,AA634*(1+AB634/30),0),IF(AD634&gt;0,AC634*(1+AD634/30),0),IF(AF634&gt;0,AE634*(1+AF634/30),0),IF(AH634&gt;0,AG634*(1+AH634/30),0),IF(AJ634&gt;0,AI634*(1+AJ634/30),0)),0)</x:f>
        <x:v>0</x:v>
      </x:c>
      <x:c r="AS634" s="315" t="str">
        <x:f>IF(AN634&lt;&gt;"Yes","Not logged",IF(AL634&gt;='Setup'!$B$14,"STOP / MODIFY",IF(Z634=0,"Complete",IF(OR(AO634=0,AK634=""),"Add set data + RIR",IF(AND(MAX(AB634,AD634,AF634,AH634,AJ634)&gt;=P634,AK634&gt;=Q634+1),"Progress",IF(OR(MAX(AB634,AD634,AF634,AH634,AJ634)&lt;O634,AK634&lt;Q634-1),"Regress","Hold"))))))</x:f>
        <x:v>Not logged</x:v>
      </x:c>
      <x:c r="AT634" s="335" t="n">
        <x:f>IF(OR(Z634=0,AN634&lt;&gt;"Yes",AO634=0,AK634=""),0,IF(AL634&gt;='Setup'!$B$14,-2*'Setup'!$B$11,IF(AND(MAX(AB634,AD634,AF634,AH634,AJ634)&gt;=P634,AK634&gt;=Q634+1),'Setup'!$B$10,IF(OR(MAX(AB634,AD634,AF634,AH634,AJ634)&lt;O634,AK634&lt;Q634-1),-'Setup'!$B$11,0))))</x:f>
        <x:v>0</x:v>
      </x:c>
      <x:c r="AU634" s="333" t="n">
        <x:f>IF(Z634=0,0,IF(AN634&lt;&gt;"Yes",Z634,IF(COUNT(AA634,AC634,AE634,AG634,AI634)=0,Z634,ROUND((MAX(AA634,AC634,AE634,AG634,AI634)*(1+AT634))/'Setup'!$B$9,0)*'Setup'!$B$9)))</x:f>
        <x:v>0</x:v>
      </x:c>
      <x:c r="AV634" s="336"/>
    </x:row>
    <x:row r="635">
      <x:c r="A635" s="310" t="n">
        <x:f>'Setup'!$B$3+(C635-1)*7+(D635-1)</x:f>
        <x:v>46323</x:v>
      </x:c>
      <x:c r="B635" s="311" t="str">
        <x:v>12|3|3</x:v>
      </x:c>
      <x:c r="C635" s="311" t="n">
        <x:v>12</x:v>
      </x:c>
      <x:c r="D635" s="311" t="n">
        <x:v>3</x:v>
      </x:c>
      <x:c r="E635" s="311" t="str">
        <x:v>Taper + Performance</x:v>
      </x:c>
      <x:c r="F635" s="311" t="str">
        <x:v>Upper Power + Bench</x:v>
      </x:c>
      <x:c r="G635" s="311" t="str">
        <x:v>Bench strength and upper-body power</x:v>
      </x:c>
      <x:c r="H635" s="311" t="n">
        <x:v>3</x:v>
      </x:c>
      <x:c r="I635" s="311" t="str">
        <x:v>Speed Bench Press</x:v>
      </x:c>
      <x:c r="J635" s="311" t="str">
        <x:v>Power</x:v>
      </x:c>
      <x:c r="K635" s="311" t="str">
        <x:v>Chest</x:v>
      </x:c>
      <x:c r="L635" s="311" t="str">
        <x:v>Straight sets, leave 4 RIR</x:v>
      </x:c>
      <x:c r="M635" s="311" t="str"/>
      <x:c r="N635" s="311" t="n">
        <x:v>3</x:v>
      </x:c>
      <x:c r="O635" s="311" t="n">
        <x:v>3</x:v>
      </x:c>
      <x:c r="P635" s="311" t="n">
        <x:v>3</x:v>
      </x:c>
      <x:c r="Q635" s="311" t="n">
        <x:v>4</x:v>
      </x:c>
      <x:c r="R635" s="311" t="n">
        <x:v>60</x:v>
      </x:c>
      <x:c r="S635" s="311" t="str">
        <x:v>1-0-X</x:v>
      </x:c>
      <x:c r="T635" s="330" t="n">
        <x:v>0.95</x:v>
      </x:c>
      <x:c r="U635" s="330" t="n">
        <x:v>0.55</x:v>
      </x:c>
      <x:c r="V635" s="331" t="str">
        <x:v>load × reps</x:v>
      </x:c>
      <x:c r="W635" s="332" t="str">
        <x:f>'Readiness'!K75</x:f>
      </x:c>
      <x:c r="X635" s="314" t="n">
        <x:f>'Readiness'!L75</x:f>
        <x:v>1</x:v>
      </x:c>
      <x:c r="Y635" s="315" t="n">
        <x:f>IF(J635="Mobility",N635,MAX(1,ROUND(N635*X635,0)))</x:f>
        <x:v>3</x:v>
      </x:c>
      <x:c r="Z635" s="333" t="n">
        <x:f>ROUND((IF(AU579&gt;0,AU579,IF(Z579&gt;0,Z579,'Setup'!$D$89))*T635)/'Setup'!$B$9,0)*'Setup'!$B$9</x:f>
        <x:v>0</x:v>
      </x:c>
      <x:c r="AA635" s="334"/>
      <x:c r="AB635" s="334"/>
      <x:c r="AC635" s="334"/>
      <x:c r="AD635" s="334"/>
      <x:c r="AE635" s="334"/>
      <x:c r="AF635" s="334"/>
      <x:c r="AG635" s="334"/>
      <x:c r="AH635" s="334"/>
      <x:c r="AI635" s="334"/>
      <x:c r="AJ635" s="312"/>
      <x:c r="AK635" s="312"/>
      <x:c r="AL635" s="312"/>
      <x:c r="AM635" s="312"/>
      <x:c r="AN635" s="312"/>
      <x:c r="AO635" s="315" t="n">
        <x:f>COUNT(AB635,AD635,AF635,AH635,AJ635)</x:f>
        <x:v>0</x:v>
      </x:c>
      <x:c r="AP635" s="315" t="n">
        <x:f>SUM(AB635,AD635,AF635,AH635,AJ635)</x:f>
        <x:v>0</x:v>
      </x:c>
      <x:c r="AQ635" s="333" t="n">
        <x:f>AA635*AB635+AC635*AD635+AE635*AF635+AG635*AH635+AI635*AJ635</x:f>
        <x:v>0</x:v>
      </x:c>
      <x:c r="AR635" s="333" t="n">
        <x:f>IF(OR(J635="Strength",J635="Hypertrophy"),MAX(IF(AB635&gt;0,AA635*(1+AB635/30),0),IF(AD635&gt;0,AC635*(1+AD635/30),0),IF(AF635&gt;0,AE635*(1+AF635/30),0),IF(AH635&gt;0,AG635*(1+AH635/30),0),IF(AJ635&gt;0,AI635*(1+AJ635/30),0)),0)</x:f>
        <x:v>0</x:v>
      </x:c>
      <x:c r="AS635" s="315" t="str">
        <x:f>IF(AN635&lt;&gt;"Yes","Not logged",IF(AL635&gt;='Setup'!$B$14,"STOP / MODIFY",IF(Z635=0,"Complete",IF(OR(AO635=0,AK635=""),"Add set data + RIR",IF(AND(MAX(AB635,AD635,AF635,AH635,AJ635)&gt;=P635,AK635&gt;=Q635+1),"Progress",IF(OR(MAX(AB635,AD635,AF635,AH635,AJ635)&lt;O635,AK635&lt;Q635-1),"Regress","Hold"))))))</x:f>
        <x:v>Not logged</x:v>
      </x:c>
      <x:c r="AT635" s="335" t="n">
        <x:f>IF(OR(Z635=0,AN635&lt;&gt;"Yes",AO635=0,AK635=""),0,IF(AL635&gt;='Setup'!$B$14,-2*'Setup'!$B$11,IF(AND(MAX(AB635,AD635,AF635,AH635,AJ635)&gt;=P635,AK635&gt;=Q635+1),'Setup'!$B$10,IF(OR(MAX(AB635,AD635,AF635,AH635,AJ635)&lt;O635,AK635&lt;Q635-1),-'Setup'!$B$11,0))))</x:f>
        <x:v>0</x:v>
      </x:c>
      <x:c r="AU635" s="333" t="n">
        <x:f>IF(Z635=0,0,IF(AN635&lt;&gt;"Yes",Z635,IF(COUNT(AA635,AC635,AE635,AG635,AI635)=0,Z635,ROUND((MAX(AA635,AC635,AE635,AG635,AI635)*(1+AT635))/'Setup'!$B$9,0)*'Setup'!$B$9)))</x:f>
        <x:v>0</x:v>
      </x:c>
      <x:c r="AV635" s="336"/>
    </x:row>
    <x:row r="636">
      <x:c r="A636" s="310" t="n">
        <x:f>'Setup'!$B$3+(C636-1)*7+(D636-1)</x:f>
        <x:v>46323</x:v>
      </x:c>
      <x:c r="B636" s="311" t="str">
        <x:v>12|3|4</x:v>
      </x:c>
      <x:c r="C636" s="311" t="n">
        <x:v>12</x:v>
      </x:c>
      <x:c r="D636" s="311" t="n">
        <x:v>3</x:v>
      </x:c>
      <x:c r="E636" s="311" t="str">
        <x:v>Taper + Performance</x:v>
      </x:c>
      <x:c r="F636" s="311" t="str">
        <x:v>Upper Power + Bench</x:v>
      </x:c>
      <x:c r="G636" s="311" t="str">
        <x:v>Bench strength and upper-body power</x:v>
      </x:c>
      <x:c r="H636" s="311" t="n">
        <x:v>4</x:v>
      </x:c>
      <x:c r="I636" s="311" t="str">
        <x:v>Weighted Pull-Up</x:v>
      </x:c>
      <x:c r="J636" s="311" t="str">
        <x:v>Strength</x:v>
      </x:c>
      <x:c r="K636" s="311" t="str">
        <x:v>Back</x:v>
      </x:c>
      <x:c r="L636" s="311" t="str">
        <x:v>Straight sets, leave 4 RIR</x:v>
      </x:c>
      <x:c r="M636" s="311" t="str"/>
      <x:c r="N636" s="311" t="n">
        <x:v>3</x:v>
      </x:c>
      <x:c r="O636" s="311" t="n">
        <x:v>4</x:v>
      </x:c>
      <x:c r="P636" s="311" t="n">
        <x:v>6</x:v>
      </x:c>
      <x:c r="Q636" s="311" t="n">
        <x:v>4</x:v>
      </x:c>
      <x:c r="R636" s="311" t="n">
        <x:v>150</x:v>
      </x:c>
      <x:c r="S636" s="311" t="str">
        <x:v>2-1-X</x:v>
      </x:c>
      <x:c r="T636" s="330" t="n">
        <x:v>0.95</x:v>
      </x:c>
      <x:c r="U636" s="330" t="n">
        <x:v>0</x:v>
      </x:c>
      <x:c r="V636" s="331" t="str">
        <x:v>load × reps</x:v>
      </x:c>
      <x:c r="W636" s="332" t="str">
        <x:f>'Readiness'!K75</x:f>
      </x:c>
      <x:c r="X636" s="314" t="n">
        <x:f>'Readiness'!L75</x:f>
        <x:v>1</x:v>
      </x:c>
      <x:c r="Y636" s="315" t="n">
        <x:f>IF(J636="Mobility",N636,MAX(1,ROUND(N636*X636,0)))</x:f>
        <x:v>3</x:v>
      </x:c>
      <x:c r="Z636" s="333" t="n">
        <x:f>ROUND((IF(AU580&gt;0,AU580,IF(Z580&gt;0,Z580,'Setup'!$D$94))*T636)/'Setup'!$B$9,0)*'Setup'!$B$9</x:f>
        <x:v>0</x:v>
      </x:c>
      <x:c r="AA636" s="334"/>
      <x:c r="AB636" s="334"/>
      <x:c r="AC636" s="334"/>
      <x:c r="AD636" s="334"/>
      <x:c r="AE636" s="334"/>
      <x:c r="AF636" s="334"/>
      <x:c r="AG636" s="334"/>
      <x:c r="AH636" s="334"/>
      <x:c r="AI636" s="334"/>
      <x:c r="AJ636" s="312"/>
      <x:c r="AK636" s="312"/>
      <x:c r="AL636" s="312"/>
      <x:c r="AM636" s="312"/>
      <x:c r="AN636" s="312"/>
      <x:c r="AO636" s="315" t="n">
        <x:f>COUNT(AB636,AD636,AF636,AH636,AJ636)</x:f>
        <x:v>0</x:v>
      </x:c>
      <x:c r="AP636" s="315" t="n">
        <x:f>SUM(AB636,AD636,AF636,AH636,AJ636)</x:f>
        <x:v>0</x:v>
      </x:c>
      <x:c r="AQ636" s="333" t="n">
        <x:f>AA636*AB636+AC636*AD636+AE636*AF636+AG636*AH636+AI636*AJ636</x:f>
        <x:v>0</x:v>
      </x:c>
      <x:c r="AR636" s="333" t="n">
        <x:f>IF(OR(J636="Strength",J636="Hypertrophy"),MAX(IF(AB636&gt;0,AA636*(1+AB636/30),0),IF(AD636&gt;0,AC636*(1+AD636/30),0),IF(AF636&gt;0,AE636*(1+AF636/30),0),IF(AH636&gt;0,AG636*(1+AH636/30),0),IF(AJ636&gt;0,AI636*(1+AJ636/30),0)),0)</x:f>
        <x:v>0</x:v>
      </x:c>
      <x:c r="AS636" s="315" t="str">
        <x:f>IF(AN636&lt;&gt;"Yes","Not logged",IF(AL636&gt;='Setup'!$B$14,"STOP / MODIFY",IF(Z636=0,"Complete",IF(OR(AO636=0,AK636=""),"Add set data + RIR",IF(AND(MAX(AB636,AD636,AF636,AH636,AJ636)&gt;=P636,AK636&gt;=Q636+1),"Progress",IF(OR(MAX(AB636,AD636,AF636,AH636,AJ636)&lt;O636,AK636&lt;Q636-1),"Regress","Hold"))))))</x:f>
        <x:v>Not logged</x:v>
      </x:c>
      <x:c r="AT636" s="335" t="n">
        <x:f>IF(OR(Z636=0,AN636&lt;&gt;"Yes",AO636=0,AK636=""),0,IF(AL636&gt;='Setup'!$B$14,-2*'Setup'!$B$11,IF(AND(MAX(AB636,AD636,AF636,AH636,AJ636)&gt;=P636,AK636&gt;=Q636+1),'Setup'!$B$10,IF(OR(MAX(AB636,AD636,AF636,AH636,AJ636)&lt;O636,AK636&lt;Q636-1),-'Setup'!$B$11,0))))</x:f>
        <x:v>0</x:v>
      </x:c>
      <x:c r="AU636" s="333" t="n">
        <x:f>IF(Z636=0,0,IF(AN636&lt;&gt;"Yes",Z636,IF(COUNT(AA636,AC636,AE636,AG636,AI636)=0,Z636,ROUND((MAX(AA636,AC636,AE636,AG636,AI636)*(1+AT636))/'Setup'!$B$9,0)*'Setup'!$B$9)))</x:f>
        <x:v>0</x:v>
      </x:c>
      <x:c r="AV636" s="336"/>
    </x:row>
    <x:row r="637">
      <x:c r="A637" s="310" t="n">
        <x:f>'Setup'!$B$3+(C637-1)*7+(D637-1)</x:f>
        <x:v>46323</x:v>
      </x:c>
      <x:c r="B637" s="311" t="str">
        <x:v>12|3|5</x:v>
      </x:c>
      <x:c r="C637" s="311" t="n">
        <x:v>12</x:v>
      </x:c>
      <x:c r="D637" s="311" t="n">
        <x:v>3</x:v>
      </x:c>
      <x:c r="E637" s="311" t="str">
        <x:v>Taper + Performance</x:v>
      </x:c>
      <x:c r="F637" s="311" t="str">
        <x:v>Upper Power + Bench</x:v>
      </x:c>
      <x:c r="G637" s="311" t="str">
        <x:v>Bench strength and upper-body power</x:v>
      </x:c>
      <x:c r="H637" s="311" t="n">
        <x:v>5</x:v>
      </x:c>
      <x:c r="I637" s="311" t="str">
        <x:v>Push Press</x:v>
      </x:c>
      <x:c r="J637" s="311" t="str">
        <x:v>Power</x:v>
      </x:c>
      <x:c r="K637" s="311" t="str">
        <x:v>Shoulders</x:v>
      </x:c>
      <x:c r="L637" s="311" t="str">
        <x:v>Straight sets, leave 4 RIR</x:v>
      </x:c>
      <x:c r="M637" s="311" t="str"/>
      <x:c r="N637" s="311" t="n">
        <x:v>3</x:v>
      </x:c>
      <x:c r="O637" s="311" t="n">
        <x:v>3</x:v>
      </x:c>
      <x:c r="P637" s="311" t="n">
        <x:v>5</x:v>
      </x:c>
      <x:c r="Q637" s="311" t="n">
        <x:v>4</x:v>
      </x:c>
      <x:c r="R637" s="311" t="n">
        <x:v>120</x:v>
      </x:c>
      <x:c r="S637" s="311" t="str">
        <x:v>Dip-X</x:v>
      </x:c>
      <x:c r="T637" s="330" t="n">
        <x:v>0.95</x:v>
      </x:c>
      <x:c r="U637" s="330" t="n">
        <x:v>0.68</x:v>
      </x:c>
      <x:c r="V637" s="331" t="str">
        <x:v>load × reps</x:v>
      </x:c>
      <x:c r="W637" s="332" t="str">
        <x:f>'Readiness'!K75</x:f>
      </x:c>
      <x:c r="X637" s="314" t="n">
        <x:f>'Readiness'!L75</x:f>
        <x:v>1</x:v>
      </x:c>
      <x:c r="Y637" s="315" t="n">
        <x:f>IF(J637="Mobility",N637,MAX(1,ROUND(N637*X637,0)))</x:f>
        <x:v>3</x:v>
      </x:c>
      <x:c r="Z637" s="333" t="n">
        <x:f>ROUND((IF(AU581&gt;0,AU581,IF(Z581&gt;0,Z581,'Setup'!$D$77))*T637)/'Setup'!$B$9,0)*'Setup'!$B$9</x:f>
        <x:v>0</x:v>
      </x:c>
      <x:c r="AA637" s="334"/>
      <x:c r="AB637" s="334"/>
      <x:c r="AC637" s="334"/>
      <x:c r="AD637" s="334"/>
      <x:c r="AE637" s="334"/>
      <x:c r="AF637" s="334"/>
      <x:c r="AG637" s="334"/>
      <x:c r="AH637" s="334"/>
      <x:c r="AI637" s="334"/>
      <x:c r="AJ637" s="312"/>
      <x:c r="AK637" s="312"/>
      <x:c r="AL637" s="312"/>
      <x:c r="AM637" s="312"/>
      <x:c r="AN637" s="312"/>
      <x:c r="AO637" s="315" t="n">
        <x:f>COUNT(AB637,AD637,AF637,AH637,AJ637)</x:f>
        <x:v>0</x:v>
      </x:c>
      <x:c r="AP637" s="315" t="n">
        <x:f>SUM(AB637,AD637,AF637,AH637,AJ637)</x:f>
        <x:v>0</x:v>
      </x:c>
      <x:c r="AQ637" s="333" t="n">
        <x:f>AA637*AB637+AC637*AD637+AE637*AF637+AG637*AH637+AI637*AJ637</x:f>
        <x:v>0</x:v>
      </x:c>
      <x:c r="AR637" s="333" t="n">
        <x:f>IF(OR(J637="Strength",J637="Hypertrophy"),MAX(IF(AB637&gt;0,AA637*(1+AB637/30),0),IF(AD637&gt;0,AC637*(1+AD637/30),0),IF(AF637&gt;0,AE637*(1+AF637/30),0),IF(AH637&gt;0,AG637*(1+AH637/30),0),IF(AJ637&gt;0,AI637*(1+AJ637/30),0)),0)</x:f>
        <x:v>0</x:v>
      </x:c>
      <x:c r="AS637" s="315" t="str">
        <x:f>IF(AN637&lt;&gt;"Yes","Not logged",IF(AL637&gt;='Setup'!$B$14,"STOP / MODIFY",IF(Z637=0,"Complete",IF(OR(AO637=0,AK637=""),"Add set data + RIR",IF(AND(MAX(AB637,AD637,AF637,AH637,AJ637)&gt;=P637,AK637&gt;=Q637+1),"Progress",IF(OR(MAX(AB637,AD637,AF637,AH637,AJ637)&lt;O637,AK637&lt;Q637-1),"Regress","Hold"))))))</x:f>
        <x:v>Not logged</x:v>
      </x:c>
      <x:c r="AT637" s="335" t="n">
        <x:f>IF(OR(Z637=0,AN637&lt;&gt;"Yes",AO637=0,AK637=""),0,IF(AL637&gt;='Setup'!$B$14,-2*'Setup'!$B$11,IF(AND(MAX(AB637,AD637,AF637,AH637,AJ637)&gt;=P637,AK637&gt;=Q637+1),'Setup'!$B$10,IF(OR(MAX(AB637,AD637,AF637,AH637,AJ637)&lt;O637,AK637&lt;Q637-1),-'Setup'!$B$11,0))))</x:f>
        <x:v>0</x:v>
      </x:c>
      <x:c r="AU637" s="333" t="n">
        <x:f>IF(Z637=0,0,IF(AN637&lt;&gt;"Yes",Z637,IF(COUNT(AA637,AC637,AE637,AG637,AI637)=0,Z637,ROUND((MAX(AA637,AC637,AE637,AG637,AI637)*(1+AT637))/'Setup'!$B$9,0)*'Setup'!$B$9)))</x:f>
        <x:v>0</x:v>
      </x:c>
      <x:c r="AV637" s="336"/>
    </x:row>
    <x:row r="638">
      <x:c r="A638" s="310" t="n">
        <x:f>'Setup'!$B$3+(C638-1)*7+(D638-1)</x:f>
        <x:v>46323</x:v>
      </x:c>
      <x:c r="B638" s="311" t="str">
        <x:v>12|3|6</x:v>
      </x:c>
      <x:c r="C638" s="311" t="n">
        <x:v>12</x:v>
      </x:c>
      <x:c r="D638" s="311" t="n">
        <x:v>3</x:v>
      </x:c>
      <x:c r="E638" s="311" t="str">
        <x:v>Taper + Performance</x:v>
      </x:c>
      <x:c r="F638" s="311" t="str">
        <x:v>Upper Power + Bench</x:v>
      </x:c>
      <x:c r="G638" s="311" t="str">
        <x:v>Bench strength and upper-body power</x:v>
      </x:c>
      <x:c r="H638" s="311" t="n">
        <x:v>6</x:v>
      </x:c>
      <x:c r="I638" s="311" t="str">
        <x:v>Chest-Supported Dumbbell Row</x:v>
      </x:c>
      <x:c r="J638" s="311" t="str">
        <x:v>Strength</x:v>
      </x:c>
      <x:c r="K638" s="311" t="str">
        <x:v>Back</x:v>
      </x:c>
      <x:c r="L638" s="311" t="str">
        <x:v>Straight sets, leave 4 RIR</x:v>
      </x:c>
      <x:c r="M638" s="311" t="str"/>
      <x:c r="N638" s="311" t="n">
        <x:v>2</x:v>
      </x:c>
      <x:c r="O638" s="311" t="n">
        <x:v>6</x:v>
      </x:c>
      <x:c r="P638" s="311" t="n">
        <x:v>8</x:v>
      </x:c>
      <x:c r="Q638" s="311" t="n">
        <x:v>4</x:v>
      </x:c>
      <x:c r="R638" s="311" t="n">
        <x:v>90</x:v>
      </x:c>
      <x:c r="S638" s="311" t="str">
        <x:v>2-1-1</x:v>
      </x:c>
      <x:c r="T638" s="330" t="n">
        <x:v>0.95</x:v>
      </x:c>
      <x:c r="U638" s="330" t="n">
        <x:v>0</x:v>
      </x:c>
      <x:c r="V638" s="331" t="str">
        <x:v>load × reps</x:v>
      </x:c>
      <x:c r="W638" s="332" t="str">
        <x:f>'Readiness'!K75</x:f>
      </x:c>
      <x:c r="X638" s="314" t="n">
        <x:f>'Readiness'!L75</x:f>
        <x:v>1</x:v>
      </x:c>
      <x:c r="Y638" s="315" t="n">
        <x:f>IF(J638="Mobility",N638,MAX(1,ROUND(N638*X638,0)))</x:f>
        <x:v>2</x:v>
      </x:c>
      <x:c r="Z638" s="333" t="n">
        <x:f>ROUND((IF(AU582&gt;0,AU582,IF(Z582&gt;0,Z582,'Setup'!$D$34))*T638)/'Setup'!$B$9,0)*'Setup'!$B$9</x:f>
        <x:v>0</x:v>
      </x:c>
      <x:c r="AA638" s="334"/>
      <x:c r="AB638" s="334"/>
      <x:c r="AC638" s="334"/>
      <x:c r="AD638" s="334"/>
      <x:c r="AE638" s="334"/>
      <x:c r="AF638" s="334"/>
      <x:c r="AG638" s="334"/>
      <x:c r="AH638" s="334"/>
      <x:c r="AI638" s="334"/>
      <x:c r="AJ638" s="312"/>
      <x:c r="AK638" s="312"/>
      <x:c r="AL638" s="312"/>
      <x:c r="AM638" s="312"/>
      <x:c r="AN638" s="312"/>
      <x:c r="AO638" s="315" t="n">
        <x:f>COUNT(AB638,AD638,AF638,AH638,AJ638)</x:f>
        <x:v>0</x:v>
      </x:c>
      <x:c r="AP638" s="315" t="n">
        <x:f>SUM(AB638,AD638,AF638,AH638,AJ638)</x:f>
        <x:v>0</x:v>
      </x:c>
      <x:c r="AQ638" s="333" t="n">
        <x:f>AA638*AB638+AC638*AD638+AE638*AF638+AG638*AH638+AI638*AJ638</x:f>
        <x:v>0</x:v>
      </x:c>
      <x:c r="AR638" s="333" t="n">
        <x:f>IF(OR(J638="Strength",J638="Hypertrophy"),MAX(IF(AB638&gt;0,AA638*(1+AB638/30),0),IF(AD638&gt;0,AC638*(1+AD638/30),0),IF(AF638&gt;0,AE638*(1+AF638/30),0),IF(AH638&gt;0,AG638*(1+AH638/30),0),IF(AJ638&gt;0,AI638*(1+AJ638/30),0)),0)</x:f>
        <x:v>0</x:v>
      </x:c>
      <x:c r="AS638" s="315" t="str">
        <x:f>IF(AN638&lt;&gt;"Yes","Not logged",IF(AL638&gt;='Setup'!$B$14,"STOP / MODIFY",IF(Z638=0,"Complete",IF(OR(AO638=0,AK638=""),"Add set data + RIR",IF(AND(MAX(AB638,AD638,AF638,AH638,AJ638)&gt;=P638,AK638&gt;=Q638+1),"Progress",IF(OR(MAX(AB638,AD638,AF638,AH638,AJ638)&lt;O638,AK638&lt;Q638-1),"Regress","Hold"))))))</x:f>
        <x:v>Not logged</x:v>
      </x:c>
      <x:c r="AT638" s="335" t="n">
        <x:f>IF(OR(Z638=0,AN638&lt;&gt;"Yes",AO638=0,AK638=""),0,IF(AL638&gt;='Setup'!$B$14,-2*'Setup'!$B$11,IF(AND(MAX(AB638,AD638,AF638,AH638,AJ638)&gt;=P638,AK638&gt;=Q638+1),'Setup'!$B$10,IF(OR(MAX(AB638,AD638,AF638,AH638,AJ638)&lt;O638,AK638&lt;Q638-1),-'Setup'!$B$11,0))))</x:f>
        <x:v>0</x:v>
      </x:c>
      <x:c r="AU638" s="333" t="n">
        <x:f>IF(Z638=0,0,IF(AN638&lt;&gt;"Yes",Z638,IF(COUNT(AA638,AC638,AE638,AG638,AI638)=0,Z638,ROUND((MAX(AA638,AC638,AE638,AG638,AI638)*(1+AT638))/'Setup'!$B$9,0)*'Setup'!$B$9)))</x:f>
        <x:v>0</x:v>
      </x:c>
      <x:c r="AV638" s="336"/>
    </x:row>
    <x:row r="639">
      <x:c r="A639" s="310" t="n">
        <x:f>'Setup'!$B$3+(C639-1)*7+(D639-1)</x:f>
        <x:v>46323</x:v>
      </x:c>
      <x:c r="B639" s="311" t="str">
        <x:v>12|3|7</x:v>
      </x:c>
      <x:c r="C639" s="311" t="n">
        <x:v>12</x:v>
      </x:c>
      <x:c r="D639" s="311" t="n">
        <x:v>3</x:v>
      </x:c>
      <x:c r="E639" s="311" t="str">
        <x:v>Taper + Performance</x:v>
      </x:c>
      <x:c r="F639" s="311" t="str">
        <x:v>Upper Power + Bench</x:v>
      </x:c>
      <x:c r="G639" s="311" t="str">
        <x:v>Bench strength and upper-body power</x:v>
      </x:c>
      <x:c r="H639" s="311" t="n">
        <x:v>7</x:v>
      </x:c>
      <x:c r="I639" s="311" t="str">
        <x:v>Cable Lateral Raise</x:v>
      </x:c>
      <x:c r="J639" s="311" t="str">
        <x:v>Hypertrophy</x:v>
      </x:c>
      <x:c r="K639" s="311" t="str">
        <x:v>Shoulders</x:v>
      </x:c>
      <x:c r="L639" s="311" t="str">
        <x:v>Straight sets, leave 4 RIR</x:v>
      </x:c>
      <x:c r="M639" s="311" t="str"/>
      <x:c r="N639" s="311" t="n">
        <x:v>2</x:v>
      </x:c>
      <x:c r="O639" s="311" t="n">
        <x:v>12</x:v>
      </x:c>
      <x:c r="P639" s="311" t="n">
        <x:v>20</x:v>
      </x:c>
      <x:c r="Q639" s="311" t="n">
        <x:v>4</x:v>
      </x:c>
      <x:c r="R639" s="311" t="n">
        <x:v>45</x:v>
      </x:c>
      <x:c r="S639" s="311" t="str">
        <x:v>2-1-2</x:v>
      </x:c>
      <x:c r="T639" s="330" t="n">
        <x:v>0.95</x:v>
      </x:c>
      <x:c r="U639" s="330" t="n">
        <x:v>0</x:v>
      </x:c>
      <x:c r="V639" s="331" t="str">
        <x:v>load × reps</x:v>
      </x:c>
      <x:c r="W639" s="332" t="str">
        <x:f>'Readiness'!K75</x:f>
      </x:c>
      <x:c r="X639" s="314" t="n">
        <x:f>'Readiness'!L75</x:f>
        <x:v>1</x:v>
      </x:c>
      <x:c r="Y639" s="315" t="n">
        <x:f>IF(J639="Mobility",N639,MAX(1,ROUND(N639*X639,0)))</x:f>
        <x:v>2</x:v>
      </x:c>
      <x:c r="Z639" s="333" t="n">
        <x:f>ROUND((IF(AU599&gt;0,AU599,IF(Z599&gt;0,Z599,'Setup'!$D$33))*T639)/'Setup'!$B$9,0)*'Setup'!$B$9</x:f>
        <x:v>0</x:v>
      </x:c>
      <x:c r="AA639" s="334"/>
      <x:c r="AB639" s="334"/>
      <x:c r="AC639" s="334"/>
      <x:c r="AD639" s="334"/>
      <x:c r="AE639" s="334"/>
      <x:c r="AF639" s="334"/>
      <x:c r="AG639" s="334"/>
      <x:c r="AH639" s="334"/>
      <x:c r="AI639" s="334"/>
      <x:c r="AJ639" s="312"/>
      <x:c r="AK639" s="312"/>
      <x:c r="AL639" s="312"/>
      <x:c r="AM639" s="312"/>
      <x:c r="AN639" s="312"/>
      <x:c r="AO639" s="315" t="n">
        <x:f>COUNT(AB639,AD639,AF639,AH639,AJ639)</x:f>
        <x:v>0</x:v>
      </x:c>
      <x:c r="AP639" s="315" t="n">
        <x:f>SUM(AB639,AD639,AF639,AH639,AJ639)</x:f>
        <x:v>0</x:v>
      </x:c>
      <x:c r="AQ639" s="333" t="n">
        <x:f>AA639*AB639+AC639*AD639+AE639*AF639+AG639*AH639+AI639*AJ639</x:f>
        <x:v>0</x:v>
      </x:c>
      <x:c r="AR639" s="333" t="n">
        <x:f>IF(OR(J639="Strength",J639="Hypertrophy"),MAX(IF(AB639&gt;0,AA639*(1+AB639/30),0),IF(AD639&gt;0,AC639*(1+AD639/30),0),IF(AF639&gt;0,AE639*(1+AF639/30),0),IF(AH639&gt;0,AG639*(1+AH639/30),0),IF(AJ639&gt;0,AI639*(1+AJ639/30),0)),0)</x:f>
        <x:v>0</x:v>
      </x:c>
      <x:c r="AS639" s="315" t="str">
        <x:f>IF(AN639&lt;&gt;"Yes","Not logged",IF(AL639&gt;='Setup'!$B$14,"STOP / MODIFY",IF(Z639=0,"Complete",IF(OR(AO639=0,AK639=""),"Add set data + RIR",IF(AND(MAX(AB639,AD639,AF639,AH639,AJ639)&gt;=P639,AK639&gt;=Q639+1),"Progress",IF(OR(MAX(AB639,AD639,AF639,AH639,AJ639)&lt;O639,AK639&lt;Q639-1),"Regress","Hold"))))))</x:f>
        <x:v>Not logged</x:v>
      </x:c>
      <x:c r="AT639" s="335" t="n">
        <x:f>IF(OR(Z639=0,AN639&lt;&gt;"Yes",AO639=0,AK639=""),0,IF(AL639&gt;='Setup'!$B$14,-2*'Setup'!$B$11,IF(AND(MAX(AB639,AD639,AF639,AH639,AJ639)&gt;=P639,AK639&gt;=Q639+1),'Setup'!$B$10,IF(OR(MAX(AB639,AD639,AF639,AH639,AJ639)&lt;O639,AK639&lt;Q639-1),-'Setup'!$B$11,0))))</x:f>
        <x:v>0</x:v>
      </x:c>
      <x:c r="AU639" s="333" t="n">
        <x:f>IF(Z639=0,0,IF(AN639&lt;&gt;"Yes",Z639,IF(COUNT(AA639,AC639,AE639,AG639,AI639)=0,Z639,ROUND((MAX(AA639,AC639,AE639,AG639,AI639)*(1+AT639))/'Setup'!$B$9,0)*'Setup'!$B$9)))</x:f>
        <x:v>0</x:v>
      </x:c>
      <x:c r="AV639" s="336"/>
    </x:row>
    <x:row r="640">
      <x:c r="A640" s="310" t="n">
        <x:f>'Setup'!$B$3+(C640-1)*7+(D640-1)</x:f>
        <x:v>46323</x:v>
      </x:c>
      <x:c r="B640" s="311" t="str">
        <x:v>12|3|8</x:v>
      </x:c>
      <x:c r="C640" s="311" t="n">
        <x:v>12</x:v>
      </x:c>
      <x:c r="D640" s="311" t="n">
        <x:v>3</x:v>
      </x:c>
      <x:c r="E640" s="311" t="str">
        <x:v>Taper + Performance</x:v>
      </x:c>
      <x:c r="F640" s="311" t="str">
        <x:v>Upper Power + Bench</x:v>
      </x:c>
      <x:c r="G640" s="311" t="str">
        <x:v>Bench strength and upper-body power</x:v>
      </x:c>
      <x:c r="H640" s="311" t="n">
        <x:v>8</x:v>
      </x:c>
      <x:c r="I640" s="311" t="str">
        <x:v>Kettlebell Bottom-Up Carry</x:v>
      </x:c>
      <x:c r="J640" s="311" t="str">
        <x:v>Athletic</x:v>
      </x:c>
      <x:c r="K640" s="311" t="str">
        <x:v>Shoulders</x:v>
      </x:c>
      <x:c r="L640" s="311" t="str">
        <x:v>Straight sets, leave 4 RIR</x:v>
      </x:c>
      <x:c r="M640" s="311" t="str"/>
      <x:c r="N640" s="311" t="n">
        <x:v>2</x:v>
      </x:c>
      <x:c r="O640" s="311" t="n">
        <x:v>20</x:v>
      </x:c>
      <x:c r="P640" s="311" t="n">
        <x:v>30</x:v>
      </x:c>
      <x:c r="Q640" s="311" t="n">
        <x:v>4</x:v>
      </x:c>
      <x:c r="R640" s="311" t="n">
        <x:v>60</x:v>
      </x:c>
      <x:c r="S640" s="311" t="str">
        <x:v>Controlled</x:v>
      </x:c>
      <x:c r="T640" s="330" t="n">
        <x:v>0.95</x:v>
      </x:c>
      <x:c r="U640" s="330" t="n">
        <x:v>0</x:v>
      </x:c>
      <x:c r="V640" s="331" t="str">
        <x:v>load + meters</x:v>
      </x:c>
      <x:c r="W640" s="332" t="str">
        <x:f>'Readiness'!K75</x:f>
      </x:c>
      <x:c r="X640" s="314" t="n">
        <x:f>'Readiness'!L75</x:f>
        <x:v>1</x:v>
      </x:c>
      <x:c r="Y640" s="315" t="n">
        <x:f>IF(J640="Mobility",N640,MAX(1,ROUND(N640*X640,0)))</x:f>
        <x:v>2</x:v>
      </x:c>
      <x:c r="Z640" s="333" t="n">
        <x:f>0</x:f>
        <x:v>0</x:v>
      </x:c>
      <x:c r="AA640" s="334"/>
      <x:c r="AB640" s="334"/>
      <x:c r="AC640" s="334"/>
      <x:c r="AD640" s="334"/>
      <x:c r="AE640" s="334"/>
      <x:c r="AF640" s="334"/>
      <x:c r="AG640" s="334"/>
      <x:c r="AH640" s="334"/>
      <x:c r="AI640" s="334"/>
      <x:c r="AJ640" s="312"/>
      <x:c r="AK640" s="312"/>
      <x:c r="AL640" s="312"/>
      <x:c r="AM640" s="312"/>
      <x:c r="AN640" s="312"/>
      <x:c r="AO640" s="315" t="n">
        <x:f>COUNT(AB640,AD640,AF640,AH640,AJ640)</x:f>
        <x:v>0</x:v>
      </x:c>
      <x:c r="AP640" s="315" t="n">
        <x:f>SUM(AB640,AD640,AF640,AH640,AJ640)</x:f>
        <x:v>0</x:v>
      </x:c>
      <x:c r="AQ640" s="333" t="n">
        <x:f>AA640*AB640+AC640*AD640+AE640*AF640+AG640*AH640+AI640*AJ640</x:f>
        <x:v>0</x:v>
      </x:c>
      <x:c r="AR640" s="333" t="n">
        <x:f>IF(OR(J640="Strength",J640="Hypertrophy"),MAX(IF(AB640&gt;0,AA640*(1+AB640/30),0),IF(AD640&gt;0,AC640*(1+AD640/30),0),IF(AF640&gt;0,AE640*(1+AF640/30),0),IF(AH640&gt;0,AG640*(1+AH640/30),0),IF(AJ640&gt;0,AI640*(1+AJ640/30),0)),0)</x:f>
        <x:v>0</x:v>
      </x:c>
      <x:c r="AS640" s="315" t="str">
        <x:f>IF(AN640&lt;&gt;"Yes","Not logged",IF(AL640&gt;='Setup'!$B$14,"STOP / MODIFY",IF(Z640=0,"Complete",IF(OR(AO640=0,AK640=""),"Add set data + RIR",IF(AND(MAX(AB640,AD640,AF640,AH640,AJ640)&gt;=P640,AK640&gt;=Q640+1),"Progress",IF(OR(MAX(AB640,AD640,AF640,AH640,AJ640)&lt;O640,AK640&lt;Q640-1),"Regress","Hold"))))))</x:f>
        <x:v>Not logged</x:v>
      </x:c>
      <x:c r="AT640" s="335" t="n">
        <x:f>IF(OR(Z640=0,AN640&lt;&gt;"Yes",AO640=0,AK640=""),0,IF(AL640&gt;='Setup'!$B$14,-2*'Setup'!$B$11,IF(AND(MAX(AB640,AD640,AF640,AH640,AJ640)&gt;=P640,AK640&gt;=Q640+1),'Setup'!$B$10,IF(OR(MAX(AB640,AD640,AF640,AH640,AJ640)&lt;O640,AK640&lt;Q640-1),-'Setup'!$B$11,0))))</x:f>
        <x:v>0</x:v>
      </x:c>
      <x:c r="AU640" s="333" t="n">
        <x:f>IF(Z640=0,0,IF(AN640&lt;&gt;"Yes",Z640,IF(COUNT(AA640,AC640,AE640,AG640,AI640)=0,Z640,ROUND((MAX(AA640,AC640,AE640,AG640,AI640)*(1+AT640))/'Setup'!$B$9,0)*'Setup'!$B$9)))</x:f>
        <x:v>0</x:v>
      </x:c>
      <x:c r="AV640" s="336"/>
    </x:row>
    <x:row r="641">
      <x:c r="A641" s="310" t="n">
        <x:f>'Setup'!$B$3+(C641-1)*7+(D641-1)</x:f>
        <x:v>46323</x:v>
      </x:c>
      <x:c r="B641" s="311" t="str">
        <x:v>12|3|9</x:v>
      </x:c>
      <x:c r="C641" s="311" t="n">
        <x:v>12</x:v>
      </x:c>
      <x:c r="D641" s="311" t="n">
        <x:v>3</x:v>
      </x:c>
      <x:c r="E641" s="311" t="str">
        <x:v>Taper + Performance</x:v>
      </x:c>
      <x:c r="F641" s="311" t="str">
        <x:v>Upper Power + Bench</x:v>
      </x:c>
      <x:c r="G641" s="311" t="str">
        <x:v>Bench strength and upper-body power</x:v>
      </x:c>
      <x:c r="H641" s="311" t="n">
        <x:v>9</x:v>
      </x:c>
      <x:c r="I641" s="311" t="str">
        <x:v>Shoulder CARs</x:v>
      </x:c>
      <x:c r="J641" s="311" t="str">
        <x:v>Mobility</x:v>
      </x:c>
      <x:c r="K641" s="311" t="str">
        <x:v>Shoulders</x:v>
      </x:c>
      <x:c r="L641" s="311" t="str">
        <x:v>Straight sets, leave 4 RIR</x:v>
      </x:c>
      <x:c r="M641" s="311" t="str"/>
      <x:c r="N641" s="311" t="n">
        <x:v>2</x:v>
      </x:c>
      <x:c r="O641" s="311" t="n">
        <x:v>3</x:v>
      </x:c>
      <x:c r="P641" s="311" t="n">
        <x:v>5</x:v>
      </x:c>
      <x:c r="Q641" s="311" t="str"/>
      <x:c r="R641" s="311" t="n">
        <x:v>20</x:v>
      </x:c>
      <x:c r="S641" s="311" t="str">
        <x:v>Slow</x:v>
      </x:c>
      <x:c r="T641" s="330" t="n">
        <x:v>0.95</x:v>
      </x:c>
      <x:c r="U641" s="330" t="n">
        <x:v>0</x:v>
      </x:c>
      <x:c r="V641" s="331" t="str">
        <x:v>reps</x:v>
      </x:c>
      <x:c r="W641" s="332" t="str">
        <x:f>'Readiness'!K75</x:f>
      </x:c>
      <x:c r="X641" s="314" t="n">
        <x:f>'Readiness'!L75</x:f>
        <x:v>1</x:v>
      </x:c>
      <x:c r="Y641" s="315" t="n">
        <x:f>IF(J641="Mobility",N641,MAX(1,ROUND(N641*X641,0)))</x:f>
        <x:v>2</x:v>
      </x:c>
      <x:c r="Z641" s="333" t="n">
        <x:f>0</x:f>
        <x:v>0</x:v>
      </x:c>
      <x:c r="AA641" s="334"/>
      <x:c r="AB641" s="334"/>
      <x:c r="AC641" s="334"/>
      <x:c r="AD641" s="334"/>
      <x:c r="AE641" s="334"/>
      <x:c r="AF641" s="334"/>
      <x:c r="AG641" s="334"/>
      <x:c r="AH641" s="334"/>
      <x:c r="AI641" s="334"/>
      <x:c r="AJ641" s="312"/>
      <x:c r="AK641" s="312"/>
      <x:c r="AL641" s="312"/>
      <x:c r="AM641" s="312"/>
      <x:c r="AN641" s="312"/>
      <x:c r="AO641" s="315" t="n">
        <x:f>COUNT(AB641,AD641,AF641,AH641,AJ641)</x:f>
        <x:v>0</x:v>
      </x:c>
      <x:c r="AP641" s="315" t="n">
        <x:f>SUM(AB641,AD641,AF641,AH641,AJ641)</x:f>
        <x:v>0</x:v>
      </x:c>
      <x:c r="AQ641" s="333" t="n">
        <x:f>AA641*AB641+AC641*AD641+AE641*AF641+AG641*AH641+AI641*AJ641</x:f>
        <x:v>0</x:v>
      </x:c>
      <x:c r="AR641" s="333" t="n">
        <x:f>IF(OR(J641="Strength",J641="Hypertrophy"),MAX(IF(AB641&gt;0,AA641*(1+AB641/30),0),IF(AD641&gt;0,AC641*(1+AD641/30),0),IF(AF641&gt;0,AE641*(1+AF641/30),0),IF(AH641&gt;0,AG641*(1+AH641/30),0),IF(AJ641&gt;0,AI641*(1+AJ641/30),0)),0)</x:f>
        <x:v>0</x:v>
      </x:c>
      <x:c r="AS641" s="315" t="str">
        <x:f>IF(AN641&lt;&gt;"Yes","Not logged",IF(AL641&gt;='Setup'!$B$14,"STOP / MODIFY",IF(Z641=0,"Complete",IF(OR(AO641=0,AK641=""),"Add set data + RIR",IF(AND(MAX(AB641,AD641,AF641,AH641,AJ641)&gt;=P641,AK641&gt;=Q641+1),"Progress",IF(OR(MAX(AB641,AD641,AF641,AH641,AJ641)&lt;O641,AK641&lt;Q641-1),"Regress","Hold"))))))</x:f>
        <x:v>Not logged</x:v>
      </x:c>
      <x:c r="AT641" s="335" t="n">
        <x:f>IF(OR(Z641=0,AN641&lt;&gt;"Yes",AO641=0,AK641=""),0,IF(AL641&gt;='Setup'!$B$14,-2*'Setup'!$B$11,IF(AND(MAX(AB641,AD641,AF641,AH641,AJ641)&gt;=P641,AK641&gt;=Q641+1),'Setup'!$B$10,IF(OR(MAX(AB641,AD641,AF641,AH641,AJ641)&lt;O641,AK641&lt;Q641-1),-'Setup'!$B$11,0))))</x:f>
        <x:v>0</x:v>
      </x:c>
      <x:c r="AU641" s="333" t="n">
        <x:f>IF(Z641=0,0,IF(AN641&lt;&gt;"Yes",Z641,IF(COUNT(AA641,AC641,AE641,AG641,AI641)=0,Z641,ROUND((MAX(AA641,AC641,AE641,AG641,AI641)*(1+AT641))/'Setup'!$B$9,0)*'Setup'!$B$9)))</x:f>
        <x:v>0</x:v>
      </x:c>
      <x:c r="AV641" s="336"/>
    </x:row>
    <x:row r="642">
      <x:c r="A642" s="310" t="n">
        <x:f>'Setup'!$B$3+(C642-1)*7+(D642-1)</x:f>
        <x:v>46324</x:v>
      </x:c>
      <x:c r="B642" s="311" t="str">
        <x:v>12|4|1</x:v>
      </x:c>
      <x:c r="C642" s="311" t="n">
        <x:v>12</x:v>
      </x:c>
      <x:c r="D642" s="311" t="n">
        <x:v>4</x:v>
      </x:c>
      <x:c r="E642" s="311" t="str">
        <x:v>Taper + Performance</x:v>
      </x:c>
      <x:c r="F642" s="311" t="str">
        <x:v>Posterior Strength</x:v>
      </x:c>
      <x:c r="G642" s="311" t="str">
        <x:v>Deadlift strength + posterior chain</x:v>
      </x:c>
      <x:c r="H642" s="311" t="n">
        <x:v>1</x:v>
      </x:c>
      <x:c r="I642" s="311" t="str">
        <x:v>Broad Jump</x:v>
      </x:c>
      <x:c r="J642" s="311" t="str">
        <x:v>Power</x:v>
      </x:c>
      <x:c r="K642" s="311" t="str">
        <x:v>Quads</x:v>
      </x:c>
      <x:c r="L642" s="311" t="str">
        <x:v>Straight sets, leave 4 RIR</x:v>
      </x:c>
      <x:c r="M642" s="311" t="str"/>
      <x:c r="N642" s="311" t="n">
        <x:v>3</x:v>
      </x:c>
      <x:c r="O642" s="311" t="n">
        <x:v>3</x:v>
      </x:c>
      <x:c r="P642" s="311" t="n">
        <x:v>3</x:v>
      </x:c>
      <x:c r="Q642" s="311" t="n">
        <x:v>4</x:v>
      </x:c>
      <x:c r="R642" s="311" t="n">
        <x:v>75</x:v>
      </x:c>
      <x:c r="S642" s="311" t="str">
        <x:v>Explosive</x:v>
      </x:c>
      <x:c r="T642" s="330" t="n">
        <x:v>0.95</x:v>
      </x:c>
      <x:c r="U642" s="330" t="n">
        <x:v>0</x:v>
      </x:c>
      <x:c r="V642" s="331" t="str">
        <x:v>distance</x:v>
      </x:c>
      <x:c r="W642" s="332" t="str">
        <x:f>'Readiness'!K76</x:f>
      </x:c>
      <x:c r="X642" s="314" t="n">
        <x:f>'Readiness'!L76</x:f>
        <x:v>1</x:v>
      </x:c>
      <x:c r="Y642" s="315" t="n">
        <x:f>IF(J642="Mobility",N642,MAX(1,ROUND(N642*X642,0)))</x:f>
        <x:v>3</x:v>
      </x:c>
      <x:c r="Z642" s="333" t="n">
        <x:f>0</x:f>
        <x:v>0</x:v>
      </x:c>
      <x:c r="AA642" s="334"/>
      <x:c r="AB642" s="334"/>
      <x:c r="AC642" s="334"/>
      <x:c r="AD642" s="334"/>
      <x:c r="AE642" s="334"/>
      <x:c r="AF642" s="334"/>
      <x:c r="AG642" s="334"/>
      <x:c r="AH642" s="334"/>
      <x:c r="AI642" s="334"/>
      <x:c r="AJ642" s="312"/>
      <x:c r="AK642" s="312"/>
      <x:c r="AL642" s="312"/>
      <x:c r="AM642" s="312"/>
      <x:c r="AN642" s="312"/>
      <x:c r="AO642" s="315" t="n">
        <x:f>COUNT(AB642,AD642,AF642,AH642,AJ642)</x:f>
        <x:v>0</x:v>
      </x:c>
      <x:c r="AP642" s="315" t="n">
        <x:f>SUM(AB642,AD642,AF642,AH642,AJ642)</x:f>
        <x:v>0</x:v>
      </x:c>
      <x:c r="AQ642" s="333" t="n">
        <x:f>AA642*AB642+AC642*AD642+AE642*AF642+AG642*AH642+AI642*AJ642</x:f>
        <x:v>0</x:v>
      </x:c>
      <x:c r="AR642" s="333" t="n">
        <x:f>IF(OR(J642="Strength",J642="Hypertrophy"),MAX(IF(AB642&gt;0,AA642*(1+AB642/30),0),IF(AD642&gt;0,AC642*(1+AD642/30),0),IF(AF642&gt;0,AE642*(1+AF642/30),0),IF(AH642&gt;0,AG642*(1+AH642/30),0),IF(AJ642&gt;0,AI642*(1+AJ642/30),0)),0)</x:f>
        <x:v>0</x:v>
      </x:c>
      <x:c r="AS642" s="315" t="str">
        <x:f>IF(AN642&lt;&gt;"Yes","Not logged",IF(AL642&gt;='Setup'!$B$14,"STOP / MODIFY",IF(Z642=0,"Complete",IF(OR(AO642=0,AK642=""),"Add set data + RIR",IF(AND(MAX(AB642,AD642,AF642,AH642,AJ642)&gt;=P642,AK642&gt;=Q642+1),"Progress",IF(OR(MAX(AB642,AD642,AF642,AH642,AJ642)&lt;O642,AK642&lt;Q642-1),"Regress","Hold"))))))</x:f>
        <x:v>Not logged</x:v>
      </x:c>
      <x:c r="AT642" s="335" t="n">
        <x:f>IF(OR(Z642=0,AN642&lt;&gt;"Yes",AO642=0,AK642=""),0,IF(AL642&gt;='Setup'!$B$14,-2*'Setup'!$B$11,IF(AND(MAX(AB642,AD642,AF642,AH642,AJ642)&gt;=P642,AK642&gt;=Q642+1),'Setup'!$B$10,IF(OR(MAX(AB642,AD642,AF642,AH642,AJ642)&lt;O642,AK642&lt;Q642-1),-'Setup'!$B$11,0))))</x:f>
        <x:v>0</x:v>
      </x:c>
      <x:c r="AU642" s="333" t="n">
        <x:f>IF(Z642=0,0,IF(AN642&lt;&gt;"Yes",Z642,IF(COUNT(AA642,AC642,AE642,AG642,AI642)=0,Z642,ROUND((MAX(AA642,AC642,AE642,AG642,AI642)*(1+AT642))/'Setup'!$B$9,0)*'Setup'!$B$9)))</x:f>
        <x:v>0</x:v>
      </x:c>
      <x:c r="AV642" s="336"/>
    </x:row>
    <x:row r="643">
      <x:c r="A643" s="310" t="n">
        <x:f>'Setup'!$B$3+(C643-1)*7+(D643-1)</x:f>
        <x:v>46324</x:v>
      </x:c>
      <x:c r="B643" s="311" t="str">
        <x:v>12|4|2</x:v>
      </x:c>
      <x:c r="C643" s="311" t="n">
        <x:v>12</x:v>
      </x:c>
      <x:c r="D643" s="311" t="n">
        <x:v>4</x:v>
      </x:c>
      <x:c r="E643" s="311" t="str">
        <x:v>Taper + Performance</x:v>
      </x:c>
      <x:c r="F643" s="311" t="str">
        <x:v>Posterior Strength</x:v>
      </x:c>
      <x:c r="G643" s="311" t="str">
        <x:v>Deadlift strength + posterior chain</x:v>
      </x:c>
      <x:c r="H643" s="311" t="n">
        <x:v>2</x:v>
      </x:c>
      <x:c r="I643" s="311" t="str">
        <x:v>Conventional Deadlift</x:v>
      </x:c>
      <x:c r="J643" s="311" t="str">
        <x:v>Strength</x:v>
      </x:c>
      <x:c r="K643" s="311" t="str">
        <x:v>Hamstrings</x:v>
      </x:c>
      <x:c r="L643" s="311" t="str">
        <x:v>Performance top set, no grinder + easy back-offs</x:v>
      </x:c>
      <x:c r="M643" s="311" t="str"/>
      <x:c r="N643" s="311" t="n">
        <x:v>3</x:v>
      </x:c>
      <x:c r="O643" s="311" t="n">
        <x:v>3</x:v>
      </x:c>
      <x:c r="P643" s="311" t="n">
        <x:v>5</x:v>
      </x:c>
      <x:c r="Q643" s="311" t="n">
        <x:v>2</x:v>
      </x:c>
      <x:c r="R643" s="311" t="n">
        <x:v>210</x:v>
      </x:c>
      <x:c r="S643" s="311" t="str">
        <x:v>2-1-X</x:v>
      </x:c>
      <x:c r="T643" s="330" t="n">
        <x:v>1.03</x:v>
      </x:c>
      <x:c r="U643" s="330" t="n">
        <x:v>0.82</x:v>
      </x:c>
      <x:c r="V643" s="331" t="str">
        <x:v>load × reps</x:v>
      </x:c>
      <x:c r="W643" s="332" t="str">
        <x:f>'Readiness'!K76</x:f>
      </x:c>
      <x:c r="X643" s="314" t="n">
        <x:f>'Readiness'!L76</x:f>
        <x:v>1</x:v>
      </x:c>
      <x:c r="Y643" s="315" t="n">
        <x:f>IF(J643="Mobility",N643,MAX(1,ROUND(N643*X643,0)))</x:f>
        <x:v>3</x:v>
      </x:c>
      <x:c r="Z643" s="333" t="n">
        <x:f>ROUND((IF(AU587&gt;0,AU587,IF(Z587&gt;0,Z587,'Setup'!$D$35))*T643)/'Setup'!$B$9,0)*'Setup'!$B$9</x:f>
        <x:v>0</x:v>
      </x:c>
      <x:c r="AA643" s="334"/>
      <x:c r="AB643" s="334"/>
      <x:c r="AC643" s="334"/>
      <x:c r="AD643" s="334"/>
      <x:c r="AE643" s="334"/>
      <x:c r="AF643" s="334"/>
      <x:c r="AG643" s="334"/>
      <x:c r="AH643" s="334"/>
      <x:c r="AI643" s="334"/>
      <x:c r="AJ643" s="312"/>
      <x:c r="AK643" s="312"/>
      <x:c r="AL643" s="312"/>
      <x:c r="AM643" s="312"/>
      <x:c r="AN643" s="312"/>
      <x:c r="AO643" s="315" t="n">
        <x:f>COUNT(AB643,AD643,AF643,AH643,AJ643)</x:f>
        <x:v>0</x:v>
      </x:c>
      <x:c r="AP643" s="315" t="n">
        <x:f>SUM(AB643,AD643,AF643,AH643,AJ643)</x:f>
        <x:v>0</x:v>
      </x:c>
      <x:c r="AQ643" s="333" t="n">
        <x:f>AA643*AB643+AC643*AD643+AE643*AF643+AG643*AH643+AI643*AJ643</x:f>
        <x:v>0</x:v>
      </x:c>
      <x:c r="AR643" s="333" t="n">
        <x:f>IF(OR(J643="Strength",J643="Hypertrophy"),MAX(IF(AB643&gt;0,AA643*(1+AB643/30),0),IF(AD643&gt;0,AC643*(1+AD643/30),0),IF(AF643&gt;0,AE643*(1+AF643/30),0),IF(AH643&gt;0,AG643*(1+AH643/30),0),IF(AJ643&gt;0,AI643*(1+AJ643/30),0)),0)</x:f>
        <x:v>0</x:v>
      </x:c>
      <x:c r="AS643" s="315" t="str">
        <x:f>IF(AN643&lt;&gt;"Yes","Not logged",IF(AL643&gt;='Setup'!$B$14,"STOP / MODIFY",IF(Z643=0,"Complete",IF(OR(AO643=0,AK643=""),"Add set data + RIR",IF(AND(MAX(AB643,AD643,AF643,AH643,AJ643)&gt;=P643,AK643&gt;=Q643+1),"Progress",IF(OR(MAX(AB643,AD643,AF643,AH643,AJ643)&lt;O643,AK643&lt;Q643-1),"Regress","Hold"))))))</x:f>
        <x:v>Not logged</x:v>
      </x:c>
      <x:c r="AT643" s="335" t="n">
        <x:f>IF(OR(Z643=0,AN643&lt;&gt;"Yes",AO643=0,AK643=""),0,IF(AL643&gt;='Setup'!$B$14,-2*'Setup'!$B$11,IF(AND(MAX(AB643,AD643,AF643,AH643,AJ643)&gt;=P643,AK643&gt;=Q643+1),'Setup'!$B$10,IF(OR(MAX(AB643,AD643,AF643,AH643,AJ643)&lt;O643,AK643&lt;Q643-1),-'Setup'!$B$11,0))))</x:f>
        <x:v>0</x:v>
      </x:c>
      <x:c r="AU643" s="333" t="n">
        <x:f>IF(Z643=0,0,IF(AN643&lt;&gt;"Yes",Z643,IF(COUNT(AA643,AC643,AE643,AG643,AI643)=0,Z643,ROUND((MAX(AA643,AC643,AE643,AG643,AI643)*(1+AT643))/'Setup'!$B$9,0)*'Setup'!$B$9)))</x:f>
        <x:v>0</x:v>
      </x:c>
      <x:c r="AV643" s="336"/>
    </x:row>
    <x:row r="644">
      <x:c r="A644" s="310" t="n">
        <x:f>'Setup'!$B$3+(C644-1)*7+(D644-1)</x:f>
        <x:v>46324</x:v>
      </x:c>
      <x:c r="B644" s="311" t="str">
        <x:v>12|4|3</x:v>
      </x:c>
      <x:c r="C644" s="311" t="n">
        <x:v>12</x:v>
      </x:c>
      <x:c r="D644" s="311" t="n">
        <x:v>4</x:v>
      </x:c>
      <x:c r="E644" s="311" t="str">
        <x:v>Taper + Performance</x:v>
      </x:c>
      <x:c r="F644" s="311" t="str">
        <x:v>Posterior Strength</x:v>
      </x:c>
      <x:c r="G644" s="311" t="str">
        <x:v>Deadlift strength + posterior chain</x:v>
      </x:c>
      <x:c r="H644" s="311" t="n">
        <x:v>3</x:v>
      </x:c>
      <x:c r="I644" s="311" t="str">
        <x:v>Front Squat</x:v>
      </x:c>
      <x:c r="J644" s="311" t="str">
        <x:v>Strength</x:v>
      </x:c>
      <x:c r="K644" s="311" t="str">
        <x:v>Quads</x:v>
      </x:c>
      <x:c r="L644" s="311" t="str">
        <x:v>Straight sets, leave 4 RIR</x:v>
      </x:c>
      <x:c r="M644" s="311" t="str"/>
      <x:c r="N644" s="311" t="n">
        <x:v>2</x:v>
      </x:c>
      <x:c r="O644" s="311" t="n">
        <x:v>5</x:v>
      </x:c>
      <x:c r="P644" s="311" t="n">
        <x:v>7</x:v>
      </x:c>
      <x:c r="Q644" s="311" t="n">
        <x:v>4</x:v>
      </x:c>
      <x:c r="R644" s="311" t="n">
        <x:v>150</x:v>
      </x:c>
      <x:c r="S644" s="311" t="str">
        <x:v>3-1-X</x:v>
      </x:c>
      <x:c r="T644" s="330" t="n">
        <x:v>0.95</x:v>
      </x:c>
      <x:c r="U644" s="330" t="n">
        <x:v>0.7</x:v>
      </x:c>
      <x:c r="V644" s="331" t="str">
        <x:v>load × reps</x:v>
      </x:c>
      <x:c r="W644" s="332" t="str">
        <x:f>'Readiness'!K76</x:f>
      </x:c>
      <x:c r="X644" s="314" t="n">
        <x:f>'Readiness'!L76</x:f>
        <x:v>1</x:v>
      </x:c>
      <x:c r="Y644" s="315" t="n">
        <x:f>IF(J644="Mobility",N644,MAX(1,ROUND(N644*X644,0)))</x:f>
        <x:v>2</x:v>
      </x:c>
      <x:c r="Z644" s="333" t="n">
        <x:f>ROUND((IF(AU588&gt;0,AU588,IF(Z588&gt;0,Z588,'Setup'!$D$43))*T644)/'Setup'!$B$9,0)*'Setup'!$B$9</x:f>
        <x:v>0</x:v>
      </x:c>
      <x:c r="AA644" s="334"/>
      <x:c r="AB644" s="334"/>
      <x:c r="AC644" s="334"/>
      <x:c r="AD644" s="334"/>
      <x:c r="AE644" s="334"/>
      <x:c r="AF644" s="334"/>
      <x:c r="AG644" s="334"/>
      <x:c r="AH644" s="334"/>
      <x:c r="AI644" s="334"/>
      <x:c r="AJ644" s="312"/>
      <x:c r="AK644" s="312"/>
      <x:c r="AL644" s="312"/>
      <x:c r="AM644" s="312"/>
      <x:c r="AN644" s="312"/>
      <x:c r="AO644" s="315" t="n">
        <x:f>COUNT(AB644,AD644,AF644,AH644,AJ644)</x:f>
        <x:v>0</x:v>
      </x:c>
      <x:c r="AP644" s="315" t="n">
        <x:f>SUM(AB644,AD644,AF644,AH644,AJ644)</x:f>
        <x:v>0</x:v>
      </x:c>
      <x:c r="AQ644" s="333" t="n">
        <x:f>AA644*AB644+AC644*AD644+AE644*AF644+AG644*AH644+AI644*AJ644</x:f>
        <x:v>0</x:v>
      </x:c>
      <x:c r="AR644" s="333" t="n">
        <x:f>IF(OR(J644="Strength",J644="Hypertrophy"),MAX(IF(AB644&gt;0,AA644*(1+AB644/30),0),IF(AD644&gt;0,AC644*(1+AD644/30),0),IF(AF644&gt;0,AE644*(1+AF644/30),0),IF(AH644&gt;0,AG644*(1+AH644/30),0),IF(AJ644&gt;0,AI644*(1+AJ644/30),0)),0)</x:f>
        <x:v>0</x:v>
      </x:c>
      <x:c r="AS644" s="315" t="str">
        <x:f>IF(AN644&lt;&gt;"Yes","Not logged",IF(AL644&gt;='Setup'!$B$14,"STOP / MODIFY",IF(Z644=0,"Complete",IF(OR(AO644=0,AK644=""),"Add set data + RIR",IF(AND(MAX(AB644,AD644,AF644,AH644,AJ644)&gt;=P644,AK644&gt;=Q644+1),"Progress",IF(OR(MAX(AB644,AD644,AF644,AH644,AJ644)&lt;O644,AK644&lt;Q644-1),"Regress","Hold"))))))</x:f>
        <x:v>Not logged</x:v>
      </x:c>
      <x:c r="AT644" s="335" t="n">
        <x:f>IF(OR(Z644=0,AN644&lt;&gt;"Yes",AO644=0,AK644=""),0,IF(AL644&gt;='Setup'!$B$14,-2*'Setup'!$B$11,IF(AND(MAX(AB644,AD644,AF644,AH644,AJ644)&gt;=P644,AK644&gt;=Q644+1),'Setup'!$B$10,IF(OR(MAX(AB644,AD644,AF644,AH644,AJ644)&lt;O644,AK644&lt;Q644-1),-'Setup'!$B$11,0))))</x:f>
        <x:v>0</x:v>
      </x:c>
      <x:c r="AU644" s="333" t="n">
        <x:f>IF(Z644=0,0,IF(AN644&lt;&gt;"Yes",Z644,IF(COUNT(AA644,AC644,AE644,AG644,AI644)=0,Z644,ROUND((MAX(AA644,AC644,AE644,AG644,AI644)*(1+AT644))/'Setup'!$B$9,0)*'Setup'!$B$9)))</x:f>
        <x:v>0</x:v>
      </x:c>
      <x:c r="AV644" s="336"/>
    </x:row>
    <x:row r="645">
      <x:c r="A645" s="310" t="n">
        <x:f>'Setup'!$B$3+(C645-1)*7+(D645-1)</x:f>
        <x:v>46324</x:v>
      </x:c>
      <x:c r="B645" s="311" t="str">
        <x:v>12|4|4</x:v>
      </x:c>
      <x:c r="C645" s="311" t="n">
        <x:v>12</x:v>
      </x:c>
      <x:c r="D645" s="311" t="n">
        <x:v>4</x:v>
      </x:c>
      <x:c r="E645" s="311" t="str">
        <x:v>Taper + Performance</x:v>
      </x:c>
      <x:c r="F645" s="311" t="str">
        <x:v>Posterior Strength</x:v>
      </x:c>
      <x:c r="G645" s="311" t="str">
        <x:v>Deadlift strength + posterior chain</x:v>
      </x:c>
      <x:c r="H645" s="311" t="n">
        <x:v>4</x:v>
      </x:c>
      <x:c r="I645" s="311" t="str">
        <x:v>Barbell Hip Thrust</x:v>
      </x:c>
      <x:c r="J645" s="311" t="str">
        <x:v>Strength</x:v>
      </x:c>
      <x:c r="K645" s="311" t="str">
        <x:v>Glutes</x:v>
      </x:c>
      <x:c r="L645" s="311" t="str">
        <x:v>Straight sets, leave 4 RIR</x:v>
      </x:c>
      <x:c r="M645" s="311" t="str"/>
      <x:c r="N645" s="311" t="n">
        <x:v>2</x:v>
      </x:c>
      <x:c r="O645" s="311" t="n">
        <x:v>6</x:v>
      </x:c>
      <x:c r="P645" s="311" t="n">
        <x:v>8</x:v>
      </x:c>
      <x:c r="Q645" s="311" t="n">
        <x:v>4</x:v>
      </x:c>
      <x:c r="R645" s="311" t="n">
        <x:v>120</x:v>
      </x:c>
      <x:c r="S645" s="311" t="str">
        <x:v>2-1-1</x:v>
      </x:c>
      <x:c r="T645" s="330" t="n">
        <x:v>0.95</x:v>
      </x:c>
      <x:c r="U645" s="330" t="n">
        <x:v>0</x:v>
      </x:c>
      <x:c r="V645" s="331" t="str">
        <x:v>load × reps</x:v>
      </x:c>
      <x:c r="W645" s="332" t="str">
        <x:f>'Readiness'!K76</x:f>
      </x:c>
      <x:c r="X645" s="314" t="n">
        <x:f>'Readiness'!L76</x:f>
        <x:v>1</x:v>
      </x:c>
      <x:c r="Y645" s="315" t="n">
        <x:f>IF(J645="Mobility",N645,MAX(1,ROUND(N645*X645,0)))</x:f>
        <x:v>2</x:v>
      </x:c>
      <x:c r="Z645" s="333" t="n">
        <x:f>ROUND((IF(AU589&gt;0,AU589,IF(Z589&gt;0,Z589,'Setup'!$D$25))*T645)/'Setup'!$B$9,0)*'Setup'!$B$9</x:f>
        <x:v>0</x:v>
      </x:c>
      <x:c r="AA645" s="334"/>
      <x:c r="AB645" s="334"/>
      <x:c r="AC645" s="334"/>
      <x:c r="AD645" s="334"/>
      <x:c r="AE645" s="334"/>
      <x:c r="AF645" s="334"/>
      <x:c r="AG645" s="334"/>
      <x:c r="AH645" s="334"/>
      <x:c r="AI645" s="334"/>
      <x:c r="AJ645" s="312"/>
      <x:c r="AK645" s="312"/>
      <x:c r="AL645" s="312"/>
      <x:c r="AM645" s="312"/>
      <x:c r="AN645" s="312"/>
      <x:c r="AO645" s="315" t="n">
        <x:f>COUNT(AB645,AD645,AF645,AH645,AJ645)</x:f>
        <x:v>0</x:v>
      </x:c>
      <x:c r="AP645" s="315" t="n">
        <x:f>SUM(AB645,AD645,AF645,AH645,AJ645)</x:f>
        <x:v>0</x:v>
      </x:c>
      <x:c r="AQ645" s="333" t="n">
        <x:f>AA645*AB645+AC645*AD645+AE645*AF645+AG645*AH645+AI645*AJ645</x:f>
        <x:v>0</x:v>
      </x:c>
      <x:c r="AR645" s="333" t="n">
        <x:f>IF(OR(J645="Strength",J645="Hypertrophy"),MAX(IF(AB645&gt;0,AA645*(1+AB645/30),0),IF(AD645&gt;0,AC645*(1+AD645/30),0),IF(AF645&gt;0,AE645*(1+AF645/30),0),IF(AH645&gt;0,AG645*(1+AH645/30),0),IF(AJ645&gt;0,AI645*(1+AJ645/30),0)),0)</x:f>
        <x:v>0</x:v>
      </x:c>
      <x:c r="AS645" s="315" t="str">
        <x:f>IF(AN645&lt;&gt;"Yes","Not logged",IF(AL645&gt;='Setup'!$B$14,"STOP / MODIFY",IF(Z645=0,"Complete",IF(OR(AO645=0,AK645=""),"Add set data + RIR",IF(AND(MAX(AB645,AD645,AF645,AH645,AJ645)&gt;=P645,AK645&gt;=Q645+1),"Progress",IF(OR(MAX(AB645,AD645,AF645,AH645,AJ645)&lt;O645,AK645&lt;Q645-1),"Regress","Hold"))))))</x:f>
        <x:v>Not logged</x:v>
      </x:c>
      <x:c r="AT645" s="335" t="n">
        <x:f>IF(OR(Z645=0,AN645&lt;&gt;"Yes",AO645=0,AK645=""),0,IF(AL645&gt;='Setup'!$B$14,-2*'Setup'!$B$11,IF(AND(MAX(AB645,AD645,AF645,AH645,AJ645)&gt;=P645,AK645&gt;=Q645+1),'Setup'!$B$10,IF(OR(MAX(AB645,AD645,AF645,AH645,AJ645)&lt;O645,AK645&lt;Q645-1),-'Setup'!$B$11,0))))</x:f>
        <x:v>0</x:v>
      </x:c>
      <x:c r="AU645" s="333" t="n">
        <x:f>IF(Z645=0,0,IF(AN645&lt;&gt;"Yes",Z645,IF(COUNT(AA645,AC645,AE645,AG645,AI645)=0,Z645,ROUND((MAX(AA645,AC645,AE645,AG645,AI645)*(1+AT645))/'Setup'!$B$9,0)*'Setup'!$B$9)))</x:f>
        <x:v>0</x:v>
      </x:c>
      <x:c r="AV645" s="336"/>
    </x:row>
    <x:row r="646">
      <x:c r="A646" s="310" t="n">
        <x:f>'Setup'!$B$3+(C646-1)*7+(D646-1)</x:f>
        <x:v>46324</x:v>
      </x:c>
      <x:c r="B646" s="311" t="str">
        <x:v>12|4|5</x:v>
      </x:c>
      <x:c r="C646" s="311" t="n">
        <x:v>12</x:v>
      </x:c>
      <x:c r="D646" s="311" t="n">
        <x:v>4</x:v>
      </x:c>
      <x:c r="E646" s="311" t="str">
        <x:v>Taper + Performance</x:v>
      </x:c>
      <x:c r="F646" s="311" t="str">
        <x:v>Posterior Strength</x:v>
      </x:c>
      <x:c r="G646" s="311" t="str">
        <x:v>Deadlift strength + posterior chain</x:v>
      </x:c>
      <x:c r="H646" s="311" t="n">
        <x:v>5</x:v>
      </x:c>
      <x:c r="I646" s="311" t="str">
        <x:v>Nordic Hamstring Curl</x:v>
      </x:c>
      <x:c r="J646" s="311" t="str">
        <x:v>Strength</x:v>
      </x:c>
      <x:c r="K646" s="311" t="str">
        <x:v>Hamstrings</x:v>
      </x:c>
      <x:c r="L646" s="311" t="str">
        <x:v>Straight sets, leave 4 RIR</x:v>
      </x:c>
      <x:c r="M646" s="311" t="str"/>
      <x:c r="N646" s="311" t="n">
        <x:v>2</x:v>
      </x:c>
      <x:c r="O646" s="311" t="n">
        <x:v>5</x:v>
      </x:c>
      <x:c r="P646" s="311" t="n">
        <x:v>8</x:v>
      </x:c>
      <x:c r="Q646" s="311" t="n">
        <x:v>4</x:v>
      </x:c>
      <x:c r="R646" s="311" t="n">
        <x:v>90</x:v>
      </x:c>
      <x:c r="S646" s="311" t="str">
        <x:v>5-0-X</x:v>
      </x:c>
      <x:c r="T646" s="330" t="n">
        <x:v>0.95</x:v>
      </x:c>
      <x:c r="U646" s="330" t="n">
        <x:v>0</x:v>
      </x:c>
      <x:c r="V646" s="331" t="str">
        <x:v>reps</x:v>
      </x:c>
      <x:c r="W646" s="332" t="str">
        <x:f>'Readiness'!K76</x:f>
      </x:c>
      <x:c r="X646" s="314" t="n">
        <x:f>'Readiness'!L76</x:f>
        <x:v>1</x:v>
      </x:c>
      <x:c r="Y646" s="315" t="n">
        <x:f>IF(J646="Mobility",N646,MAX(1,ROUND(N646*X646,0)))</x:f>
        <x:v>2</x:v>
      </x:c>
      <x:c r="Z646" s="333" t="n">
        <x:f>0</x:f>
        <x:v>0</x:v>
      </x:c>
      <x:c r="AA646" s="334"/>
      <x:c r="AB646" s="334"/>
      <x:c r="AC646" s="334"/>
      <x:c r="AD646" s="334"/>
      <x:c r="AE646" s="334"/>
      <x:c r="AF646" s="334"/>
      <x:c r="AG646" s="334"/>
      <x:c r="AH646" s="334"/>
      <x:c r="AI646" s="334"/>
      <x:c r="AJ646" s="312"/>
      <x:c r="AK646" s="312"/>
      <x:c r="AL646" s="312"/>
      <x:c r="AM646" s="312"/>
      <x:c r="AN646" s="312"/>
      <x:c r="AO646" s="315" t="n">
        <x:f>COUNT(AB646,AD646,AF646,AH646,AJ646)</x:f>
        <x:v>0</x:v>
      </x:c>
      <x:c r="AP646" s="315" t="n">
        <x:f>SUM(AB646,AD646,AF646,AH646,AJ646)</x:f>
        <x:v>0</x:v>
      </x:c>
      <x:c r="AQ646" s="333" t="n">
        <x:f>AA646*AB646+AC646*AD646+AE646*AF646+AG646*AH646+AI646*AJ646</x:f>
        <x:v>0</x:v>
      </x:c>
      <x:c r="AR646" s="333" t="n">
        <x:f>IF(OR(J646="Strength",J646="Hypertrophy"),MAX(IF(AB646&gt;0,AA646*(1+AB646/30),0),IF(AD646&gt;0,AC646*(1+AD646/30),0),IF(AF646&gt;0,AE646*(1+AF646/30),0),IF(AH646&gt;0,AG646*(1+AH646/30),0),IF(AJ646&gt;0,AI646*(1+AJ646/30),0)),0)</x:f>
        <x:v>0</x:v>
      </x:c>
      <x:c r="AS646" s="315" t="str">
        <x:f>IF(AN646&lt;&gt;"Yes","Not logged",IF(AL646&gt;='Setup'!$B$14,"STOP / MODIFY",IF(Z646=0,"Complete",IF(OR(AO646=0,AK646=""),"Add set data + RIR",IF(AND(MAX(AB646,AD646,AF646,AH646,AJ646)&gt;=P646,AK646&gt;=Q646+1),"Progress",IF(OR(MAX(AB646,AD646,AF646,AH646,AJ646)&lt;O646,AK646&lt;Q646-1),"Regress","Hold"))))))</x:f>
        <x:v>Not logged</x:v>
      </x:c>
      <x:c r="AT646" s="335" t="n">
        <x:f>IF(OR(Z646=0,AN646&lt;&gt;"Yes",AO646=0,AK646=""),0,IF(AL646&gt;='Setup'!$B$14,-2*'Setup'!$B$11,IF(AND(MAX(AB646,AD646,AF646,AH646,AJ646)&gt;=P646,AK646&gt;=Q646+1),'Setup'!$B$10,IF(OR(MAX(AB646,AD646,AF646,AH646,AJ646)&lt;O646,AK646&lt;Q646-1),-'Setup'!$B$11,0))))</x:f>
        <x:v>0</x:v>
      </x:c>
      <x:c r="AU646" s="333" t="n">
        <x:f>IF(Z646=0,0,IF(AN646&lt;&gt;"Yes",Z646,IF(COUNT(AA646,AC646,AE646,AG646,AI646)=0,Z646,ROUND((MAX(AA646,AC646,AE646,AG646,AI646)*(1+AT646))/'Setup'!$B$9,0)*'Setup'!$B$9)))</x:f>
        <x:v>0</x:v>
      </x:c>
      <x:c r="AV646" s="336"/>
    </x:row>
    <x:row r="647">
      <x:c r="A647" s="310" t="n">
        <x:f>'Setup'!$B$3+(C647-1)*7+(D647-1)</x:f>
        <x:v>46324</x:v>
      </x:c>
      <x:c r="B647" s="311" t="str">
        <x:v>12|4|6</x:v>
      </x:c>
      <x:c r="C647" s="311" t="n">
        <x:v>12</x:v>
      </x:c>
      <x:c r="D647" s="311" t="n">
        <x:v>4</x:v>
      </x:c>
      <x:c r="E647" s="311" t="str">
        <x:v>Taper + Performance</x:v>
      </x:c>
      <x:c r="F647" s="311" t="str">
        <x:v>Posterior Strength</x:v>
      </x:c>
      <x:c r="G647" s="311" t="str">
        <x:v>Deadlift strength + posterior chain</x:v>
      </x:c>
      <x:c r="H647" s="311" t="n">
        <x:v>6</x:v>
      </x:c>
      <x:c r="I647" s="311" t="str">
        <x:v>45-Degree Back Extension</x:v>
      </x:c>
      <x:c r="J647" s="311" t="str">
        <x:v>Hypertrophy</x:v>
      </x:c>
      <x:c r="K647" s="311" t="str">
        <x:v>Hamstrings</x:v>
      </x:c>
      <x:c r="L647" s="311" t="str">
        <x:v>Straight sets, leave 4 RIR</x:v>
      </x:c>
      <x:c r="M647" s="311" t="str"/>
      <x:c r="N647" s="311" t="n">
        <x:v>2</x:v>
      </x:c>
      <x:c r="O647" s="311" t="n">
        <x:v>10</x:v>
      </x:c>
      <x:c r="P647" s="311" t="n">
        <x:v>15</x:v>
      </x:c>
      <x:c r="Q647" s="311" t="n">
        <x:v>4</x:v>
      </x:c>
      <x:c r="R647" s="311" t="n">
        <x:v>60</x:v>
      </x:c>
      <x:c r="S647" s="311" t="str">
        <x:v>3-1-1</x:v>
      </x:c>
      <x:c r="T647" s="330" t="n">
        <x:v>0.95</x:v>
      </x:c>
      <x:c r="U647" s="330" t="n">
        <x:v>0</x:v>
      </x:c>
      <x:c r="V647" s="331" t="str">
        <x:v>load × reps</x:v>
      </x:c>
      <x:c r="W647" s="332" t="str">
        <x:f>'Readiness'!K76</x:f>
      </x:c>
      <x:c r="X647" s="314" t="n">
        <x:f>'Readiness'!L76</x:f>
        <x:v>1</x:v>
      </x:c>
      <x:c r="Y647" s="315" t="n">
        <x:f>IF(J647="Mobility",N647,MAX(1,ROUND(N647*X647,0)))</x:f>
        <x:v>2</x:v>
      </x:c>
      <x:c r="Z647" s="333" t="n">
        <x:f>ROUND((IF(AU591&gt;0,AU591,IF(Z591&gt;0,Z591,'Setup'!$D$18))*T647)/'Setup'!$B$9,0)*'Setup'!$B$9</x:f>
        <x:v>0</x:v>
      </x:c>
      <x:c r="AA647" s="334"/>
      <x:c r="AB647" s="334"/>
      <x:c r="AC647" s="334"/>
      <x:c r="AD647" s="334"/>
      <x:c r="AE647" s="334"/>
      <x:c r="AF647" s="334"/>
      <x:c r="AG647" s="334"/>
      <x:c r="AH647" s="334"/>
      <x:c r="AI647" s="334"/>
      <x:c r="AJ647" s="312"/>
      <x:c r="AK647" s="312"/>
      <x:c r="AL647" s="312"/>
      <x:c r="AM647" s="312"/>
      <x:c r="AN647" s="312"/>
      <x:c r="AO647" s="315" t="n">
        <x:f>COUNT(AB647,AD647,AF647,AH647,AJ647)</x:f>
        <x:v>0</x:v>
      </x:c>
      <x:c r="AP647" s="315" t="n">
        <x:f>SUM(AB647,AD647,AF647,AH647,AJ647)</x:f>
        <x:v>0</x:v>
      </x:c>
      <x:c r="AQ647" s="333" t="n">
        <x:f>AA647*AB647+AC647*AD647+AE647*AF647+AG647*AH647+AI647*AJ647</x:f>
        <x:v>0</x:v>
      </x:c>
      <x:c r="AR647" s="333" t="n">
        <x:f>IF(OR(J647="Strength",J647="Hypertrophy"),MAX(IF(AB647&gt;0,AA647*(1+AB647/30),0),IF(AD647&gt;0,AC647*(1+AD647/30),0),IF(AF647&gt;0,AE647*(1+AF647/30),0),IF(AH647&gt;0,AG647*(1+AH647/30),0),IF(AJ647&gt;0,AI647*(1+AJ647/30),0)),0)</x:f>
        <x:v>0</x:v>
      </x:c>
      <x:c r="AS647" s="315" t="str">
        <x:f>IF(AN647&lt;&gt;"Yes","Not logged",IF(AL647&gt;='Setup'!$B$14,"STOP / MODIFY",IF(Z647=0,"Complete",IF(OR(AO647=0,AK647=""),"Add set data + RIR",IF(AND(MAX(AB647,AD647,AF647,AH647,AJ647)&gt;=P647,AK647&gt;=Q647+1),"Progress",IF(OR(MAX(AB647,AD647,AF647,AH647,AJ647)&lt;O647,AK647&lt;Q647-1),"Regress","Hold"))))))</x:f>
        <x:v>Not logged</x:v>
      </x:c>
      <x:c r="AT647" s="335" t="n">
        <x:f>IF(OR(Z647=0,AN647&lt;&gt;"Yes",AO647=0,AK647=""),0,IF(AL647&gt;='Setup'!$B$14,-2*'Setup'!$B$11,IF(AND(MAX(AB647,AD647,AF647,AH647,AJ647)&gt;=P647,AK647&gt;=Q647+1),'Setup'!$B$10,IF(OR(MAX(AB647,AD647,AF647,AH647,AJ647)&lt;O647,AK647&lt;Q647-1),-'Setup'!$B$11,0))))</x:f>
        <x:v>0</x:v>
      </x:c>
      <x:c r="AU647" s="333" t="n">
        <x:f>IF(Z647=0,0,IF(AN647&lt;&gt;"Yes",Z647,IF(COUNT(AA647,AC647,AE647,AG647,AI647)=0,Z647,ROUND((MAX(AA647,AC647,AE647,AG647,AI647)*(1+AT647))/'Setup'!$B$9,0)*'Setup'!$B$9)))</x:f>
        <x:v>0</x:v>
      </x:c>
      <x:c r="AV647" s="336"/>
    </x:row>
    <x:row r="648">
      <x:c r="A648" s="310" t="n">
        <x:f>'Setup'!$B$3+(C648-1)*7+(D648-1)</x:f>
        <x:v>46324</x:v>
      </x:c>
      <x:c r="B648" s="311" t="str">
        <x:v>12|4|7</x:v>
      </x:c>
      <x:c r="C648" s="311" t="n">
        <x:v>12</x:v>
      </x:c>
      <x:c r="D648" s="311" t="n">
        <x:v>4</x:v>
      </x:c>
      <x:c r="E648" s="311" t="str">
        <x:v>Taper + Performance</x:v>
      </x:c>
      <x:c r="F648" s="311" t="str">
        <x:v>Posterior Strength</x:v>
      </x:c>
      <x:c r="G648" s="311" t="str">
        <x:v>Deadlift strength + posterior chain</x:v>
      </x:c>
      <x:c r="H648" s="311" t="n">
        <x:v>7</x:v>
      </x:c>
      <x:c r="I648" s="311" t="str">
        <x:v>Farmer Carry</x:v>
      </x:c>
      <x:c r="J648" s="311" t="str">
        <x:v>Athletic</x:v>
      </x:c>
      <x:c r="K648" s="311" t="str">
        <x:v>Full Body</x:v>
      </x:c>
      <x:c r="L648" s="311" t="str">
        <x:v>Straight sets, leave 4 RIR</x:v>
      </x:c>
      <x:c r="M648" s="311" t="str"/>
      <x:c r="N648" s="311" t="n">
        <x:v>3</x:v>
      </x:c>
      <x:c r="O648" s="311" t="n">
        <x:v>30</x:v>
      </x:c>
      <x:c r="P648" s="311" t="n">
        <x:v>40</x:v>
      </x:c>
      <x:c r="Q648" s="311" t="n">
        <x:v>4</x:v>
      </x:c>
      <x:c r="R648" s="311" t="n">
        <x:v>75</x:v>
      </x:c>
      <x:c r="S648" s="311" t="str">
        <x:v>Controlled</x:v>
      </x:c>
      <x:c r="T648" s="330" t="n">
        <x:v>0.95</x:v>
      </x:c>
      <x:c r="U648" s="330" t="n">
        <x:v>0</x:v>
      </x:c>
      <x:c r="V648" s="331" t="str">
        <x:v>load + meters</x:v>
      </x:c>
      <x:c r="W648" s="332" t="str">
        <x:f>'Readiness'!K76</x:f>
      </x:c>
      <x:c r="X648" s="314" t="n">
        <x:f>'Readiness'!L76</x:f>
        <x:v>1</x:v>
      </x:c>
      <x:c r="Y648" s="315" t="n">
        <x:f>IF(J648="Mobility",N648,MAX(1,ROUND(N648*X648,0)))</x:f>
        <x:v>3</x:v>
      </x:c>
      <x:c r="Z648" s="333" t="n">
        <x:f>0</x:f>
        <x:v>0</x:v>
      </x:c>
      <x:c r="AA648" s="334"/>
      <x:c r="AB648" s="334"/>
      <x:c r="AC648" s="334"/>
      <x:c r="AD648" s="334"/>
      <x:c r="AE648" s="334"/>
      <x:c r="AF648" s="334"/>
      <x:c r="AG648" s="334"/>
      <x:c r="AH648" s="334"/>
      <x:c r="AI648" s="334"/>
      <x:c r="AJ648" s="312"/>
      <x:c r="AK648" s="312"/>
      <x:c r="AL648" s="312"/>
      <x:c r="AM648" s="312"/>
      <x:c r="AN648" s="312"/>
      <x:c r="AO648" s="315" t="n">
        <x:f>COUNT(AB648,AD648,AF648,AH648,AJ648)</x:f>
        <x:v>0</x:v>
      </x:c>
      <x:c r="AP648" s="315" t="n">
        <x:f>SUM(AB648,AD648,AF648,AH648,AJ648)</x:f>
        <x:v>0</x:v>
      </x:c>
      <x:c r="AQ648" s="333" t="n">
        <x:f>AA648*AB648+AC648*AD648+AE648*AF648+AG648*AH648+AI648*AJ648</x:f>
        <x:v>0</x:v>
      </x:c>
      <x:c r="AR648" s="333" t="n">
        <x:f>IF(OR(J648="Strength",J648="Hypertrophy"),MAX(IF(AB648&gt;0,AA648*(1+AB648/30),0),IF(AD648&gt;0,AC648*(1+AD648/30),0),IF(AF648&gt;0,AE648*(1+AF648/30),0),IF(AH648&gt;0,AG648*(1+AH648/30),0),IF(AJ648&gt;0,AI648*(1+AJ648/30),0)),0)</x:f>
        <x:v>0</x:v>
      </x:c>
      <x:c r="AS648" s="315" t="str">
        <x:f>IF(AN648&lt;&gt;"Yes","Not logged",IF(AL648&gt;='Setup'!$B$14,"STOP / MODIFY",IF(Z648=0,"Complete",IF(OR(AO648=0,AK648=""),"Add set data + RIR",IF(AND(MAX(AB648,AD648,AF648,AH648,AJ648)&gt;=P648,AK648&gt;=Q648+1),"Progress",IF(OR(MAX(AB648,AD648,AF648,AH648,AJ648)&lt;O648,AK648&lt;Q648-1),"Regress","Hold"))))))</x:f>
        <x:v>Not logged</x:v>
      </x:c>
      <x:c r="AT648" s="335" t="n">
        <x:f>IF(OR(Z648=0,AN648&lt;&gt;"Yes",AO648=0,AK648=""),0,IF(AL648&gt;='Setup'!$B$14,-2*'Setup'!$B$11,IF(AND(MAX(AB648,AD648,AF648,AH648,AJ648)&gt;=P648,AK648&gt;=Q648+1),'Setup'!$B$10,IF(OR(MAX(AB648,AD648,AF648,AH648,AJ648)&lt;O648,AK648&lt;Q648-1),-'Setup'!$B$11,0))))</x:f>
        <x:v>0</x:v>
      </x:c>
      <x:c r="AU648" s="333" t="n">
        <x:f>IF(Z648=0,0,IF(AN648&lt;&gt;"Yes",Z648,IF(COUNT(AA648,AC648,AE648,AG648,AI648)=0,Z648,ROUND((MAX(AA648,AC648,AE648,AG648,AI648)*(1+AT648))/'Setup'!$B$9,0)*'Setup'!$B$9)))</x:f>
        <x:v>0</x:v>
      </x:c>
      <x:c r="AV648" s="336"/>
    </x:row>
    <x:row r="649">
      <x:c r="A649" s="310" t="n">
        <x:f>'Setup'!$B$3+(C649-1)*7+(D649-1)</x:f>
        <x:v>46324</x:v>
      </x:c>
      <x:c r="B649" s="311" t="str">
        <x:v>12|4|8</x:v>
      </x:c>
      <x:c r="C649" s="311" t="n">
        <x:v>12</x:v>
      </x:c>
      <x:c r="D649" s="311" t="n">
        <x:v>4</x:v>
      </x:c>
      <x:c r="E649" s="311" t="str">
        <x:v>Taper + Performance</x:v>
      </x:c>
      <x:c r="F649" s="311" t="str">
        <x:v>Posterior Strength</x:v>
      </x:c>
      <x:c r="G649" s="311" t="str">
        <x:v>Deadlift strength + posterior chain</x:v>
      </x:c>
      <x:c r="H649" s="311" t="n">
        <x:v>8</x:v>
      </x:c>
      <x:c r="I649" s="311" t="str">
        <x:v>Copenhagen Plank</x:v>
      </x:c>
      <x:c r="J649" s="311" t="str">
        <x:v>Mobility</x:v>
      </x:c>
      <x:c r="K649" s="311" t="str">
        <x:v>Core</x:v>
      </x:c>
      <x:c r="L649" s="311" t="str">
        <x:v>Straight sets, leave 4 RIR</x:v>
      </x:c>
      <x:c r="M649" s="311" t="str"/>
      <x:c r="N649" s="311" t="n">
        <x:v>2</x:v>
      </x:c>
      <x:c r="O649" s="311" t="n">
        <x:v>20</x:v>
      </x:c>
      <x:c r="P649" s="311" t="n">
        <x:v>30</x:v>
      </x:c>
      <x:c r="Q649" s="311" t="str"/>
      <x:c r="R649" s="311" t="n">
        <x:v>30</x:v>
      </x:c>
      <x:c r="S649" s="311" t="str">
        <x:v>Hold</x:v>
      </x:c>
      <x:c r="T649" s="330" t="n">
        <x:v>0.95</x:v>
      </x:c>
      <x:c r="U649" s="330" t="n">
        <x:v>0</x:v>
      </x:c>
      <x:c r="V649" s="331" t="str">
        <x:v>seconds</x:v>
      </x:c>
      <x:c r="W649" s="332" t="str">
        <x:f>'Readiness'!K76</x:f>
      </x:c>
      <x:c r="X649" s="314" t="n">
        <x:f>'Readiness'!L76</x:f>
        <x:v>1</x:v>
      </x:c>
      <x:c r="Y649" s="315" t="n">
        <x:f>IF(J649="Mobility",N649,MAX(1,ROUND(N649*X649,0)))</x:f>
        <x:v>2</x:v>
      </x:c>
      <x:c r="Z649" s="333" t="n">
        <x:f>0</x:f>
        <x:v>0</x:v>
      </x:c>
      <x:c r="AA649" s="334"/>
      <x:c r="AB649" s="334"/>
      <x:c r="AC649" s="334"/>
      <x:c r="AD649" s="334"/>
      <x:c r="AE649" s="334"/>
      <x:c r="AF649" s="334"/>
      <x:c r="AG649" s="334"/>
      <x:c r="AH649" s="334"/>
      <x:c r="AI649" s="334"/>
      <x:c r="AJ649" s="312"/>
      <x:c r="AK649" s="312"/>
      <x:c r="AL649" s="312"/>
      <x:c r="AM649" s="312"/>
      <x:c r="AN649" s="312"/>
      <x:c r="AO649" s="315" t="n">
        <x:f>COUNT(AB649,AD649,AF649,AH649,AJ649)</x:f>
        <x:v>0</x:v>
      </x:c>
      <x:c r="AP649" s="315" t="n">
        <x:f>SUM(AB649,AD649,AF649,AH649,AJ649)</x:f>
        <x:v>0</x:v>
      </x:c>
      <x:c r="AQ649" s="333" t="n">
        <x:f>AA649*AB649+AC649*AD649+AE649*AF649+AG649*AH649+AI649*AJ649</x:f>
        <x:v>0</x:v>
      </x:c>
      <x:c r="AR649" s="333" t="n">
        <x:f>IF(OR(J649="Strength",J649="Hypertrophy"),MAX(IF(AB649&gt;0,AA649*(1+AB649/30),0),IF(AD649&gt;0,AC649*(1+AD649/30),0),IF(AF649&gt;0,AE649*(1+AF649/30),0),IF(AH649&gt;0,AG649*(1+AH649/30),0),IF(AJ649&gt;0,AI649*(1+AJ649/30),0)),0)</x:f>
        <x:v>0</x:v>
      </x:c>
      <x:c r="AS649" s="315" t="str">
        <x:f>IF(AN649&lt;&gt;"Yes","Not logged",IF(AL649&gt;='Setup'!$B$14,"STOP / MODIFY",IF(Z649=0,"Complete",IF(OR(AO649=0,AK649=""),"Add set data + RIR",IF(AND(MAX(AB649,AD649,AF649,AH649,AJ649)&gt;=P649,AK649&gt;=Q649+1),"Progress",IF(OR(MAX(AB649,AD649,AF649,AH649,AJ649)&lt;O649,AK649&lt;Q649-1),"Regress","Hold"))))))</x:f>
        <x:v>Not logged</x:v>
      </x:c>
      <x:c r="AT649" s="335" t="n">
        <x:f>IF(OR(Z649=0,AN649&lt;&gt;"Yes",AO649=0,AK649=""),0,IF(AL649&gt;='Setup'!$B$14,-2*'Setup'!$B$11,IF(AND(MAX(AB649,AD649,AF649,AH649,AJ649)&gt;=P649,AK649&gt;=Q649+1),'Setup'!$B$10,IF(OR(MAX(AB649,AD649,AF649,AH649,AJ649)&lt;O649,AK649&lt;Q649-1),-'Setup'!$B$11,0))))</x:f>
        <x:v>0</x:v>
      </x:c>
      <x:c r="AU649" s="333" t="n">
        <x:f>IF(Z649=0,0,IF(AN649&lt;&gt;"Yes",Z649,IF(COUNT(AA649,AC649,AE649,AG649,AI649)=0,Z649,ROUND((MAX(AA649,AC649,AE649,AG649,AI649)*(1+AT649))/'Setup'!$B$9,0)*'Setup'!$B$9)))</x:f>
        <x:v>0</x:v>
      </x:c>
      <x:c r="AV649" s="336"/>
    </x:row>
    <x:row r="650">
      <x:c r="A650" s="310" t="n">
        <x:f>'Setup'!$B$3+(C650-1)*7+(D650-1)</x:f>
        <x:v>46324</x:v>
      </x:c>
      <x:c r="B650" s="311" t="str">
        <x:v>12|4|9</x:v>
      </x:c>
      <x:c r="C650" s="311" t="n">
        <x:v>12</x:v>
      </x:c>
      <x:c r="D650" s="311" t="n">
        <x:v>4</x:v>
      </x:c>
      <x:c r="E650" s="311" t="str">
        <x:v>Taper + Performance</x:v>
      </x:c>
      <x:c r="F650" s="311" t="str">
        <x:v>Posterior Strength</x:v>
      </x:c>
      <x:c r="G650" s="311" t="str">
        <x:v>Deadlift strength + posterior chain</x:v>
      </x:c>
      <x:c r="H650" s="311" t="n">
        <x:v>9</x:v>
      </x:c>
      <x:c r="I650" s="311" t="str">
        <x:v>Couch Stretch</x:v>
      </x:c>
      <x:c r="J650" s="311" t="str">
        <x:v>Mobility</x:v>
      </x:c>
      <x:c r="K650" s="311" t="str">
        <x:v>Hips</x:v>
      </x:c>
      <x:c r="L650" s="311" t="str">
        <x:v>Straight sets, leave 4 RIR</x:v>
      </x:c>
      <x:c r="M650" s="311" t="str"/>
      <x:c r="N650" s="311" t="n">
        <x:v>2</x:v>
      </x:c>
      <x:c r="O650" s="311" t="n">
        <x:v>30</x:v>
      </x:c>
      <x:c r="P650" s="311" t="n">
        <x:v>45</x:v>
      </x:c>
      <x:c r="Q650" s="311" t="str"/>
      <x:c r="R650" s="311" t="n">
        <x:v>20</x:v>
      </x:c>
      <x:c r="S650" s="311" t="str">
        <x:v>Hold</x:v>
      </x:c>
      <x:c r="T650" s="330" t="n">
        <x:v>0.95</x:v>
      </x:c>
      <x:c r="U650" s="330" t="n">
        <x:v>0</x:v>
      </x:c>
      <x:c r="V650" s="331" t="str">
        <x:v>seconds</x:v>
      </x:c>
      <x:c r="W650" s="332" t="str">
        <x:f>'Readiness'!K76</x:f>
      </x:c>
      <x:c r="X650" s="314" t="n">
        <x:f>'Readiness'!L76</x:f>
        <x:v>1</x:v>
      </x:c>
      <x:c r="Y650" s="315" t="n">
        <x:f>IF(J650="Mobility",N650,MAX(1,ROUND(N650*X650,0)))</x:f>
        <x:v>2</x:v>
      </x:c>
      <x:c r="Z650" s="333" t="n">
        <x:f>0</x:f>
        <x:v>0</x:v>
      </x:c>
      <x:c r="AA650" s="334"/>
      <x:c r="AB650" s="334"/>
      <x:c r="AC650" s="334"/>
      <x:c r="AD650" s="334"/>
      <x:c r="AE650" s="334"/>
      <x:c r="AF650" s="334"/>
      <x:c r="AG650" s="334"/>
      <x:c r="AH650" s="334"/>
      <x:c r="AI650" s="334"/>
      <x:c r="AJ650" s="312"/>
      <x:c r="AK650" s="312"/>
      <x:c r="AL650" s="312"/>
      <x:c r="AM650" s="312"/>
      <x:c r="AN650" s="312"/>
      <x:c r="AO650" s="315" t="n">
        <x:f>COUNT(AB650,AD650,AF650,AH650,AJ650)</x:f>
        <x:v>0</x:v>
      </x:c>
      <x:c r="AP650" s="315" t="n">
        <x:f>SUM(AB650,AD650,AF650,AH650,AJ650)</x:f>
        <x:v>0</x:v>
      </x:c>
      <x:c r="AQ650" s="333" t="n">
        <x:f>AA650*AB650+AC650*AD650+AE650*AF650+AG650*AH650+AI650*AJ650</x:f>
        <x:v>0</x:v>
      </x:c>
      <x:c r="AR650" s="333" t="n">
        <x:f>IF(OR(J650="Strength",J650="Hypertrophy"),MAX(IF(AB650&gt;0,AA650*(1+AB650/30),0),IF(AD650&gt;0,AC650*(1+AD650/30),0),IF(AF650&gt;0,AE650*(1+AF650/30),0),IF(AH650&gt;0,AG650*(1+AH650/30),0),IF(AJ650&gt;0,AI650*(1+AJ650/30),0)),0)</x:f>
        <x:v>0</x:v>
      </x:c>
      <x:c r="AS650" s="315" t="str">
        <x:f>IF(AN650&lt;&gt;"Yes","Not logged",IF(AL650&gt;='Setup'!$B$14,"STOP / MODIFY",IF(Z650=0,"Complete",IF(OR(AO650=0,AK650=""),"Add set data + RIR",IF(AND(MAX(AB650,AD650,AF650,AH650,AJ650)&gt;=P650,AK650&gt;=Q650+1),"Progress",IF(OR(MAX(AB650,AD650,AF650,AH650,AJ650)&lt;O650,AK650&lt;Q650-1),"Regress","Hold"))))))</x:f>
        <x:v>Not logged</x:v>
      </x:c>
      <x:c r="AT650" s="335" t="n">
        <x:f>IF(OR(Z650=0,AN650&lt;&gt;"Yes",AO650=0,AK650=""),0,IF(AL650&gt;='Setup'!$B$14,-2*'Setup'!$B$11,IF(AND(MAX(AB650,AD650,AF650,AH650,AJ650)&gt;=P650,AK650&gt;=Q650+1),'Setup'!$B$10,IF(OR(MAX(AB650,AD650,AF650,AH650,AJ650)&lt;O650,AK650&lt;Q650-1),-'Setup'!$B$11,0))))</x:f>
        <x:v>0</x:v>
      </x:c>
      <x:c r="AU650" s="333" t="n">
        <x:f>IF(Z650=0,0,IF(AN650&lt;&gt;"Yes",Z650,IF(COUNT(AA650,AC650,AE650,AG650,AI650)=0,Z650,ROUND((MAX(AA650,AC650,AE650,AG650,AI650)*(1+AT650))/'Setup'!$B$9,0)*'Setup'!$B$9)))</x:f>
        <x:v>0</x:v>
      </x:c>
      <x:c r="AV650" s="336"/>
    </x:row>
    <x:row r="651">
      <x:c r="A651" s="310" t="n">
        <x:f>'Setup'!$B$3+(C651-1)*7+(D651-1)</x:f>
        <x:v>46325</x:v>
      </x:c>
      <x:c r="B651" s="311" t="str">
        <x:v>12|5|1</x:v>
      </x:c>
      <x:c r="C651" s="311" t="n">
        <x:v>12</x:v>
      </x:c>
      <x:c r="D651" s="311" t="n">
        <x:v>5</x:v>
      </x:c>
      <x:c r="E651" s="311" t="str">
        <x:v>Taper + Performance</x:v>
      </x:c>
      <x:c r="F651" s="311" t="str">
        <x:v>Chest + Biceps</x:v>
      </x:c>
      <x:c r="G651" s="311" t="str">
        <x:v>Chest and biceps hypertrophy specialization</x:v>
      </x:c>
      <x:c r="H651" s="311" t="n">
        <x:v>1</x:v>
      </x:c>
      <x:c r="I651" s="311" t="str">
        <x:v>Incline Barbell Bench Press</x:v>
      </x:c>
      <x:c r="J651" s="311" t="str">
        <x:v>Hypertrophy</x:v>
      </x:c>
      <x:c r="K651" s="311" t="str">
        <x:v>Chest</x:v>
      </x:c>
      <x:c r="L651" s="311" t="str">
        <x:v>Straight sets, leave 4 RIR</x:v>
      </x:c>
      <x:c r="M651" s="311" t="str"/>
      <x:c r="N651" s="311" t="n">
        <x:v>3</x:v>
      </x:c>
      <x:c r="O651" s="311" t="n">
        <x:v>6</x:v>
      </x:c>
      <x:c r="P651" s="311" t="n">
        <x:v>10</x:v>
      </x:c>
      <x:c r="Q651" s="311" t="n">
        <x:v>4</x:v>
      </x:c>
      <x:c r="R651" s="311" t="n">
        <x:v>120</x:v>
      </x:c>
      <x:c r="S651" s="311" t="str">
        <x:v>3-0-1</x:v>
      </x:c>
      <x:c r="T651" s="330" t="n">
        <x:v>0.95</x:v>
      </x:c>
      <x:c r="U651" s="330" t="n">
        <x:v>0.64</x:v>
      </x:c>
      <x:c r="V651" s="331" t="str">
        <x:v>load × reps</x:v>
      </x:c>
      <x:c r="W651" s="332" t="str">
        <x:f>'Readiness'!K77</x:f>
      </x:c>
      <x:c r="X651" s="314" t="n">
        <x:f>'Readiness'!L77</x:f>
        <x:v>1</x:v>
      </x:c>
      <x:c r="Y651" s="315" t="n">
        <x:f>IF(J651="Mobility",N651,MAX(1,ROUND(N651*X651,0)))</x:f>
        <x:v>3</x:v>
      </x:c>
      <x:c r="Z651" s="333" t="n">
        <x:f>ROUND((IF(AU595&gt;0,AU595,IF(Z595&gt;0,Z595,'Setup'!$D$49))*T651)/'Setup'!$B$9,0)*'Setup'!$B$9</x:f>
        <x:v>0</x:v>
      </x:c>
      <x:c r="AA651" s="334"/>
      <x:c r="AB651" s="334"/>
      <x:c r="AC651" s="334"/>
      <x:c r="AD651" s="334"/>
      <x:c r="AE651" s="334"/>
      <x:c r="AF651" s="334"/>
      <x:c r="AG651" s="334"/>
      <x:c r="AH651" s="334"/>
      <x:c r="AI651" s="334"/>
      <x:c r="AJ651" s="312"/>
      <x:c r="AK651" s="312"/>
      <x:c r="AL651" s="312"/>
      <x:c r="AM651" s="312"/>
      <x:c r="AN651" s="312"/>
      <x:c r="AO651" s="315" t="n">
        <x:f>COUNT(AB651,AD651,AF651,AH651,AJ651)</x:f>
        <x:v>0</x:v>
      </x:c>
      <x:c r="AP651" s="315" t="n">
        <x:f>SUM(AB651,AD651,AF651,AH651,AJ651)</x:f>
        <x:v>0</x:v>
      </x:c>
      <x:c r="AQ651" s="333" t="n">
        <x:f>AA651*AB651+AC651*AD651+AE651*AF651+AG651*AH651+AI651*AJ651</x:f>
        <x:v>0</x:v>
      </x:c>
      <x:c r="AR651" s="333" t="n">
        <x:f>IF(OR(J651="Strength",J651="Hypertrophy"),MAX(IF(AB651&gt;0,AA651*(1+AB651/30),0),IF(AD651&gt;0,AC651*(1+AD651/30),0),IF(AF651&gt;0,AE651*(1+AF651/30),0),IF(AH651&gt;0,AG651*(1+AH651/30),0),IF(AJ651&gt;0,AI651*(1+AJ651/30),0)),0)</x:f>
        <x:v>0</x:v>
      </x:c>
      <x:c r="AS651" s="315" t="str">
        <x:f>IF(AN651&lt;&gt;"Yes","Not logged",IF(AL651&gt;='Setup'!$B$14,"STOP / MODIFY",IF(Z651=0,"Complete",IF(OR(AO651=0,AK651=""),"Add set data + RIR",IF(AND(MAX(AB651,AD651,AF651,AH651,AJ651)&gt;=P651,AK651&gt;=Q651+1),"Progress",IF(OR(MAX(AB651,AD651,AF651,AH651,AJ651)&lt;O651,AK651&lt;Q651-1),"Regress","Hold"))))))</x:f>
        <x:v>Not logged</x:v>
      </x:c>
      <x:c r="AT651" s="335" t="n">
        <x:f>IF(OR(Z651=0,AN651&lt;&gt;"Yes",AO651=0,AK651=""),0,IF(AL651&gt;='Setup'!$B$14,-2*'Setup'!$B$11,IF(AND(MAX(AB651,AD651,AF651,AH651,AJ651)&gt;=P651,AK651&gt;=Q651+1),'Setup'!$B$10,IF(OR(MAX(AB651,AD651,AF651,AH651,AJ651)&lt;O651,AK651&lt;Q651-1),-'Setup'!$B$11,0))))</x:f>
        <x:v>0</x:v>
      </x:c>
      <x:c r="AU651" s="333" t="n">
        <x:f>IF(Z651=0,0,IF(AN651&lt;&gt;"Yes",Z651,IF(COUNT(AA651,AC651,AE651,AG651,AI651)=0,Z651,ROUND((MAX(AA651,AC651,AE651,AG651,AI651)*(1+AT651))/'Setup'!$B$9,0)*'Setup'!$B$9)))</x:f>
        <x:v>0</x:v>
      </x:c>
      <x:c r="AV651" s="336"/>
    </x:row>
    <x:row r="652">
      <x:c r="A652" s="310" t="n">
        <x:f>'Setup'!$B$3+(C652-1)*7+(D652-1)</x:f>
        <x:v>46325</x:v>
      </x:c>
      <x:c r="B652" s="311" t="str">
        <x:v>12|5|2</x:v>
      </x:c>
      <x:c r="C652" s="311" t="n">
        <x:v>12</x:v>
      </x:c>
      <x:c r="D652" s="311" t="n">
        <x:v>5</x:v>
      </x:c>
      <x:c r="E652" s="311" t="str">
        <x:v>Taper + Performance</x:v>
      </x:c>
      <x:c r="F652" s="311" t="str">
        <x:v>Chest + Biceps</x:v>
      </x:c>
      <x:c r="G652" s="311" t="str">
        <x:v>Chest and biceps hypertrophy specialization</x:v>
      </x:c>
      <x:c r="H652" s="311" t="n">
        <x:v>2</x:v>
      </x:c>
      <x:c r="I652" s="311" t="str">
        <x:v>Incline Dumbbell Bench Press</x:v>
      </x:c>
      <x:c r="J652" s="311" t="str">
        <x:v>Hypertrophy</x:v>
      </x:c>
      <x:c r="K652" s="311" t="str">
        <x:v>Chest</x:v>
      </x:c>
      <x:c r="L652" s="311" t="str">
        <x:v>Straight sets, leave 4 RIR</x:v>
      </x:c>
      <x:c r="M652" s="311" t="str"/>
      <x:c r="N652" s="311" t="n">
        <x:v>2</x:v>
      </x:c>
      <x:c r="O652" s="311" t="n">
        <x:v>8</x:v>
      </x:c>
      <x:c r="P652" s="311" t="n">
        <x:v>12</x:v>
      </x:c>
      <x:c r="Q652" s="311" t="n">
        <x:v>4</x:v>
      </x:c>
      <x:c r="R652" s="311" t="n">
        <x:v>90</x:v>
      </x:c>
      <x:c r="S652" s="311" t="str">
        <x:v>3-0-1</x:v>
      </x:c>
      <x:c r="T652" s="330" t="n">
        <x:v>0.95</x:v>
      </x:c>
      <x:c r="U652" s="330" t="n">
        <x:v>0</x:v>
      </x:c>
      <x:c r="V652" s="331" t="str">
        <x:v>load × reps</x:v>
      </x:c>
      <x:c r="W652" s="332" t="str">
        <x:f>'Readiness'!K77</x:f>
      </x:c>
      <x:c r="X652" s="314" t="n">
        <x:f>'Readiness'!L77</x:f>
        <x:v>1</x:v>
      </x:c>
      <x:c r="Y652" s="315" t="n">
        <x:f>IF(J652="Mobility",N652,MAX(1,ROUND(N652*X652,0)))</x:f>
        <x:v>2</x:v>
      </x:c>
      <x:c r="Z652" s="333" t="n">
        <x:f>ROUND((IF(AU596&gt;0,AU596,IF(Z596&gt;0,Z596,'Setup'!$D$50))*T652)/'Setup'!$B$9,0)*'Setup'!$B$9</x:f>
        <x:v>0</x:v>
      </x:c>
      <x:c r="AA652" s="334"/>
      <x:c r="AB652" s="334"/>
      <x:c r="AC652" s="334"/>
      <x:c r="AD652" s="334"/>
      <x:c r="AE652" s="334"/>
      <x:c r="AF652" s="334"/>
      <x:c r="AG652" s="334"/>
      <x:c r="AH652" s="334"/>
      <x:c r="AI652" s="334"/>
      <x:c r="AJ652" s="312"/>
      <x:c r="AK652" s="312"/>
      <x:c r="AL652" s="312"/>
      <x:c r="AM652" s="312"/>
      <x:c r="AN652" s="312"/>
      <x:c r="AO652" s="315" t="n">
        <x:f>COUNT(AB652,AD652,AF652,AH652,AJ652)</x:f>
        <x:v>0</x:v>
      </x:c>
      <x:c r="AP652" s="315" t="n">
        <x:f>SUM(AB652,AD652,AF652,AH652,AJ652)</x:f>
        <x:v>0</x:v>
      </x:c>
      <x:c r="AQ652" s="333" t="n">
        <x:f>AA652*AB652+AC652*AD652+AE652*AF652+AG652*AH652+AI652*AJ652</x:f>
        <x:v>0</x:v>
      </x:c>
      <x:c r="AR652" s="333" t="n">
        <x:f>IF(OR(J652="Strength",J652="Hypertrophy"),MAX(IF(AB652&gt;0,AA652*(1+AB652/30),0),IF(AD652&gt;0,AC652*(1+AD652/30),0),IF(AF652&gt;0,AE652*(1+AF652/30),0),IF(AH652&gt;0,AG652*(1+AH652/30),0),IF(AJ652&gt;0,AI652*(1+AJ652/30),0)),0)</x:f>
        <x:v>0</x:v>
      </x:c>
      <x:c r="AS652" s="315" t="str">
        <x:f>IF(AN652&lt;&gt;"Yes","Not logged",IF(AL652&gt;='Setup'!$B$14,"STOP / MODIFY",IF(Z652=0,"Complete",IF(OR(AO652=0,AK652=""),"Add set data + RIR",IF(AND(MAX(AB652,AD652,AF652,AH652,AJ652)&gt;=P652,AK652&gt;=Q652+1),"Progress",IF(OR(MAX(AB652,AD652,AF652,AH652,AJ652)&lt;O652,AK652&lt;Q652-1),"Regress","Hold"))))))</x:f>
        <x:v>Not logged</x:v>
      </x:c>
      <x:c r="AT652" s="335" t="n">
        <x:f>IF(OR(Z652=0,AN652&lt;&gt;"Yes",AO652=0,AK652=""),0,IF(AL652&gt;='Setup'!$B$14,-2*'Setup'!$B$11,IF(AND(MAX(AB652,AD652,AF652,AH652,AJ652)&gt;=P652,AK652&gt;=Q652+1),'Setup'!$B$10,IF(OR(MAX(AB652,AD652,AF652,AH652,AJ652)&lt;O652,AK652&lt;Q652-1),-'Setup'!$B$11,0))))</x:f>
        <x:v>0</x:v>
      </x:c>
      <x:c r="AU652" s="333" t="n">
        <x:f>IF(Z652=0,0,IF(AN652&lt;&gt;"Yes",Z652,IF(COUNT(AA652,AC652,AE652,AG652,AI652)=0,Z652,ROUND((MAX(AA652,AC652,AE652,AG652,AI652)*(1+AT652))/'Setup'!$B$9,0)*'Setup'!$B$9)))</x:f>
        <x:v>0</x:v>
      </x:c>
      <x:c r="AV652" s="336"/>
    </x:row>
    <x:row r="653">
      <x:c r="A653" s="310" t="n">
        <x:f>'Setup'!$B$3+(C653-1)*7+(D653-1)</x:f>
        <x:v>46325</x:v>
      </x:c>
      <x:c r="B653" s="311" t="str">
        <x:v>12|5|3</x:v>
      </x:c>
      <x:c r="C653" s="311" t="n">
        <x:v>12</x:v>
      </x:c>
      <x:c r="D653" s="311" t="n">
        <x:v>5</x:v>
      </x:c>
      <x:c r="E653" s="311" t="str">
        <x:v>Taper + Performance</x:v>
      </x:c>
      <x:c r="F653" s="311" t="str">
        <x:v>Chest + Biceps</x:v>
      </x:c>
      <x:c r="G653" s="311" t="str">
        <x:v>Chest and biceps hypertrophy specialization</x:v>
      </x:c>
      <x:c r="H653" s="311" t="n">
        <x:v>3</x:v>
      </x:c>
      <x:c r="I653" s="311" t="str">
        <x:v>Cable Fly</x:v>
      </x:c>
      <x:c r="J653" s="311" t="str">
        <x:v>Hypertrophy</x:v>
      </x:c>
      <x:c r="K653" s="311" t="str">
        <x:v>Chest</x:v>
      </x:c>
      <x:c r="L653" s="311" t="str">
        <x:v>Straight sets, leave 4 RIR</x:v>
      </x:c>
      <x:c r="M653" s="311" t="str"/>
      <x:c r="N653" s="311" t="n">
        <x:v>2</x:v>
      </x:c>
      <x:c r="O653" s="311" t="n">
        <x:v>12</x:v>
      </x:c>
      <x:c r="P653" s="311" t="n">
        <x:v>15</x:v>
      </x:c>
      <x:c r="Q653" s="311" t="n">
        <x:v>4</x:v>
      </x:c>
      <x:c r="R653" s="311" t="n">
        <x:v>60</x:v>
      </x:c>
      <x:c r="S653" s="311" t="str">
        <x:v>2-1-2</x:v>
      </x:c>
      <x:c r="T653" s="330" t="n">
        <x:v>0.95</x:v>
      </x:c>
      <x:c r="U653" s="330" t="n">
        <x:v>0</x:v>
      </x:c>
      <x:c r="V653" s="331" t="str">
        <x:v>load × reps</x:v>
      </x:c>
      <x:c r="W653" s="332" t="str">
        <x:f>'Readiness'!K77</x:f>
      </x:c>
      <x:c r="X653" s="314" t="n">
        <x:f>'Readiness'!L77</x:f>
        <x:v>1</x:v>
      </x:c>
      <x:c r="Y653" s="315" t="n">
        <x:f>IF(J653="Mobility",N653,MAX(1,ROUND(N653*X653,0)))</x:f>
        <x:v>2</x:v>
      </x:c>
      <x:c r="Z653" s="333" t="n">
        <x:f>ROUND((IF(AU597&gt;0,AU597,IF(Z597&gt;0,Z597,'Setup'!$D$31))*T653)/'Setup'!$B$9,0)*'Setup'!$B$9</x:f>
        <x:v>0</x:v>
      </x:c>
      <x:c r="AA653" s="334"/>
      <x:c r="AB653" s="334"/>
      <x:c r="AC653" s="334"/>
      <x:c r="AD653" s="334"/>
      <x:c r="AE653" s="334"/>
      <x:c r="AF653" s="334"/>
      <x:c r="AG653" s="334"/>
      <x:c r="AH653" s="334"/>
      <x:c r="AI653" s="334"/>
      <x:c r="AJ653" s="312"/>
      <x:c r="AK653" s="312"/>
      <x:c r="AL653" s="312"/>
      <x:c r="AM653" s="312"/>
      <x:c r="AN653" s="312"/>
      <x:c r="AO653" s="315" t="n">
        <x:f>COUNT(AB653,AD653,AF653,AH653,AJ653)</x:f>
        <x:v>0</x:v>
      </x:c>
      <x:c r="AP653" s="315" t="n">
        <x:f>SUM(AB653,AD653,AF653,AH653,AJ653)</x:f>
        <x:v>0</x:v>
      </x:c>
      <x:c r="AQ653" s="333" t="n">
        <x:f>AA653*AB653+AC653*AD653+AE653*AF653+AG653*AH653+AI653*AJ653</x:f>
        <x:v>0</x:v>
      </x:c>
      <x:c r="AR653" s="333" t="n">
        <x:f>IF(OR(J653="Strength",J653="Hypertrophy"),MAX(IF(AB653&gt;0,AA653*(1+AB653/30),0),IF(AD653&gt;0,AC653*(1+AD653/30),0),IF(AF653&gt;0,AE653*(1+AF653/30),0),IF(AH653&gt;0,AG653*(1+AH653/30),0),IF(AJ653&gt;0,AI653*(1+AJ653/30),0)),0)</x:f>
        <x:v>0</x:v>
      </x:c>
      <x:c r="AS653" s="315" t="str">
        <x:f>IF(AN653&lt;&gt;"Yes","Not logged",IF(AL653&gt;='Setup'!$B$14,"STOP / MODIFY",IF(Z653=0,"Complete",IF(OR(AO653=0,AK653=""),"Add set data + RIR",IF(AND(MAX(AB653,AD653,AF653,AH653,AJ653)&gt;=P653,AK653&gt;=Q653+1),"Progress",IF(OR(MAX(AB653,AD653,AF653,AH653,AJ653)&lt;O653,AK653&lt;Q653-1),"Regress","Hold"))))))</x:f>
        <x:v>Not logged</x:v>
      </x:c>
      <x:c r="AT653" s="335" t="n">
        <x:f>IF(OR(Z653=0,AN653&lt;&gt;"Yes",AO653=0,AK653=""),0,IF(AL653&gt;='Setup'!$B$14,-2*'Setup'!$B$11,IF(AND(MAX(AB653,AD653,AF653,AH653,AJ653)&gt;=P653,AK653&gt;=Q653+1),'Setup'!$B$10,IF(OR(MAX(AB653,AD653,AF653,AH653,AJ653)&lt;O653,AK653&lt;Q653-1),-'Setup'!$B$11,0))))</x:f>
        <x:v>0</x:v>
      </x:c>
      <x:c r="AU653" s="333" t="n">
        <x:f>IF(Z653=0,0,IF(AN653&lt;&gt;"Yes",Z653,IF(COUNT(AA653,AC653,AE653,AG653,AI653)=0,Z653,ROUND((MAX(AA653,AC653,AE653,AG653,AI653)*(1+AT653))/'Setup'!$B$9,0)*'Setup'!$B$9)))</x:f>
        <x:v>0</x:v>
      </x:c>
      <x:c r="AV653" s="336"/>
    </x:row>
    <x:row r="654">
      <x:c r="A654" s="310" t="n">
        <x:f>'Setup'!$B$3+(C654-1)*7+(D654-1)</x:f>
        <x:v>46325</x:v>
      </x:c>
      <x:c r="B654" s="311" t="str">
        <x:v>12|5|4</x:v>
      </x:c>
      <x:c r="C654" s="311" t="n">
        <x:v>12</x:v>
      </x:c>
      <x:c r="D654" s="311" t="n">
        <x:v>5</x:v>
      </x:c>
      <x:c r="E654" s="311" t="str">
        <x:v>Taper + Performance</x:v>
      </x:c>
      <x:c r="F654" s="311" t="str">
        <x:v>Chest + Biceps</x:v>
      </x:c>
      <x:c r="G654" s="311" t="str">
        <x:v>Chest and biceps hypertrophy specialization</x:v>
      </x:c>
      <x:c r="H654" s="311" t="n">
        <x:v>4</x:v>
      </x:c>
      <x:c r="I654" s="311" t="str">
        <x:v>Half-Kneeling Landmine Press</x:v>
      </x:c>
      <x:c r="J654" s="311" t="str">
        <x:v>Hypertrophy</x:v>
      </x:c>
      <x:c r="K654" s="311" t="str">
        <x:v>Shoulders</x:v>
      </x:c>
      <x:c r="L654" s="311" t="str">
        <x:v>Straight sets, leave 4 RIR</x:v>
      </x:c>
      <x:c r="M654" s="311" t="str"/>
      <x:c r="N654" s="311" t="n">
        <x:v>2</x:v>
      </x:c>
      <x:c r="O654" s="311" t="n">
        <x:v>8</x:v>
      </x:c>
      <x:c r="P654" s="311" t="n">
        <x:v>12</x:v>
      </x:c>
      <x:c r="Q654" s="311" t="n">
        <x:v>4</x:v>
      </x:c>
      <x:c r="R654" s="311" t="n">
        <x:v>75</x:v>
      </x:c>
      <x:c r="S654" s="311" t="str">
        <x:v>2-0-1</x:v>
      </x:c>
      <x:c r="T654" s="330" t="n">
        <x:v>0.95</x:v>
      </x:c>
      <x:c r="U654" s="330" t="n">
        <x:v>0</x:v>
      </x:c>
      <x:c r="V654" s="331" t="str">
        <x:v>load × reps</x:v>
      </x:c>
      <x:c r="W654" s="332" t="str">
        <x:f>'Readiness'!K77</x:f>
      </x:c>
      <x:c r="X654" s="314" t="n">
        <x:f>'Readiness'!L77</x:f>
        <x:v>1</x:v>
      </x:c>
      <x:c r="Y654" s="315" t="n">
        <x:f>IF(J654="Mobility",N654,MAX(1,ROUND(N654*X654,0)))</x:f>
        <x:v>2</x:v>
      </x:c>
      <x:c r="Z654" s="333" t="n">
        <x:f>ROUND((IF(AU598&gt;0,AU598,IF(Z598&gt;0,Z598,'Setup'!$D$47))*T654)/'Setup'!$B$9,0)*'Setup'!$B$9</x:f>
        <x:v>0</x:v>
      </x:c>
      <x:c r="AA654" s="334"/>
      <x:c r="AB654" s="334"/>
      <x:c r="AC654" s="334"/>
      <x:c r="AD654" s="334"/>
      <x:c r="AE654" s="334"/>
      <x:c r="AF654" s="334"/>
      <x:c r="AG654" s="334"/>
      <x:c r="AH654" s="334"/>
      <x:c r="AI654" s="334"/>
      <x:c r="AJ654" s="312"/>
      <x:c r="AK654" s="312"/>
      <x:c r="AL654" s="312"/>
      <x:c r="AM654" s="312"/>
      <x:c r="AN654" s="312"/>
      <x:c r="AO654" s="315" t="n">
        <x:f>COUNT(AB654,AD654,AF654,AH654,AJ654)</x:f>
        <x:v>0</x:v>
      </x:c>
      <x:c r="AP654" s="315" t="n">
        <x:f>SUM(AB654,AD654,AF654,AH654,AJ654)</x:f>
        <x:v>0</x:v>
      </x:c>
      <x:c r="AQ654" s="333" t="n">
        <x:f>AA654*AB654+AC654*AD654+AE654*AF654+AG654*AH654+AI654*AJ654</x:f>
        <x:v>0</x:v>
      </x:c>
      <x:c r="AR654" s="333" t="n">
        <x:f>IF(OR(J654="Strength",J654="Hypertrophy"),MAX(IF(AB654&gt;0,AA654*(1+AB654/30),0),IF(AD654&gt;0,AC654*(1+AD654/30),0),IF(AF654&gt;0,AE654*(1+AF654/30),0),IF(AH654&gt;0,AG654*(1+AH654/30),0),IF(AJ654&gt;0,AI654*(1+AJ654/30),0)),0)</x:f>
        <x:v>0</x:v>
      </x:c>
      <x:c r="AS654" s="315" t="str">
        <x:f>IF(AN654&lt;&gt;"Yes","Not logged",IF(AL654&gt;='Setup'!$B$14,"STOP / MODIFY",IF(Z654=0,"Complete",IF(OR(AO654=0,AK654=""),"Add set data + RIR",IF(AND(MAX(AB654,AD654,AF654,AH654,AJ654)&gt;=P654,AK654&gt;=Q654+1),"Progress",IF(OR(MAX(AB654,AD654,AF654,AH654,AJ654)&lt;O654,AK654&lt;Q654-1),"Regress","Hold"))))))</x:f>
        <x:v>Not logged</x:v>
      </x:c>
      <x:c r="AT654" s="335" t="n">
        <x:f>IF(OR(Z654=0,AN654&lt;&gt;"Yes",AO654=0,AK654=""),0,IF(AL654&gt;='Setup'!$B$14,-2*'Setup'!$B$11,IF(AND(MAX(AB654,AD654,AF654,AH654,AJ654)&gt;=P654,AK654&gt;=Q654+1),'Setup'!$B$10,IF(OR(MAX(AB654,AD654,AF654,AH654,AJ654)&lt;O654,AK654&lt;Q654-1),-'Setup'!$B$11,0))))</x:f>
        <x:v>0</x:v>
      </x:c>
      <x:c r="AU654" s="333" t="n">
        <x:f>IF(Z654=0,0,IF(AN654&lt;&gt;"Yes",Z654,IF(COUNT(AA654,AC654,AE654,AG654,AI654)=0,Z654,ROUND((MAX(AA654,AC654,AE654,AG654,AI654)*(1+AT654))/'Setup'!$B$9,0)*'Setup'!$B$9)))</x:f>
        <x:v>0</x:v>
      </x:c>
      <x:c r="AV654" s="336"/>
    </x:row>
    <x:row r="655">
      <x:c r="A655" s="310" t="n">
        <x:f>'Setup'!$B$3+(C655-1)*7+(D655-1)</x:f>
        <x:v>46325</x:v>
      </x:c>
      <x:c r="B655" s="311" t="str">
        <x:v>12|5|5</x:v>
      </x:c>
      <x:c r="C655" s="311" t="n">
        <x:v>12</x:v>
      </x:c>
      <x:c r="D655" s="311" t="n">
        <x:v>5</x:v>
      </x:c>
      <x:c r="E655" s="311" t="str">
        <x:v>Taper + Performance</x:v>
      </x:c>
      <x:c r="F655" s="311" t="str">
        <x:v>Chest + Biceps</x:v>
      </x:c>
      <x:c r="G655" s="311" t="str">
        <x:v>Chest and biceps hypertrophy specialization</x:v>
      </x:c>
      <x:c r="H655" s="311" t="n">
        <x:v>5</x:v>
      </x:c>
      <x:c r="I655" s="311" t="str">
        <x:v>Cable Lateral Raise</x:v>
      </x:c>
      <x:c r="J655" s="311" t="str">
        <x:v>Hypertrophy</x:v>
      </x:c>
      <x:c r="K655" s="311" t="str">
        <x:v>Shoulders</x:v>
      </x:c>
      <x:c r="L655" s="311" t="str">
        <x:v>Straight sets, leave 4 RIR</x:v>
      </x:c>
      <x:c r="M655" s="311" t="str"/>
      <x:c r="N655" s="311" t="n">
        <x:v>2</x:v>
      </x:c>
      <x:c r="O655" s="311" t="n">
        <x:v>12</x:v>
      </x:c>
      <x:c r="P655" s="311" t="n">
        <x:v>20</x:v>
      </x:c>
      <x:c r="Q655" s="311" t="n">
        <x:v>4</x:v>
      </x:c>
      <x:c r="R655" s="311" t="n">
        <x:v>45</x:v>
      </x:c>
      <x:c r="S655" s="311" t="str">
        <x:v>2-1-2</x:v>
      </x:c>
      <x:c r="T655" s="330" t="n">
        <x:v>0.95</x:v>
      </x:c>
      <x:c r="U655" s="330" t="n">
        <x:v>0</x:v>
      </x:c>
      <x:c r="V655" s="331" t="str">
        <x:v>load × reps</x:v>
      </x:c>
      <x:c r="W655" s="332" t="str">
        <x:f>'Readiness'!K77</x:f>
      </x:c>
      <x:c r="X655" s="314" t="n">
        <x:f>'Readiness'!L77</x:f>
        <x:v>1</x:v>
      </x:c>
      <x:c r="Y655" s="315" t="n">
        <x:f>IF(J655="Mobility",N655,MAX(1,ROUND(N655*X655,0)))</x:f>
        <x:v>2</x:v>
      </x:c>
      <x:c r="Z655" s="333" t="n">
        <x:f>ROUND((IF(AU639&gt;0,AU639,IF(Z639&gt;0,Z639,'Setup'!$D$33))*T655)/'Setup'!$B$9,0)*'Setup'!$B$9</x:f>
        <x:v>0</x:v>
      </x:c>
      <x:c r="AA655" s="334"/>
      <x:c r="AB655" s="334"/>
      <x:c r="AC655" s="334"/>
      <x:c r="AD655" s="334"/>
      <x:c r="AE655" s="334"/>
      <x:c r="AF655" s="334"/>
      <x:c r="AG655" s="334"/>
      <x:c r="AH655" s="334"/>
      <x:c r="AI655" s="334"/>
      <x:c r="AJ655" s="312"/>
      <x:c r="AK655" s="312"/>
      <x:c r="AL655" s="312"/>
      <x:c r="AM655" s="312"/>
      <x:c r="AN655" s="312"/>
      <x:c r="AO655" s="315" t="n">
        <x:f>COUNT(AB655,AD655,AF655,AH655,AJ655)</x:f>
        <x:v>0</x:v>
      </x:c>
      <x:c r="AP655" s="315" t="n">
        <x:f>SUM(AB655,AD655,AF655,AH655,AJ655)</x:f>
        <x:v>0</x:v>
      </x:c>
      <x:c r="AQ655" s="333" t="n">
        <x:f>AA655*AB655+AC655*AD655+AE655*AF655+AG655*AH655+AI655*AJ655</x:f>
        <x:v>0</x:v>
      </x:c>
      <x:c r="AR655" s="333" t="n">
        <x:f>IF(OR(J655="Strength",J655="Hypertrophy"),MAX(IF(AB655&gt;0,AA655*(1+AB655/30),0),IF(AD655&gt;0,AC655*(1+AD655/30),0),IF(AF655&gt;0,AE655*(1+AF655/30),0),IF(AH655&gt;0,AG655*(1+AH655/30),0),IF(AJ655&gt;0,AI655*(1+AJ655/30),0)),0)</x:f>
        <x:v>0</x:v>
      </x:c>
      <x:c r="AS655" s="315" t="str">
        <x:f>IF(AN655&lt;&gt;"Yes","Not logged",IF(AL655&gt;='Setup'!$B$14,"STOP / MODIFY",IF(Z655=0,"Complete",IF(OR(AO655=0,AK655=""),"Add set data + RIR",IF(AND(MAX(AB655,AD655,AF655,AH655,AJ655)&gt;=P655,AK655&gt;=Q655+1),"Progress",IF(OR(MAX(AB655,AD655,AF655,AH655,AJ655)&lt;O655,AK655&lt;Q655-1),"Regress","Hold"))))))</x:f>
        <x:v>Not logged</x:v>
      </x:c>
      <x:c r="AT655" s="335" t="n">
        <x:f>IF(OR(Z655=0,AN655&lt;&gt;"Yes",AO655=0,AK655=""),0,IF(AL655&gt;='Setup'!$B$14,-2*'Setup'!$B$11,IF(AND(MAX(AB655,AD655,AF655,AH655,AJ655)&gt;=P655,AK655&gt;=Q655+1),'Setup'!$B$10,IF(OR(MAX(AB655,AD655,AF655,AH655,AJ655)&lt;O655,AK655&lt;Q655-1),-'Setup'!$B$11,0))))</x:f>
        <x:v>0</x:v>
      </x:c>
      <x:c r="AU655" s="333" t="n">
        <x:f>IF(Z655=0,0,IF(AN655&lt;&gt;"Yes",Z655,IF(COUNT(AA655,AC655,AE655,AG655,AI655)=0,Z655,ROUND((MAX(AA655,AC655,AE655,AG655,AI655)*(1+AT655))/'Setup'!$B$9,0)*'Setup'!$B$9)))</x:f>
        <x:v>0</x:v>
      </x:c>
      <x:c r="AV655" s="336"/>
    </x:row>
    <x:row r="656">
      <x:c r="A656" s="310" t="n">
        <x:f>'Setup'!$B$3+(C656-1)*7+(D656-1)</x:f>
        <x:v>46325</x:v>
      </x:c>
      <x:c r="B656" s="311" t="str">
        <x:v>12|5|6</x:v>
      </x:c>
      <x:c r="C656" s="311" t="n">
        <x:v>12</x:v>
      </x:c>
      <x:c r="D656" s="311" t="n">
        <x:v>5</x:v>
      </x:c>
      <x:c r="E656" s="311" t="str">
        <x:v>Taper + Performance</x:v>
      </x:c>
      <x:c r="F656" s="311" t="str">
        <x:v>Chest + Biceps</x:v>
      </x:c>
      <x:c r="G656" s="311" t="str">
        <x:v>Chest and biceps hypertrophy specialization</x:v>
      </x:c>
      <x:c r="H656" s="311" t="n">
        <x:v>6</x:v>
      </x:c>
      <x:c r="I656" s="311" t="str">
        <x:v>EZ-Bar Curl</x:v>
      </x:c>
      <x:c r="J656" s="311" t="str">
        <x:v>Hypertrophy</x:v>
      </x:c>
      <x:c r="K656" s="311" t="str">
        <x:v>Biceps</x:v>
      </x:c>
      <x:c r="L656" s="311" t="str">
        <x:v>Straight sets, leave 4 RIR</x:v>
      </x:c>
      <x:c r="M656" s="311" t="str"/>
      <x:c r="N656" s="311" t="n">
        <x:v>2</x:v>
      </x:c>
      <x:c r="O656" s="311" t="n">
        <x:v>8</x:v>
      </x:c>
      <x:c r="P656" s="311" t="n">
        <x:v>12</x:v>
      </x:c>
      <x:c r="Q656" s="311" t="n">
        <x:v>4</x:v>
      </x:c>
      <x:c r="R656" s="311" t="n">
        <x:v>60</x:v>
      </x:c>
      <x:c r="S656" s="311" t="str">
        <x:v>3-0-1</x:v>
      </x:c>
      <x:c r="T656" s="330" t="n">
        <x:v>0.95</x:v>
      </x:c>
      <x:c r="U656" s="330" t="n">
        <x:v>0</x:v>
      </x:c>
      <x:c r="V656" s="331" t="str">
        <x:v>load × reps</x:v>
      </x:c>
      <x:c r="W656" s="332" t="str">
        <x:f>'Readiness'!K77</x:f>
      </x:c>
      <x:c r="X656" s="314" t="n">
        <x:f>'Readiness'!L77</x:f>
        <x:v>1</x:v>
      </x:c>
      <x:c r="Y656" s="315" t="n">
        <x:f>IF(J656="Mobility",N656,MAX(1,ROUND(N656*X656,0)))</x:f>
        <x:v>2</x:v>
      </x:c>
      <x:c r="Z656" s="333" t="n">
        <x:f>ROUND((IF(AU600&gt;0,AU600,IF(Z600&gt;0,Z600,'Setup'!$D$40))*T656)/'Setup'!$B$9,0)*'Setup'!$B$9</x:f>
        <x:v>0</x:v>
      </x:c>
      <x:c r="AA656" s="334"/>
      <x:c r="AB656" s="334"/>
      <x:c r="AC656" s="334"/>
      <x:c r="AD656" s="334"/>
      <x:c r="AE656" s="334"/>
      <x:c r="AF656" s="334"/>
      <x:c r="AG656" s="334"/>
      <x:c r="AH656" s="334"/>
      <x:c r="AI656" s="334"/>
      <x:c r="AJ656" s="312"/>
      <x:c r="AK656" s="312"/>
      <x:c r="AL656" s="312"/>
      <x:c r="AM656" s="312"/>
      <x:c r="AN656" s="312"/>
      <x:c r="AO656" s="315" t="n">
        <x:f>COUNT(AB656,AD656,AF656,AH656,AJ656)</x:f>
        <x:v>0</x:v>
      </x:c>
      <x:c r="AP656" s="315" t="n">
        <x:f>SUM(AB656,AD656,AF656,AH656,AJ656)</x:f>
        <x:v>0</x:v>
      </x:c>
      <x:c r="AQ656" s="333" t="n">
        <x:f>AA656*AB656+AC656*AD656+AE656*AF656+AG656*AH656+AI656*AJ656</x:f>
        <x:v>0</x:v>
      </x:c>
      <x:c r="AR656" s="333" t="n">
        <x:f>IF(OR(J656="Strength",J656="Hypertrophy"),MAX(IF(AB656&gt;0,AA656*(1+AB656/30),0),IF(AD656&gt;0,AC656*(1+AD656/30),0),IF(AF656&gt;0,AE656*(1+AF656/30),0),IF(AH656&gt;0,AG656*(1+AH656/30),0),IF(AJ656&gt;0,AI656*(1+AJ656/30),0)),0)</x:f>
        <x:v>0</x:v>
      </x:c>
      <x:c r="AS656" s="315" t="str">
        <x:f>IF(AN656&lt;&gt;"Yes","Not logged",IF(AL656&gt;='Setup'!$B$14,"STOP / MODIFY",IF(Z656=0,"Complete",IF(OR(AO656=0,AK656=""),"Add set data + RIR",IF(AND(MAX(AB656,AD656,AF656,AH656,AJ656)&gt;=P656,AK656&gt;=Q656+1),"Progress",IF(OR(MAX(AB656,AD656,AF656,AH656,AJ656)&lt;O656,AK656&lt;Q656-1),"Regress","Hold"))))))</x:f>
        <x:v>Not logged</x:v>
      </x:c>
      <x:c r="AT656" s="335" t="n">
        <x:f>IF(OR(Z656=0,AN656&lt;&gt;"Yes",AO656=0,AK656=""),0,IF(AL656&gt;='Setup'!$B$14,-2*'Setup'!$B$11,IF(AND(MAX(AB656,AD656,AF656,AH656,AJ656)&gt;=P656,AK656&gt;=Q656+1),'Setup'!$B$10,IF(OR(MAX(AB656,AD656,AF656,AH656,AJ656)&lt;O656,AK656&lt;Q656-1),-'Setup'!$B$11,0))))</x:f>
        <x:v>0</x:v>
      </x:c>
      <x:c r="AU656" s="333" t="n">
        <x:f>IF(Z656=0,0,IF(AN656&lt;&gt;"Yes",Z656,IF(COUNT(AA656,AC656,AE656,AG656,AI656)=0,Z656,ROUND((MAX(AA656,AC656,AE656,AG656,AI656)*(1+AT656))/'Setup'!$B$9,0)*'Setup'!$B$9)))</x:f>
        <x:v>0</x:v>
      </x:c>
      <x:c r="AV656" s="336"/>
    </x:row>
    <x:row r="657">
      <x:c r="A657" s="310" t="n">
        <x:f>'Setup'!$B$3+(C657-1)*7+(D657-1)</x:f>
        <x:v>46325</x:v>
      </x:c>
      <x:c r="B657" s="311" t="str">
        <x:v>12|5|7</x:v>
      </x:c>
      <x:c r="C657" s="311" t="n">
        <x:v>12</x:v>
      </x:c>
      <x:c r="D657" s="311" t="n">
        <x:v>5</x:v>
      </x:c>
      <x:c r="E657" s="311" t="str">
        <x:v>Taper + Performance</x:v>
      </x:c>
      <x:c r="F657" s="311" t="str">
        <x:v>Chest + Biceps</x:v>
      </x:c>
      <x:c r="G657" s="311" t="str">
        <x:v>Chest and biceps hypertrophy specialization</x:v>
      </x:c>
      <x:c r="H657" s="311" t="n">
        <x:v>7</x:v>
      </x:c>
      <x:c r="I657" s="311" t="str">
        <x:v>Incline Dumbbell Curl</x:v>
      </x:c>
      <x:c r="J657" s="311" t="str">
        <x:v>Hypertrophy</x:v>
      </x:c>
      <x:c r="K657" s="311" t="str">
        <x:v>Biceps</x:v>
      </x:c>
      <x:c r="L657" s="311" t="str">
        <x:v>Straight sets, leave 4 RIR</x:v>
      </x:c>
      <x:c r="M657" s="311" t="str">
        <x:v>A1</x:v>
      </x:c>
      <x:c r="N657" s="311" t="n">
        <x:v>2</x:v>
      </x:c>
      <x:c r="O657" s="311" t="n">
        <x:v>10</x:v>
      </x:c>
      <x:c r="P657" s="311" t="n">
        <x:v>15</x:v>
      </x:c>
      <x:c r="Q657" s="311" t="n">
        <x:v>4</x:v>
      </x:c>
      <x:c r="R657" s="311" t="n">
        <x:v>30</x:v>
      </x:c>
      <x:c r="S657" s="311" t="str">
        <x:v>3-1-1</x:v>
      </x:c>
      <x:c r="T657" s="330" t="n">
        <x:v>0.95</x:v>
      </x:c>
      <x:c r="U657" s="330" t="n">
        <x:v>0</x:v>
      </x:c>
      <x:c r="V657" s="331" t="str">
        <x:v>load × reps</x:v>
      </x:c>
      <x:c r="W657" s="332" t="str">
        <x:f>'Readiness'!K77</x:f>
      </x:c>
      <x:c r="X657" s="314" t="n">
        <x:f>'Readiness'!L77</x:f>
        <x:v>1</x:v>
      </x:c>
      <x:c r="Y657" s="315" t="n">
        <x:f>IF(J657="Mobility",N657,MAX(1,ROUND(N657*X657,0)))</x:f>
        <x:v>2</x:v>
      </x:c>
      <x:c r="Z657" s="333" t="n">
        <x:f>ROUND((IF(AU601&gt;0,AU601,IF(Z601&gt;0,Z601,'Setup'!$D$51))*T657)/'Setup'!$B$9,0)*'Setup'!$B$9</x:f>
        <x:v>0</x:v>
      </x:c>
      <x:c r="AA657" s="334"/>
      <x:c r="AB657" s="334"/>
      <x:c r="AC657" s="334"/>
      <x:c r="AD657" s="334"/>
      <x:c r="AE657" s="334"/>
      <x:c r="AF657" s="334"/>
      <x:c r="AG657" s="334"/>
      <x:c r="AH657" s="334"/>
      <x:c r="AI657" s="334"/>
      <x:c r="AJ657" s="312"/>
      <x:c r="AK657" s="312"/>
      <x:c r="AL657" s="312"/>
      <x:c r="AM657" s="312"/>
      <x:c r="AN657" s="312"/>
      <x:c r="AO657" s="315" t="n">
        <x:f>COUNT(AB657,AD657,AF657,AH657,AJ657)</x:f>
        <x:v>0</x:v>
      </x:c>
      <x:c r="AP657" s="315" t="n">
        <x:f>SUM(AB657,AD657,AF657,AH657,AJ657)</x:f>
        <x:v>0</x:v>
      </x:c>
      <x:c r="AQ657" s="333" t="n">
        <x:f>AA657*AB657+AC657*AD657+AE657*AF657+AG657*AH657+AI657*AJ657</x:f>
        <x:v>0</x:v>
      </x:c>
      <x:c r="AR657" s="333" t="n">
        <x:f>IF(OR(J657="Strength",J657="Hypertrophy"),MAX(IF(AB657&gt;0,AA657*(1+AB657/30),0),IF(AD657&gt;0,AC657*(1+AD657/30),0),IF(AF657&gt;0,AE657*(1+AF657/30),0),IF(AH657&gt;0,AG657*(1+AH657/30),0),IF(AJ657&gt;0,AI657*(1+AJ657/30),0)),0)</x:f>
        <x:v>0</x:v>
      </x:c>
      <x:c r="AS657" s="315" t="str">
        <x:f>IF(AN657&lt;&gt;"Yes","Not logged",IF(AL657&gt;='Setup'!$B$14,"STOP / MODIFY",IF(Z657=0,"Complete",IF(OR(AO657=0,AK657=""),"Add set data + RIR",IF(AND(MAX(AB657,AD657,AF657,AH657,AJ657)&gt;=P657,AK657&gt;=Q657+1),"Progress",IF(OR(MAX(AB657,AD657,AF657,AH657,AJ657)&lt;O657,AK657&lt;Q657-1),"Regress","Hold"))))))</x:f>
        <x:v>Not logged</x:v>
      </x:c>
      <x:c r="AT657" s="335" t="n">
        <x:f>IF(OR(Z657=0,AN657&lt;&gt;"Yes",AO657=0,AK657=""),0,IF(AL657&gt;='Setup'!$B$14,-2*'Setup'!$B$11,IF(AND(MAX(AB657,AD657,AF657,AH657,AJ657)&gt;=P657,AK657&gt;=Q657+1),'Setup'!$B$10,IF(OR(MAX(AB657,AD657,AF657,AH657,AJ657)&lt;O657,AK657&lt;Q657-1),-'Setup'!$B$11,0))))</x:f>
        <x:v>0</x:v>
      </x:c>
      <x:c r="AU657" s="333" t="n">
        <x:f>IF(Z657=0,0,IF(AN657&lt;&gt;"Yes",Z657,IF(COUNT(AA657,AC657,AE657,AG657,AI657)=0,Z657,ROUND((MAX(AA657,AC657,AE657,AG657,AI657)*(1+AT657))/'Setup'!$B$9,0)*'Setup'!$B$9)))</x:f>
        <x:v>0</x:v>
      </x:c>
      <x:c r="AV657" s="336"/>
    </x:row>
    <x:row r="658">
      <x:c r="A658" s="310" t="n">
        <x:f>'Setup'!$B$3+(C658-1)*7+(D658-1)</x:f>
        <x:v>46325</x:v>
      </x:c>
      <x:c r="B658" s="311" t="str">
        <x:v>12|5|8</x:v>
      </x:c>
      <x:c r="C658" s="311" t="n">
        <x:v>12</x:v>
      </x:c>
      <x:c r="D658" s="311" t="n">
        <x:v>5</x:v>
      </x:c>
      <x:c r="E658" s="311" t="str">
        <x:v>Taper + Performance</x:v>
      </x:c>
      <x:c r="F658" s="311" t="str">
        <x:v>Chest + Biceps</x:v>
      </x:c>
      <x:c r="G658" s="311" t="str">
        <x:v>Chest and biceps hypertrophy specialization</x:v>
      </x:c>
      <x:c r="H658" s="311" t="n">
        <x:v>8</x:v>
      </x:c>
      <x:c r="I658" s="311" t="str">
        <x:v>Hammer Curl</x:v>
      </x:c>
      <x:c r="J658" s="311" t="str">
        <x:v>Hypertrophy</x:v>
      </x:c>
      <x:c r="K658" s="311" t="str">
        <x:v>Biceps</x:v>
      </x:c>
      <x:c r="L658" s="311" t="str">
        <x:v>Straight sets, leave 4 RIR</x:v>
      </x:c>
      <x:c r="M658" s="311" t="str">
        <x:v>A2</x:v>
      </x:c>
      <x:c r="N658" s="311" t="n">
        <x:v>2</x:v>
      </x:c>
      <x:c r="O658" s="311" t="n">
        <x:v>10</x:v>
      </x:c>
      <x:c r="P658" s="311" t="n">
        <x:v>15</x:v>
      </x:c>
      <x:c r="Q658" s="311" t="n">
        <x:v>4</x:v>
      </x:c>
      <x:c r="R658" s="311" t="n">
        <x:v>30</x:v>
      </x:c>
      <x:c r="S658" s="311" t="str">
        <x:v>2-0-1</x:v>
      </x:c>
      <x:c r="T658" s="330" t="n">
        <x:v>0.95</x:v>
      </x:c>
      <x:c r="U658" s="330" t="n">
        <x:v>0</x:v>
      </x:c>
      <x:c r="V658" s="331" t="str">
        <x:v>load × reps</x:v>
      </x:c>
      <x:c r="W658" s="332" t="str">
        <x:f>'Readiness'!K77</x:f>
      </x:c>
      <x:c r="X658" s="314" t="n">
        <x:f>'Readiness'!L77</x:f>
        <x:v>1</x:v>
      </x:c>
      <x:c r="Y658" s="315" t="n">
        <x:f>IF(J658="Mobility",N658,MAX(1,ROUND(N658*X658,0)))</x:f>
        <x:v>2</x:v>
      </x:c>
      <x:c r="Z658" s="333" t="n">
        <x:f>ROUND((IF(AU602&gt;0,AU602,IF(Z602&gt;0,Z602,'Setup'!$D$48))*T658)/'Setup'!$B$9,0)*'Setup'!$B$9</x:f>
        <x:v>0</x:v>
      </x:c>
      <x:c r="AA658" s="334"/>
      <x:c r="AB658" s="334"/>
      <x:c r="AC658" s="334"/>
      <x:c r="AD658" s="334"/>
      <x:c r="AE658" s="334"/>
      <x:c r="AF658" s="334"/>
      <x:c r="AG658" s="334"/>
      <x:c r="AH658" s="334"/>
      <x:c r="AI658" s="334"/>
      <x:c r="AJ658" s="312"/>
      <x:c r="AK658" s="312"/>
      <x:c r="AL658" s="312"/>
      <x:c r="AM658" s="312"/>
      <x:c r="AN658" s="312"/>
      <x:c r="AO658" s="315" t="n">
        <x:f>COUNT(AB658,AD658,AF658,AH658,AJ658)</x:f>
        <x:v>0</x:v>
      </x:c>
      <x:c r="AP658" s="315" t="n">
        <x:f>SUM(AB658,AD658,AF658,AH658,AJ658)</x:f>
        <x:v>0</x:v>
      </x:c>
      <x:c r="AQ658" s="333" t="n">
        <x:f>AA658*AB658+AC658*AD658+AE658*AF658+AG658*AH658+AI658*AJ658</x:f>
        <x:v>0</x:v>
      </x:c>
      <x:c r="AR658" s="333" t="n">
        <x:f>IF(OR(J658="Strength",J658="Hypertrophy"),MAX(IF(AB658&gt;0,AA658*(1+AB658/30),0),IF(AD658&gt;0,AC658*(1+AD658/30),0),IF(AF658&gt;0,AE658*(1+AF658/30),0),IF(AH658&gt;0,AG658*(1+AH658/30),0),IF(AJ658&gt;0,AI658*(1+AJ658/30),0)),0)</x:f>
        <x:v>0</x:v>
      </x:c>
      <x:c r="AS658" s="315" t="str">
        <x:f>IF(AN658&lt;&gt;"Yes","Not logged",IF(AL658&gt;='Setup'!$B$14,"STOP / MODIFY",IF(Z658=0,"Complete",IF(OR(AO658=0,AK658=""),"Add set data + RIR",IF(AND(MAX(AB658,AD658,AF658,AH658,AJ658)&gt;=P658,AK658&gt;=Q658+1),"Progress",IF(OR(MAX(AB658,AD658,AF658,AH658,AJ658)&lt;O658,AK658&lt;Q658-1),"Regress","Hold"))))))</x:f>
        <x:v>Not logged</x:v>
      </x:c>
      <x:c r="AT658" s="335" t="n">
        <x:f>IF(OR(Z658=0,AN658&lt;&gt;"Yes",AO658=0,AK658=""),0,IF(AL658&gt;='Setup'!$B$14,-2*'Setup'!$B$11,IF(AND(MAX(AB658,AD658,AF658,AH658,AJ658)&gt;=P658,AK658&gt;=Q658+1),'Setup'!$B$10,IF(OR(MAX(AB658,AD658,AF658,AH658,AJ658)&lt;O658,AK658&lt;Q658-1),-'Setup'!$B$11,0))))</x:f>
        <x:v>0</x:v>
      </x:c>
      <x:c r="AU658" s="333" t="n">
        <x:f>IF(Z658=0,0,IF(AN658&lt;&gt;"Yes",Z658,IF(COUNT(AA658,AC658,AE658,AG658,AI658)=0,Z658,ROUND((MAX(AA658,AC658,AE658,AG658,AI658)*(1+AT658))/'Setup'!$B$9,0)*'Setup'!$B$9)))</x:f>
        <x:v>0</x:v>
      </x:c>
      <x:c r="AV658" s="336"/>
    </x:row>
    <x:row r="659">
      <x:c r="A659" s="310" t="n">
        <x:f>'Setup'!$B$3+(C659-1)*7+(D659-1)</x:f>
        <x:v>46325</x:v>
      </x:c>
      <x:c r="B659" s="311" t="str">
        <x:v>12|5|9</x:v>
      </x:c>
      <x:c r="C659" s="311" t="n">
        <x:v>12</x:v>
      </x:c>
      <x:c r="D659" s="311" t="n">
        <x:v>5</x:v>
      </x:c>
      <x:c r="E659" s="311" t="str">
        <x:v>Taper + Performance</x:v>
      </x:c>
      <x:c r="F659" s="311" t="str">
        <x:v>Chest + Biceps</x:v>
      </x:c>
      <x:c r="G659" s="311" t="str">
        <x:v>Chest and biceps hypertrophy specialization</x:v>
      </x:c>
      <x:c r="H659" s="311" t="n">
        <x:v>9</x:v>
      </x:c>
      <x:c r="I659" s="311" t="str">
        <x:v>Doorway Pec Stretch</x:v>
      </x:c>
      <x:c r="J659" s="311" t="str">
        <x:v>Mobility</x:v>
      </x:c>
      <x:c r="K659" s="311" t="str">
        <x:v>Chest</x:v>
      </x:c>
      <x:c r="L659" s="311" t="str">
        <x:v>Straight sets, leave 4 RIR</x:v>
      </x:c>
      <x:c r="M659" s="311" t="str"/>
      <x:c r="N659" s="311" t="n">
        <x:v>2</x:v>
      </x:c>
      <x:c r="O659" s="311" t="n">
        <x:v>30</x:v>
      </x:c>
      <x:c r="P659" s="311" t="n">
        <x:v>45</x:v>
      </x:c>
      <x:c r="Q659" s="311" t="str"/>
      <x:c r="R659" s="311" t="n">
        <x:v>20</x:v>
      </x:c>
      <x:c r="S659" s="311" t="str">
        <x:v>Hold</x:v>
      </x:c>
      <x:c r="T659" s="330" t="n">
        <x:v>0.95</x:v>
      </x:c>
      <x:c r="U659" s="330" t="n">
        <x:v>0</x:v>
      </x:c>
      <x:c r="V659" s="331" t="str">
        <x:v>seconds</x:v>
      </x:c>
      <x:c r="W659" s="332" t="str">
        <x:f>'Readiness'!K77</x:f>
      </x:c>
      <x:c r="X659" s="314" t="n">
        <x:f>'Readiness'!L77</x:f>
        <x:v>1</x:v>
      </x:c>
      <x:c r="Y659" s="315" t="n">
        <x:f>IF(J659="Mobility",N659,MAX(1,ROUND(N659*X659,0)))</x:f>
        <x:v>2</x:v>
      </x:c>
      <x:c r="Z659" s="333" t="n">
        <x:f>0</x:f>
        <x:v>0</x:v>
      </x:c>
      <x:c r="AA659" s="334"/>
      <x:c r="AB659" s="334"/>
      <x:c r="AC659" s="334"/>
      <x:c r="AD659" s="334"/>
      <x:c r="AE659" s="334"/>
      <x:c r="AF659" s="334"/>
      <x:c r="AG659" s="334"/>
      <x:c r="AH659" s="334"/>
      <x:c r="AI659" s="334"/>
      <x:c r="AJ659" s="312"/>
      <x:c r="AK659" s="312"/>
      <x:c r="AL659" s="312"/>
      <x:c r="AM659" s="312"/>
      <x:c r="AN659" s="312"/>
      <x:c r="AO659" s="315" t="n">
        <x:f>COUNT(AB659,AD659,AF659,AH659,AJ659)</x:f>
        <x:v>0</x:v>
      </x:c>
      <x:c r="AP659" s="315" t="n">
        <x:f>SUM(AB659,AD659,AF659,AH659,AJ659)</x:f>
        <x:v>0</x:v>
      </x:c>
      <x:c r="AQ659" s="333" t="n">
        <x:f>AA659*AB659+AC659*AD659+AE659*AF659+AG659*AH659+AI659*AJ659</x:f>
        <x:v>0</x:v>
      </x:c>
      <x:c r="AR659" s="333" t="n">
        <x:f>IF(OR(J659="Strength",J659="Hypertrophy"),MAX(IF(AB659&gt;0,AA659*(1+AB659/30),0),IF(AD659&gt;0,AC659*(1+AD659/30),0),IF(AF659&gt;0,AE659*(1+AF659/30),0),IF(AH659&gt;0,AG659*(1+AH659/30),0),IF(AJ659&gt;0,AI659*(1+AJ659/30),0)),0)</x:f>
        <x:v>0</x:v>
      </x:c>
      <x:c r="AS659" s="315" t="str">
        <x:f>IF(AN659&lt;&gt;"Yes","Not logged",IF(AL659&gt;='Setup'!$B$14,"STOP / MODIFY",IF(Z659=0,"Complete",IF(OR(AO659=0,AK659=""),"Add set data + RIR",IF(AND(MAX(AB659,AD659,AF659,AH659,AJ659)&gt;=P659,AK659&gt;=Q659+1),"Progress",IF(OR(MAX(AB659,AD659,AF659,AH659,AJ659)&lt;O659,AK659&lt;Q659-1),"Regress","Hold"))))))</x:f>
        <x:v>Not logged</x:v>
      </x:c>
      <x:c r="AT659" s="335" t="n">
        <x:f>IF(OR(Z659=0,AN659&lt;&gt;"Yes",AO659=0,AK659=""),0,IF(AL659&gt;='Setup'!$B$14,-2*'Setup'!$B$11,IF(AND(MAX(AB659,AD659,AF659,AH659,AJ659)&gt;=P659,AK659&gt;=Q659+1),'Setup'!$B$10,IF(OR(MAX(AB659,AD659,AF659,AH659,AJ659)&lt;O659,AK659&lt;Q659-1),-'Setup'!$B$11,0))))</x:f>
        <x:v>0</x:v>
      </x:c>
      <x:c r="AU659" s="333" t="n">
        <x:f>IF(Z659=0,0,IF(AN659&lt;&gt;"Yes",Z659,IF(COUNT(AA659,AC659,AE659,AG659,AI659)=0,Z659,ROUND((MAX(AA659,AC659,AE659,AG659,AI659)*(1+AT659))/'Setup'!$B$9,0)*'Setup'!$B$9)))</x:f>
        <x:v>0</x:v>
      </x:c>
      <x:c r="AV659" s="336"/>
    </x:row>
    <x:row r="660">
      <x:c r="A660" s="310" t="n">
        <x:f>'Setup'!$B$3+(C660-1)*7+(D660-1)</x:f>
        <x:v>46326</x:v>
      </x:c>
      <x:c r="B660" s="311" t="str">
        <x:v>12|6|1</x:v>
      </x:c>
      <x:c r="C660" s="311" t="n">
        <x:v>12</x:v>
      </x:c>
      <x:c r="D660" s="311" t="n">
        <x:v>6</x:v>
      </x:c>
      <x:c r="E660" s="311" t="str">
        <x:v>Taper + Performance</x:v>
      </x:c>
      <x:c r="F660" s="311" t="str">
        <x:v>Athletic Full Body</x:v>
      </x:c>
      <x:c r="G660" s="311" t="str">
        <x:v>Speed, multidirectional power, conditioning</x:v>
      </x:c>
      <x:c r="H660" s="311" t="n">
        <x:v>1</x:v>
      </x:c>
      <x:c r="I660" s="311" t="str">
        <x:v>Acceleration Sprint</x:v>
      </x:c>
      <x:c r="J660" s="311" t="str">
        <x:v>Athletic</x:v>
      </x:c>
      <x:c r="K660" s="311" t="str">
        <x:v>Full Body</x:v>
      </x:c>
      <x:c r="L660" s="311" t="str">
        <x:v>Straight sets, leave 4 RIR</x:v>
      </x:c>
      <x:c r="M660" s="311" t="str"/>
      <x:c r="N660" s="311" t="n">
        <x:v>4</x:v>
      </x:c>
      <x:c r="O660" s="311" t="n">
        <x:v>20</x:v>
      </x:c>
      <x:c r="P660" s="311" t="n">
        <x:v>20</x:v>
      </x:c>
      <x:c r="Q660" s="311" t="n">
        <x:v>4</x:v>
      </x:c>
      <x:c r="R660" s="311" t="n">
        <x:v>90</x:v>
      </x:c>
      <x:c r="S660" s="311" t="str">
        <x:v>Max quality</x:v>
      </x:c>
      <x:c r="T660" s="330" t="n">
        <x:v>0.95</x:v>
      </x:c>
      <x:c r="U660" s="330" t="n">
        <x:v>0</x:v>
      </x:c>
      <x:c r="V660" s="331" t="str">
        <x:v>20 m time</x:v>
      </x:c>
      <x:c r="W660" s="332" t="n">
        <x:f>'Readiness'!K78</x:f>
        <x:v>0</x:v>
      </x:c>
      <x:c r="X660" s="314" t="n">
        <x:f>'Readiness'!L78</x:f>
        <x:v>1</x:v>
      </x:c>
      <x:c r="Y660" s="315" t="n">
        <x:f>IF(J660="Mobility",N660,MAX(1,ROUND(N660*X660,0)))</x:f>
        <x:v>4</x:v>
      </x:c>
      <x:c r="Z660" s="333" t="n">
        <x:f>0</x:f>
        <x:v>0</x:v>
      </x:c>
      <x:c r="AA660" s="334"/>
      <x:c r="AB660" s="334"/>
      <x:c r="AC660" s="334"/>
      <x:c r="AD660" s="334"/>
      <x:c r="AE660" s="334"/>
      <x:c r="AF660" s="334"/>
      <x:c r="AG660" s="334"/>
      <x:c r="AH660" s="334"/>
      <x:c r="AI660" s="334"/>
      <x:c r="AJ660" s="312"/>
      <x:c r="AK660" s="312"/>
      <x:c r="AL660" s="312"/>
      <x:c r="AM660" s="312"/>
      <x:c r="AN660" s="312"/>
      <x:c r="AO660" s="315" t="n">
        <x:f>COUNT(AB660,AD660,AF660,AH660,AJ660)</x:f>
        <x:v>0</x:v>
      </x:c>
      <x:c r="AP660" s="315" t="n">
        <x:f>SUM(AB660,AD660,AF660,AH660,AJ660)</x:f>
        <x:v>0</x:v>
      </x:c>
      <x:c r="AQ660" s="333" t="n">
        <x:f>AA660*AB660+AC660*AD660+AE660*AF660+AG660*AH660+AI660*AJ660</x:f>
        <x:v>0</x:v>
      </x:c>
      <x:c r="AR660" s="333" t="n">
        <x:f>IF(OR(J660="Strength",J660="Hypertrophy"),MAX(IF(AB660&gt;0,AA660*(1+AB660/30),0),IF(AD660&gt;0,AC660*(1+AD660/30),0),IF(AF660&gt;0,AE660*(1+AF660/30),0),IF(AH660&gt;0,AG660*(1+AH660/30),0),IF(AJ660&gt;0,AI660*(1+AJ660/30),0)),0)</x:f>
        <x:v>0</x:v>
      </x:c>
      <x:c r="AS660" s="315" t="str">
        <x:f>IF(AN660&lt;&gt;"Yes","Not logged",IF(AL660&gt;='Setup'!$B$14,"STOP / MODIFY",IF(Z660=0,"Complete",IF(OR(AO660=0,AK660=""),"Add set data + RIR",IF(AND(MAX(AB660,AD660,AF660,AH660,AJ660)&gt;=P660,AK660&gt;=Q660+1),"Progress",IF(OR(MAX(AB660,AD660,AF660,AH660,AJ660)&lt;O660,AK660&lt;Q660-1),"Regress","Hold"))))))</x:f>
        <x:v>Not logged</x:v>
      </x:c>
      <x:c r="AT660" s="335" t="n">
        <x:f>IF(OR(Z660=0,AN660&lt;&gt;"Yes",AO660=0,AK660=""),0,IF(AL660&gt;='Setup'!$B$14,-2*'Setup'!$B$11,IF(AND(MAX(AB660,AD660,AF660,AH660,AJ660)&gt;=P660,AK660&gt;=Q660+1),'Setup'!$B$10,IF(OR(MAX(AB660,AD660,AF660,AH660,AJ660)&lt;O660,AK660&lt;Q660-1),-'Setup'!$B$11,0))))</x:f>
        <x:v>0</x:v>
      </x:c>
      <x:c r="AU660" s="333" t="n">
        <x:f>IF(Z660=0,0,IF(AN660&lt;&gt;"Yes",Z660,IF(COUNT(AA660,AC660,AE660,AG660,AI660)=0,Z660,ROUND((MAX(AA660,AC660,AE660,AG660,AI660)*(1+AT660))/'Setup'!$B$9,0)*'Setup'!$B$9)))</x:f>
        <x:v>0</x:v>
      </x:c>
      <x:c r="AV660" s="336"/>
    </x:row>
    <x:row r="661">
      <x:c r="A661" s="310" t="n">
        <x:f>'Setup'!$B$3+(C661-1)*7+(D661-1)</x:f>
        <x:v>46326</x:v>
      </x:c>
      <x:c r="B661" s="311" t="str">
        <x:v>12|6|2</x:v>
      </x:c>
      <x:c r="C661" s="311" t="n">
        <x:v>12</x:v>
      </x:c>
      <x:c r="D661" s="311" t="n">
        <x:v>6</x:v>
      </x:c>
      <x:c r="E661" s="311" t="str">
        <x:v>Taper + Performance</x:v>
      </x:c>
      <x:c r="F661" s="311" t="str">
        <x:v>Athletic Full Body</x:v>
      </x:c>
      <x:c r="G661" s="311" t="str">
        <x:v>Speed, multidirectional power, conditioning</x:v>
      </x:c>
      <x:c r="H661" s="311" t="n">
        <x:v>2</x:v>
      </x:c>
      <x:c r="I661" s="311" t="str">
        <x:v>Lateral Bound</x:v>
      </x:c>
      <x:c r="J661" s="311" t="str">
        <x:v>Power</x:v>
      </x:c>
      <x:c r="K661" s="311" t="str">
        <x:v>Glutes</x:v>
      </x:c>
      <x:c r="L661" s="311" t="str">
        <x:v>Straight sets, leave 4 RIR</x:v>
      </x:c>
      <x:c r="M661" s="311" t="str"/>
      <x:c r="N661" s="311" t="n">
        <x:v>3</x:v>
      </x:c>
      <x:c r="O661" s="311" t="n">
        <x:v>4</x:v>
      </x:c>
      <x:c r="P661" s="311" t="n">
        <x:v>4</x:v>
      </x:c>
      <x:c r="Q661" s="311" t="n">
        <x:v>4</x:v>
      </x:c>
      <x:c r="R661" s="311" t="n">
        <x:v>60</x:v>
      </x:c>
      <x:c r="S661" s="311" t="str">
        <x:v>Explosive</x:v>
      </x:c>
      <x:c r="T661" s="330" t="n">
        <x:v>0.95</x:v>
      </x:c>
      <x:c r="U661" s="330" t="n">
        <x:v>0</x:v>
      </x:c>
      <x:c r="V661" s="331" t="str">
        <x:v>distance</x:v>
      </x:c>
      <x:c r="W661" s="332" t="n">
        <x:f>'Readiness'!K78</x:f>
        <x:v>0</x:v>
      </x:c>
      <x:c r="X661" s="314" t="n">
        <x:f>'Readiness'!L78</x:f>
        <x:v>1</x:v>
      </x:c>
      <x:c r="Y661" s="315" t="n">
        <x:f>IF(J661="Mobility",N661,MAX(1,ROUND(N661*X661,0)))</x:f>
        <x:v>3</x:v>
      </x:c>
      <x:c r="Z661" s="333" t="n">
        <x:f>0</x:f>
        <x:v>0</x:v>
      </x:c>
      <x:c r="AA661" s="334"/>
      <x:c r="AB661" s="334"/>
      <x:c r="AC661" s="334"/>
      <x:c r="AD661" s="334"/>
      <x:c r="AE661" s="334"/>
      <x:c r="AF661" s="334"/>
      <x:c r="AG661" s="334"/>
      <x:c r="AH661" s="334"/>
      <x:c r="AI661" s="334"/>
      <x:c r="AJ661" s="312"/>
      <x:c r="AK661" s="312"/>
      <x:c r="AL661" s="312"/>
      <x:c r="AM661" s="312"/>
      <x:c r="AN661" s="312"/>
      <x:c r="AO661" s="315" t="n">
        <x:f>COUNT(AB661,AD661,AF661,AH661,AJ661)</x:f>
        <x:v>0</x:v>
      </x:c>
      <x:c r="AP661" s="315" t="n">
        <x:f>SUM(AB661,AD661,AF661,AH661,AJ661)</x:f>
        <x:v>0</x:v>
      </x:c>
      <x:c r="AQ661" s="333" t="n">
        <x:f>AA661*AB661+AC661*AD661+AE661*AF661+AG661*AH661+AI661*AJ661</x:f>
        <x:v>0</x:v>
      </x:c>
      <x:c r="AR661" s="333" t="n">
        <x:f>IF(OR(J661="Strength",J661="Hypertrophy"),MAX(IF(AB661&gt;0,AA661*(1+AB661/30),0),IF(AD661&gt;0,AC661*(1+AD661/30),0),IF(AF661&gt;0,AE661*(1+AF661/30),0),IF(AH661&gt;0,AG661*(1+AH661/30),0),IF(AJ661&gt;0,AI661*(1+AJ661/30),0)),0)</x:f>
        <x:v>0</x:v>
      </x:c>
      <x:c r="AS661" s="315" t="str">
        <x:f>IF(AN661&lt;&gt;"Yes","Not logged",IF(AL661&gt;='Setup'!$B$14,"STOP / MODIFY",IF(Z661=0,"Complete",IF(OR(AO661=0,AK661=""),"Add set data + RIR",IF(AND(MAX(AB661,AD661,AF661,AH661,AJ661)&gt;=P661,AK661&gt;=Q661+1),"Progress",IF(OR(MAX(AB661,AD661,AF661,AH661,AJ661)&lt;O661,AK661&lt;Q661-1),"Regress","Hold"))))))</x:f>
        <x:v>Not logged</x:v>
      </x:c>
      <x:c r="AT661" s="335" t="n">
        <x:f>IF(OR(Z661=0,AN661&lt;&gt;"Yes",AO661=0,AK661=""),0,IF(AL661&gt;='Setup'!$B$14,-2*'Setup'!$B$11,IF(AND(MAX(AB661,AD661,AF661,AH661,AJ661)&gt;=P661,AK661&gt;=Q661+1),'Setup'!$B$10,IF(OR(MAX(AB661,AD661,AF661,AH661,AJ661)&lt;O661,AK661&lt;Q661-1),-'Setup'!$B$11,0))))</x:f>
        <x:v>0</x:v>
      </x:c>
      <x:c r="AU661" s="333" t="n">
        <x:f>IF(Z661=0,0,IF(AN661&lt;&gt;"Yes",Z661,IF(COUNT(AA661,AC661,AE661,AG661,AI661)=0,Z661,ROUND((MAX(AA661,AC661,AE661,AG661,AI661)*(1+AT661))/'Setup'!$B$9,0)*'Setup'!$B$9)))</x:f>
        <x:v>0</x:v>
      </x:c>
      <x:c r="AV661" s="336"/>
    </x:row>
    <x:row r="662">
      <x:c r="A662" s="310" t="n">
        <x:f>'Setup'!$B$3+(C662-1)*7+(D662-1)</x:f>
        <x:v>46326</x:v>
      </x:c>
      <x:c r="B662" s="311" t="str">
        <x:v>12|6|3</x:v>
      </x:c>
      <x:c r="C662" s="311" t="n">
        <x:v>12</x:v>
      </x:c>
      <x:c r="D662" s="311" t="n">
        <x:v>6</x:v>
      </x:c>
      <x:c r="E662" s="311" t="str">
        <x:v>Taper + Performance</x:v>
      </x:c>
      <x:c r="F662" s="311" t="str">
        <x:v>Athletic Full Body</x:v>
      </x:c>
      <x:c r="G662" s="311" t="str">
        <x:v>Speed, multidirectional power, conditioning</x:v>
      </x:c>
      <x:c r="H662" s="311" t="n">
        <x:v>3</x:v>
      </x:c>
      <x:c r="I662" s="311" t="str">
        <x:v>Medicine Ball Rotational Throw</x:v>
      </x:c>
      <x:c r="J662" s="311" t="str">
        <x:v>Power</x:v>
      </x:c>
      <x:c r="K662" s="311" t="str">
        <x:v>Core</x:v>
      </x:c>
      <x:c r="L662" s="311" t="str">
        <x:v>Straight sets, leave 4 RIR</x:v>
      </x:c>
      <x:c r="M662" s="311" t="str"/>
      <x:c r="N662" s="311" t="n">
        <x:v>3</x:v>
      </x:c>
      <x:c r="O662" s="311" t="n">
        <x:v>4</x:v>
      </x:c>
      <x:c r="P662" s="311" t="n">
        <x:v>4</x:v>
      </x:c>
      <x:c r="Q662" s="311" t="n">
        <x:v>4</x:v>
      </x:c>
      <x:c r="R662" s="311" t="n">
        <x:v>60</x:v>
      </x:c>
      <x:c r="S662" s="311" t="str">
        <x:v>Explosive</x:v>
      </x:c>
      <x:c r="T662" s="330" t="n">
        <x:v>0.95</x:v>
      </x:c>
      <x:c r="U662" s="330" t="n">
        <x:v>0</x:v>
      </x:c>
      <x:c r="V662" s="331" t="str">
        <x:v>throw quality</x:v>
      </x:c>
      <x:c r="W662" s="332" t="n">
        <x:f>'Readiness'!K78</x:f>
        <x:v>0</x:v>
      </x:c>
      <x:c r="X662" s="314" t="n">
        <x:f>'Readiness'!L78</x:f>
        <x:v>1</x:v>
      </x:c>
      <x:c r="Y662" s="315" t="n">
        <x:f>IF(J662="Mobility",N662,MAX(1,ROUND(N662*X662,0)))</x:f>
        <x:v>3</x:v>
      </x:c>
      <x:c r="Z662" s="333" t="n">
        <x:f>0</x:f>
        <x:v>0</x:v>
      </x:c>
      <x:c r="AA662" s="334"/>
      <x:c r="AB662" s="334"/>
      <x:c r="AC662" s="334"/>
      <x:c r="AD662" s="334"/>
      <x:c r="AE662" s="334"/>
      <x:c r="AF662" s="334"/>
      <x:c r="AG662" s="334"/>
      <x:c r="AH662" s="334"/>
      <x:c r="AI662" s="334"/>
      <x:c r="AJ662" s="312"/>
      <x:c r="AK662" s="312"/>
      <x:c r="AL662" s="312"/>
      <x:c r="AM662" s="312"/>
      <x:c r="AN662" s="312"/>
      <x:c r="AO662" s="315" t="n">
        <x:f>COUNT(AB662,AD662,AF662,AH662,AJ662)</x:f>
        <x:v>0</x:v>
      </x:c>
      <x:c r="AP662" s="315" t="n">
        <x:f>SUM(AB662,AD662,AF662,AH662,AJ662)</x:f>
        <x:v>0</x:v>
      </x:c>
      <x:c r="AQ662" s="333" t="n">
        <x:f>AA662*AB662+AC662*AD662+AE662*AF662+AG662*AH662+AI662*AJ662</x:f>
        <x:v>0</x:v>
      </x:c>
      <x:c r="AR662" s="333" t="n">
        <x:f>IF(OR(J662="Strength",J662="Hypertrophy"),MAX(IF(AB662&gt;0,AA662*(1+AB662/30),0),IF(AD662&gt;0,AC662*(1+AD662/30),0),IF(AF662&gt;0,AE662*(1+AF662/30),0),IF(AH662&gt;0,AG662*(1+AH662/30),0),IF(AJ662&gt;0,AI662*(1+AJ662/30),0)),0)</x:f>
        <x:v>0</x:v>
      </x:c>
      <x:c r="AS662" s="315" t="str">
        <x:f>IF(AN662&lt;&gt;"Yes","Not logged",IF(AL662&gt;='Setup'!$B$14,"STOP / MODIFY",IF(Z662=0,"Complete",IF(OR(AO662=0,AK662=""),"Add set data + RIR",IF(AND(MAX(AB662,AD662,AF662,AH662,AJ662)&gt;=P662,AK662&gt;=Q662+1),"Progress",IF(OR(MAX(AB662,AD662,AF662,AH662,AJ662)&lt;O662,AK662&lt;Q662-1),"Regress","Hold"))))))</x:f>
        <x:v>Not logged</x:v>
      </x:c>
      <x:c r="AT662" s="335" t="n">
        <x:f>IF(OR(Z662=0,AN662&lt;&gt;"Yes",AO662=0,AK662=""),0,IF(AL662&gt;='Setup'!$B$14,-2*'Setup'!$B$11,IF(AND(MAX(AB662,AD662,AF662,AH662,AJ662)&gt;=P662,AK662&gt;=Q662+1),'Setup'!$B$10,IF(OR(MAX(AB662,AD662,AF662,AH662,AJ662)&lt;O662,AK662&lt;Q662-1),-'Setup'!$B$11,0))))</x:f>
        <x:v>0</x:v>
      </x:c>
      <x:c r="AU662" s="333" t="n">
        <x:f>IF(Z662=0,0,IF(AN662&lt;&gt;"Yes",Z662,IF(COUNT(AA662,AC662,AE662,AG662,AI662)=0,Z662,ROUND((MAX(AA662,AC662,AE662,AG662,AI662)*(1+AT662))/'Setup'!$B$9,0)*'Setup'!$B$9)))</x:f>
        <x:v>0</x:v>
      </x:c>
      <x:c r="AV662" s="336"/>
    </x:row>
    <x:row r="663">
      <x:c r="A663" s="310" t="n">
        <x:f>'Setup'!$B$3+(C663-1)*7+(D663-1)</x:f>
        <x:v>46326</x:v>
      </x:c>
      <x:c r="B663" s="311" t="str">
        <x:v>12|6|4</x:v>
      </x:c>
      <x:c r="C663" s="311" t="n">
        <x:v>12</x:v>
      </x:c>
      <x:c r="D663" s="311" t="n">
        <x:v>6</x:v>
      </x:c>
      <x:c r="E663" s="311" t="str">
        <x:v>Taper + Performance</x:v>
      </x:c>
      <x:c r="F663" s="311" t="str">
        <x:v>Athletic Full Body</x:v>
      </x:c>
      <x:c r="G663" s="311" t="str">
        <x:v>Speed, multidirectional power, conditioning</x:v>
      </x:c>
      <x:c r="H663" s="311" t="n">
        <x:v>4</x:v>
      </x:c>
      <x:c r="I663" s="311" t="str">
        <x:v>Kettlebell Swing</x:v>
      </x:c>
      <x:c r="J663" s="311" t="str">
        <x:v>Power</x:v>
      </x:c>
      <x:c r="K663" s="311" t="str">
        <x:v>Hamstrings</x:v>
      </x:c>
      <x:c r="L663" s="311" t="str">
        <x:v>Straight sets, leave 4 RIR</x:v>
      </x:c>
      <x:c r="M663" s="311" t="str"/>
      <x:c r="N663" s="311" t="n">
        <x:v>3</x:v>
      </x:c>
      <x:c r="O663" s="311" t="n">
        <x:v>5</x:v>
      </x:c>
      <x:c r="P663" s="311" t="n">
        <x:v>5</x:v>
      </x:c>
      <x:c r="Q663" s="311" t="n">
        <x:v>4</x:v>
      </x:c>
      <x:c r="R663" s="311" t="n">
        <x:v>60</x:v>
      </x:c>
      <x:c r="S663" s="311" t="str">
        <x:v>Explosive</x:v>
      </x:c>
      <x:c r="T663" s="330" t="n">
        <x:v>0.95</x:v>
      </x:c>
      <x:c r="U663" s="330" t="n">
        <x:v>0</x:v>
      </x:c>
      <x:c r="V663" s="331" t="str">
        <x:v>load × reps</x:v>
      </x:c>
      <x:c r="W663" s="332" t="n">
        <x:f>'Readiness'!K78</x:f>
        <x:v>0</x:v>
      </x:c>
      <x:c r="X663" s="314" t="n">
        <x:f>'Readiness'!L78</x:f>
        <x:v>1</x:v>
      </x:c>
      <x:c r="Y663" s="315" t="n">
        <x:f>IF(J663="Mobility",N663,MAX(1,ROUND(N663*X663,0)))</x:f>
        <x:v>3</x:v>
      </x:c>
      <x:c r="Z663" s="333" t="n">
        <x:f>ROUND((IF(AU607&gt;0,AU607,IF(Z607&gt;0,Z607,'Setup'!$D$54))*T663)/'Setup'!$B$9,0)*'Setup'!$B$9</x:f>
        <x:v>0</x:v>
      </x:c>
      <x:c r="AA663" s="334"/>
      <x:c r="AB663" s="334"/>
      <x:c r="AC663" s="334"/>
      <x:c r="AD663" s="334"/>
      <x:c r="AE663" s="334"/>
      <x:c r="AF663" s="334"/>
      <x:c r="AG663" s="334"/>
      <x:c r="AH663" s="334"/>
      <x:c r="AI663" s="334"/>
      <x:c r="AJ663" s="312"/>
      <x:c r="AK663" s="312"/>
      <x:c r="AL663" s="312"/>
      <x:c r="AM663" s="312"/>
      <x:c r="AN663" s="312"/>
      <x:c r="AO663" s="315" t="n">
        <x:f>COUNT(AB663,AD663,AF663,AH663,AJ663)</x:f>
        <x:v>0</x:v>
      </x:c>
      <x:c r="AP663" s="315" t="n">
        <x:f>SUM(AB663,AD663,AF663,AH663,AJ663)</x:f>
        <x:v>0</x:v>
      </x:c>
      <x:c r="AQ663" s="333" t="n">
        <x:f>AA663*AB663+AC663*AD663+AE663*AF663+AG663*AH663+AI663*AJ663</x:f>
        <x:v>0</x:v>
      </x:c>
      <x:c r="AR663" s="333" t="n">
        <x:f>IF(OR(J663="Strength",J663="Hypertrophy"),MAX(IF(AB663&gt;0,AA663*(1+AB663/30),0),IF(AD663&gt;0,AC663*(1+AD663/30),0),IF(AF663&gt;0,AE663*(1+AF663/30),0),IF(AH663&gt;0,AG663*(1+AH663/30),0),IF(AJ663&gt;0,AI663*(1+AJ663/30),0)),0)</x:f>
        <x:v>0</x:v>
      </x:c>
      <x:c r="AS663" s="315" t="str">
        <x:f>IF(AN663&lt;&gt;"Yes","Not logged",IF(AL663&gt;='Setup'!$B$14,"STOP / MODIFY",IF(Z663=0,"Complete",IF(OR(AO663=0,AK663=""),"Add set data + RIR",IF(AND(MAX(AB663,AD663,AF663,AH663,AJ663)&gt;=P663,AK663&gt;=Q663+1),"Progress",IF(OR(MAX(AB663,AD663,AF663,AH663,AJ663)&lt;O663,AK663&lt;Q663-1),"Regress","Hold"))))))</x:f>
        <x:v>Not logged</x:v>
      </x:c>
      <x:c r="AT663" s="335" t="n">
        <x:f>IF(OR(Z663=0,AN663&lt;&gt;"Yes",AO663=0,AK663=""),0,IF(AL663&gt;='Setup'!$B$14,-2*'Setup'!$B$11,IF(AND(MAX(AB663,AD663,AF663,AH663,AJ663)&gt;=P663,AK663&gt;=Q663+1),'Setup'!$B$10,IF(OR(MAX(AB663,AD663,AF663,AH663,AJ663)&lt;O663,AK663&lt;Q663-1),-'Setup'!$B$11,0))))</x:f>
        <x:v>0</x:v>
      </x:c>
      <x:c r="AU663" s="333" t="n">
        <x:f>IF(Z663=0,0,IF(AN663&lt;&gt;"Yes",Z663,IF(COUNT(AA663,AC663,AE663,AG663,AI663)=0,Z663,ROUND((MAX(AA663,AC663,AE663,AG663,AI663)*(1+AT663))/'Setup'!$B$9,0)*'Setup'!$B$9)))</x:f>
        <x:v>0</x:v>
      </x:c>
      <x:c r="AV663" s="336"/>
    </x:row>
    <x:row r="664">
      <x:c r="A664" s="310" t="n">
        <x:f>'Setup'!$B$3+(C664-1)*7+(D664-1)</x:f>
        <x:v>46326</x:v>
      </x:c>
      <x:c r="B664" s="311" t="str">
        <x:v>12|6|5</x:v>
      </x:c>
      <x:c r="C664" s="311" t="n">
        <x:v>12</x:v>
      </x:c>
      <x:c r="D664" s="311" t="n">
        <x:v>6</x:v>
      </x:c>
      <x:c r="E664" s="311" t="str">
        <x:v>Taper + Performance</x:v>
      </x:c>
      <x:c r="F664" s="311" t="str">
        <x:v>Athletic Full Body</x:v>
      </x:c>
      <x:c r="G664" s="311" t="str">
        <x:v>Speed, multidirectional power, conditioning</x:v>
      </x:c>
      <x:c r="H664" s="311" t="n">
        <x:v>5</x:v>
      </x:c>
      <x:c r="I664" s="311" t="str">
        <x:v>Sled Push</x:v>
      </x:c>
      <x:c r="J664" s="311" t="str">
        <x:v>Athletic</x:v>
      </x:c>
      <x:c r="K664" s="311" t="str">
        <x:v>Quads</x:v>
      </x:c>
      <x:c r="L664" s="311" t="str">
        <x:v>Straight sets, leave 4 RIR</x:v>
      </x:c>
      <x:c r="M664" s="311" t="str"/>
      <x:c r="N664" s="311" t="n">
        <x:v>4</x:v>
      </x:c>
      <x:c r="O664" s="311" t="n">
        <x:v>20</x:v>
      </x:c>
      <x:c r="P664" s="311" t="n">
        <x:v>20</x:v>
      </x:c>
      <x:c r="Q664" s="311" t="n">
        <x:v>4</x:v>
      </x:c>
      <x:c r="R664" s="311" t="n">
        <x:v>75</x:v>
      </x:c>
      <x:c r="S664" s="311" t="str">
        <x:v>Fast</x:v>
      </x:c>
      <x:c r="T664" s="330" t="n">
        <x:v>0.95</x:v>
      </x:c>
      <x:c r="U664" s="330" t="n">
        <x:v>0</x:v>
      </x:c>
      <x:c r="V664" s="331" t="str">
        <x:v>load + meters</x:v>
      </x:c>
      <x:c r="W664" s="332" t="n">
        <x:f>'Readiness'!K78</x:f>
        <x:v>0</x:v>
      </x:c>
      <x:c r="X664" s="314" t="n">
        <x:f>'Readiness'!L78</x:f>
        <x:v>1</x:v>
      </x:c>
      <x:c r="Y664" s="315" t="n">
        <x:f>IF(J664="Mobility",N664,MAX(1,ROUND(N664*X664,0)))</x:f>
        <x:v>4</x:v>
      </x:c>
      <x:c r="Z664" s="333" t="n">
        <x:f>0</x:f>
        <x:v>0</x:v>
      </x:c>
      <x:c r="AA664" s="334"/>
      <x:c r="AB664" s="334"/>
      <x:c r="AC664" s="334"/>
      <x:c r="AD664" s="334"/>
      <x:c r="AE664" s="334"/>
      <x:c r="AF664" s="334"/>
      <x:c r="AG664" s="334"/>
      <x:c r="AH664" s="334"/>
      <x:c r="AI664" s="334"/>
      <x:c r="AJ664" s="312"/>
      <x:c r="AK664" s="312"/>
      <x:c r="AL664" s="312"/>
      <x:c r="AM664" s="312"/>
      <x:c r="AN664" s="312"/>
      <x:c r="AO664" s="315" t="n">
        <x:f>COUNT(AB664,AD664,AF664,AH664,AJ664)</x:f>
        <x:v>0</x:v>
      </x:c>
      <x:c r="AP664" s="315" t="n">
        <x:f>SUM(AB664,AD664,AF664,AH664,AJ664)</x:f>
        <x:v>0</x:v>
      </x:c>
      <x:c r="AQ664" s="333" t="n">
        <x:f>AA664*AB664+AC664*AD664+AE664*AF664+AG664*AH664+AI664*AJ664</x:f>
        <x:v>0</x:v>
      </x:c>
      <x:c r="AR664" s="333" t="n">
        <x:f>IF(OR(J664="Strength",J664="Hypertrophy"),MAX(IF(AB664&gt;0,AA664*(1+AB664/30),0),IF(AD664&gt;0,AC664*(1+AD664/30),0),IF(AF664&gt;0,AE664*(1+AF664/30),0),IF(AH664&gt;0,AG664*(1+AH664/30),0),IF(AJ664&gt;0,AI664*(1+AJ664/30),0)),0)</x:f>
        <x:v>0</x:v>
      </x:c>
      <x:c r="AS664" s="315" t="str">
        <x:f>IF(AN664&lt;&gt;"Yes","Not logged",IF(AL664&gt;='Setup'!$B$14,"STOP / MODIFY",IF(Z664=0,"Complete",IF(OR(AO664=0,AK664=""),"Add set data + RIR",IF(AND(MAX(AB664,AD664,AF664,AH664,AJ664)&gt;=P664,AK664&gt;=Q664+1),"Progress",IF(OR(MAX(AB664,AD664,AF664,AH664,AJ664)&lt;O664,AK664&lt;Q664-1),"Regress","Hold"))))))</x:f>
        <x:v>Not logged</x:v>
      </x:c>
      <x:c r="AT664" s="335" t="n">
        <x:f>IF(OR(Z664=0,AN664&lt;&gt;"Yes",AO664=0,AK664=""),0,IF(AL664&gt;='Setup'!$B$14,-2*'Setup'!$B$11,IF(AND(MAX(AB664,AD664,AF664,AH664,AJ664)&gt;=P664,AK664&gt;=Q664+1),'Setup'!$B$10,IF(OR(MAX(AB664,AD664,AF664,AH664,AJ664)&lt;O664,AK664&lt;Q664-1),-'Setup'!$B$11,0))))</x:f>
        <x:v>0</x:v>
      </x:c>
      <x:c r="AU664" s="333" t="n">
        <x:f>IF(Z664=0,0,IF(AN664&lt;&gt;"Yes",Z664,IF(COUNT(AA664,AC664,AE664,AG664,AI664)=0,Z664,ROUND((MAX(AA664,AC664,AE664,AG664,AI664)*(1+AT664))/'Setup'!$B$9,0)*'Setup'!$B$9)))</x:f>
        <x:v>0</x:v>
      </x:c>
      <x:c r="AV664" s="336"/>
    </x:row>
    <x:row r="665">
      <x:c r="A665" s="310" t="n">
        <x:f>'Setup'!$B$3+(C665-1)*7+(D665-1)</x:f>
        <x:v>46326</x:v>
      </x:c>
      <x:c r="B665" s="311" t="str">
        <x:v>12|6|6</x:v>
      </x:c>
      <x:c r="C665" s="311" t="n">
        <x:v>12</x:v>
      </x:c>
      <x:c r="D665" s="311" t="n">
        <x:v>6</x:v>
      </x:c>
      <x:c r="E665" s="311" t="str">
        <x:v>Taper + Performance</x:v>
      </x:c>
      <x:c r="F665" s="311" t="str">
        <x:v>Athletic Full Body</x:v>
      </x:c>
      <x:c r="G665" s="311" t="str">
        <x:v>Speed, multidirectional power, conditioning</x:v>
      </x:c>
      <x:c r="H665" s="311" t="n">
        <x:v>6</x:v>
      </x:c>
      <x:c r="I665" s="311" t="str">
        <x:v>Pull-Up</x:v>
      </x:c>
      <x:c r="J665" s="311" t="str">
        <x:v>Hypertrophy</x:v>
      </x:c>
      <x:c r="K665" s="311" t="str">
        <x:v>Back</x:v>
      </x:c>
      <x:c r="L665" s="311" t="str">
        <x:v>Straight sets, leave 4 RIR</x:v>
      </x:c>
      <x:c r="M665" s="311" t="str"/>
      <x:c r="N665" s="311" t="n">
        <x:v>2</x:v>
      </x:c>
      <x:c r="O665" s="311" t="n">
        <x:v>6</x:v>
      </x:c>
      <x:c r="P665" s="311" t="n">
        <x:v>10</x:v>
      </x:c>
      <x:c r="Q665" s="311" t="n">
        <x:v>4</x:v>
      </x:c>
      <x:c r="R665" s="311" t="n">
        <x:v>75</x:v>
      </x:c>
      <x:c r="S665" s="311" t="str">
        <x:v>2-1-1</x:v>
      </x:c>
      <x:c r="T665" s="330" t="n">
        <x:v>0.95</x:v>
      </x:c>
      <x:c r="U665" s="330" t="n">
        <x:v>0</x:v>
      </x:c>
      <x:c r="V665" s="331" t="str">
        <x:v>reps</x:v>
      </x:c>
      <x:c r="W665" s="332" t="n">
        <x:f>'Readiness'!K78</x:f>
        <x:v>0</x:v>
      </x:c>
      <x:c r="X665" s="314" t="n">
        <x:f>'Readiness'!L78</x:f>
        <x:v>1</x:v>
      </x:c>
      <x:c r="Y665" s="315" t="n">
        <x:f>IF(J665="Mobility",N665,MAX(1,ROUND(N665*X665,0)))</x:f>
        <x:v>2</x:v>
      </x:c>
      <x:c r="Z665" s="333" t="n">
        <x:f>0</x:f>
        <x:v>0</x:v>
      </x:c>
      <x:c r="AA665" s="334"/>
      <x:c r="AB665" s="334"/>
      <x:c r="AC665" s="334"/>
      <x:c r="AD665" s="334"/>
      <x:c r="AE665" s="334"/>
      <x:c r="AF665" s="334"/>
      <x:c r="AG665" s="334"/>
      <x:c r="AH665" s="334"/>
      <x:c r="AI665" s="334"/>
      <x:c r="AJ665" s="312"/>
      <x:c r="AK665" s="312"/>
      <x:c r="AL665" s="312"/>
      <x:c r="AM665" s="312"/>
      <x:c r="AN665" s="312"/>
      <x:c r="AO665" s="315" t="n">
        <x:f>COUNT(AB665,AD665,AF665,AH665,AJ665)</x:f>
        <x:v>0</x:v>
      </x:c>
      <x:c r="AP665" s="315" t="n">
        <x:f>SUM(AB665,AD665,AF665,AH665,AJ665)</x:f>
        <x:v>0</x:v>
      </x:c>
      <x:c r="AQ665" s="333" t="n">
        <x:f>AA665*AB665+AC665*AD665+AE665*AF665+AG665*AH665+AI665*AJ665</x:f>
        <x:v>0</x:v>
      </x:c>
      <x:c r="AR665" s="333" t="n">
        <x:f>IF(OR(J665="Strength",J665="Hypertrophy"),MAX(IF(AB665&gt;0,AA665*(1+AB665/30),0),IF(AD665&gt;0,AC665*(1+AD665/30),0),IF(AF665&gt;0,AE665*(1+AF665/30),0),IF(AH665&gt;0,AG665*(1+AH665/30),0),IF(AJ665&gt;0,AI665*(1+AJ665/30),0)),0)</x:f>
        <x:v>0</x:v>
      </x:c>
      <x:c r="AS665" s="315" t="str">
        <x:f>IF(AN665&lt;&gt;"Yes","Not logged",IF(AL665&gt;='Setup'!$B$14,"STOP / MODIFY",IF(Z665=0,"Complete",IF(OR(AO665=0,AK665=""),"Add set data + RIR",IF(AND(MAX(AB665,AD665,AF665,AH665,AJ665)&gt;=P665,AK665&gt;=Q665+1),"Progress",IF(OR(MAX(AB665,AD665,AF665,AH665,AJ665)&lt;O665,AK665&lt;Q665-1),"Regress","Hold"))))))</x:f>
        <x:v>Not logged</x:v>
      </x:c>
      <x:c r="AT665" s="335" t="n">
        <x:f>IF(OR(Z665=0,AN665&lt;&gt;"Yes",AO665=0,AK665=""),0,IF(AL665&gt;='Setup'!$B$14,-2*'Setup'!$B$11,IF(AND(MAX(AB665,AD665,AF665,AH665,AJ665)&gt;=P665,AK665&gt;=Q665+1),'Setup'!$B$10,IF(OR(MAX(AB665,AD665,AF665,AH665,AJ665)&lt;O665,AK665&lt;Q665-1),-'Setup'!$B$11,0))))</x:f>
        <x:v>0</x:v>
      </x:c>
      <x:c r="AU665" s="333" t="n">
        <x:f>IF(Z665=0,0,IF(AN665&lt;&gt;"Yes",Z665,IF(COUNT(AA665,AC665,AE665,AG665,AI665)=0,Z665,ROUND((MAX(AA665,AC665,AE665,AG665,AI665)*(1+AT665))/'Setup'!$B$9,0)*'Setup'!$B$9)))</x:f>
        <x:v>0</x:v>
      </x:c>
      <x:c r="AV665" s="336"/>
    </x:row>
    <x:row r="666">
      <x:c r="A666" s="310" t="n">
        <x:f>'Setup'!$B$3+(C666-1)*7+(D666-1)</x:f>
        <x:v>46326</x:v>
      </x:c>
      <x:c r="B666" s="311" t="str">
        <x:v>12|6|7</x:v>
      </x:c>
      <x:c r="C666" s="311" t="n">
        <x:v>12</x:v>
      </x:c>
      <x:c r="D666" s="311" t="n">
        <x:v>6</x:v>
      </x:c>
      <x:c r="E666" s="311" t="str">
        <x:v>Taper + Performance</x:v>
      </x:c>
      <x:c r="F666" s="311" t="str">
        <x:v>Athletic Full Body</x:v>
      </x:c>
      <x:c r="G666" s="311" t="str">
        <x:v>Speed, multidirectional power, conditioning</x:v>
      </x:c>
      <x:c r="H666" s="311" t="n">
        <x:v>7</x:v>
      </x:c>
      <x:c r="I666" s="311" t="str">
        <x:v>Walking Lunge</x:v>
      </x:c>
      <x:c r="J666" s="311" t="str">
        <x:v>Hypertrophy</x:v>
      </x:c>
      <x:c r="K666" s="311" t="str">
        <x:v>Quads</x:v>
      </x:c>
      <x:c r="L666" s="311" t="str">
        <x:v>Straight sets, leave 4 RIR</x:v>
      </x:c>
      <x:c r="M666" s="311" t="str"/>
      <x:c r="N666" s="311" t="n">
        <x:v>2</x:v>
      </x:c>
      <x:c r="O666" s="311" t="n">
        <x:v>10</x:v>
      </x:c>
      <x:c r="P666" s="311" t="n">
        <x:v>12</x:v>
      </x:c>
      <x:c r="Q666" s="311" t="n">
        <x:v>4</x:v>
      </x:c>
      <x:c r="R666" s="311" t="n">
        <x:v>75</x:v>
      </x:c>
      <x:c r="S666" s="311" t="str">
        <x:v>2-0-1</x:v>
      </x:c>
      <x:c r="T666" s="330" t="n">
        <x:v>0.95</x:v>
      </x:c>
      <x:c r="U666" s="330" t="n">
        <x:v>0</x:v>
      </x:c>
      <x:c r="V666" s="331" t="str">
        <x:v>load × reps</x:v>
      </x:c>
      <x:c r="W666" s="332" t="n">
        <x:f>'Readiness'!K78</x:f>
        <x:v>0</x:v>
      </x:c>
      <x:c r="X666" s="314" t="n">
        <x:f>'Readiness'!L78</x:f>
        <x:v>1</x:v>
      </x:c>
      <x:c r="Y666" s="315" t="n">
        <x:f>IF(J666="Mobility",N666,MAX(1,ROUND(N666*X666,0)))</x:f>
        <x:v>2</x:v>
      </x:c>
      <x:c r="Z666" s="333" t="n">
        <x:f>ROUND((IF(AU610&gt;0,AU610,IF(Z610&gt;0,Z610,'Setup'!$D$93))*T666)/'Setup'!$B$9,0)*'Setup'!$B$9</x:f>
        <x:v>0</x:v>
      </x:c>
      <x:c r="AA666" s="334"/>
      <x:c r="AB666" s="334"/>
      <x:c r="AC666" s="334"/>
      <x:c r="AD666" s="334"/>
      <x:c r="AE666" s="334"/>
      <x:c r="AF666" s="334"/>
      <x:c r="AG666" s="334"/>
      <x:c r="AH666" s="334"/>
      <x:c r="AI666" s="334"/>
      <x:c r="AJ666" s="312"/>
      <x:c r="AK666" s="312"/>
      <x:c r="AL666" s="312"/>
      <x:c r="AM666" s="312"/>
      <x:c r="AN666" s="312"/>
      <x:c r="AO666" s="315" t="n">
        <x:f>COUNT(AB666,AD666,AF666,AH666,AJ666)</x:f>
        <x:v>0</x:v>
      </x:c>
      <x:c r="AP666" s="315" t="n">
        <x:f>SUM(AB666,AD666,AF666,AH666,AJ666)</x:f>
        <x:v>0</x:v>
      </x:c>
      <x:c r="AQ666" s="333" t="n">
        <x:f>AA666*AB666+AC666*AD666+AE666*AF666+AG666*AH666+AI666*AJ666</x:f>
        <x:v>0</x:v>
      </x:c>
      <x:c r="AR666" s="333" t="n">
        <x:f>IF(OR(J666="Strength",J666="Hypertrophy"),MAX(IF(AB666&gt;0,AA666*(1+AB666/30),0),IF(AD666&gt;0,AC666*(1+AD666/30),0),IF(AF666&gt;0,AE666*(1+AF666/30),0),IF(AH666&gt;0,AG666*(1+AH666/30),0),IF(AJ666&gt;0,AI666*(1+AJ666/30),0)),0)</x:f>
        <x:v>0</x:v>
      </x:c>
      <x:c r="AS666" s="315" t="str">
        <x:f>IF(AN666&lt;&gt;"Yes","Not logged",IF(AL666&gt;='Setup'!$B$14,"STOP / MODIFY",IF(Z666=0,"Complete",IF(OR(AO666=0,AK666=""),"Add set data + RIR",IF(AND(MAX(AB666,AD666,AF666,AH666,AJ666)&gt;=P666,AK666&gt;=Q666+1),"Progress",IF(OR(MAX(AB666,AD666,AF666,AH666,AJ666)&lt;O666,AK666&lt;Q666-1),"Regress","Hold"))))))</x:f>
        <x:v>Not logged</x:v>
      </x:c>
      <x:c r="AT666" s="335" t="n">
        <x:f>IF(OR(Z666=0,AN666&lt;&gt;"Yes",AO666=0,AK666=""),0,IF(AL666&gt;='Setup'!$B$14,-2*'Setup'!$B$11,IF(AND(MAX(AB666,AD666,AF666,AH666,AJ666)&gt;=P666,AK666&gt;=Q666+1),'Setup'!$B$10,IF(OR(MAX(AB666,AD666,AF666,AH666,AJ666)&lt;O666,AK666&lt;Q666-1),-'Setup'!$B$11,0))))</x:f>
        <x:v>0</x:v>
      </x:c>
      <x:c r="AU666" s="333" t="n">
        <x:f>IF(Z666=0,0,IF(AN666&lt;&gt;"Yes",Z666,IF(COUNT(AA666,AC666,AE666,AG666,AI666)=0,Z666,ROUND((MAX(AA666,AC666,AE666,AG666,AI666)*(1+AT666))/'Setup'!$B$9,0)*'Setup'!$B$9)))</x:f>
        <x:v>0</x:v>
      </x:c>
      <x:c r="AV666" s="336"/>
    </x:row>
    <x:row r="667">
      <x:c r="A667" s="310" t="n">
        <x:f>'Setup'!$B$3+(C667-1)*7+(D667-1)</x:f>
        <x:v>46326</x:v>
      </x:c>
      <x:c r="B667" s="311" t="str">
        <x:v>12|6|8</x:v>
      </x:c>
      <x:c r="C667" s="311" t="n">
        <x:v>12</x:v>
      </x:c>
      <x:c r="D667" s="311" t="n">
        <x:v>6</x:v>
      </x:c>
      <x:c r="E667" s="311" t="str">
        <x:v>Taper + Performance</x:v>
      </x:c>
      <x:c r="F667" s="311" t="str">
        <x:v>Athletic Full Body</x:v>
      </x:c>
      <x:c r="G667" s="311" t="str">
        <x:v>Speed, multidirectional power, conditioning</x:v>
      </x:c>
      <x:c r="H667" s="311" t="n">
        <x:v>8</x:v>
      </x:c>
      <x:c r="I667" s="311" t="str">
        <x:v>Pallof Press</x:v>
      </x:c>
      <x:c r="J667" s="311" t="str">
        <x:v>Hypertrophy</x:v>
      </x:c>
      <x:c r="K667" s="311" t="str">
        <x:v>Core</x:v>
      </x:c>
      <x:c r="L667" s="311" t="str">
        <x:v>Straight sets, leave 4 RIR</x:v>
      </x:c>
      <x:c r="M667" s="311" t="str"/>
      <x:c r="N667" s="311" t="n">
        <x:v>2</x:v>
      </x:c>
      <x:c r="O667" s="311" t="n">
        <x:v>10</x:v>
      </x:c>
      <x:c r="P667" s="311" t="n">
        <x:v>12</x:v>
      </x:c>
      <x:c r="Q667" s="311" t="n">
        <x:v>4</x:v>
      </x:c>
      <x:c r="R667" s="311" t="n">
        <x:v>45</x:v>
      </x:c>
      <x:c r="S667" s="311" t="str">
        <x:v>2-1-2</x:v>
      </x:c>
      <x:c r="T667" s="330" t="n">
        <x:v>0.95</x:v>
      </x:c>
      <x:c r="U667" s="330" t="n">
        <x:v>0</x:v>
      </x:c>
      <x:c r="V667" s="331" t="str">
        <x:v>load × reps</x:v>
      </x:c>
      <x:c r="W667" s="332" t="n">
        <x:f>'Readiness'!K78</x:f>
        <x:v>0</x:v>
      </x:c>
      <x:c r="X667" s="314" t="n">
        <x:f>'Readiness'!L78</x:f>
        <x:v>1</x:v>
      </x:c>
      <x:c r="Y667" s="315" t="n">
        <x:f>IF(J667="Mobility",N667,MAX(1,ROUND(N667*X667,0)))</x:f>
        <x:v>2</x:v>
      </x:c>
      <x:c r="Z667" s="333" t="n">
        <x:f>ROUND((IF(AU611&gt;0,AU611,IF(Z611&gt;0,Z611,'Setup'!$D$71))*T667)/'Setup'!$B$9,0)*'Setup'!$B$9</x:f>
        <x:v>0</x:v>
      </x:c>
      <x:c r="AA667" s="334"/>
      <x:c r="AB667" s="334"/>
      <x:c r="AC667" s="334"/>
      <x:c r="AD667" s="334"/>
      <x:c r="AE667" s="334"/>
      <x:c r="AF667" s="334"/>
      <x:c r="AG667" s="334"/>
      <x:c r="AH667" s="334"/>
      <x:c r="AI667" s="334"/>
      <x:c r="AJ667" s="312"/>
      <x:c r="AK667" s="312"/>
      <x:c r="AL667" s="312"/>
      <x:c r="AM667" s="312"/>
      <x:c r="AN667" s="312"/>
      <x:c r="AO667" s="315" t="n">
        <x:f>COUNT(AB667,AD667,AF667,AH667,AJ667)</x:f>
        <x:v>0</x:v>
      </x:c>
      <x:c r="AP667" s="315" t="n">
        <x:f>SUM(AB667,AD667,AF667,AH667,AJ667)</x:f>
        <x:v>0</x:v>
      </x:c>
      <x:c r="AQ667" s="333" t="n">
        <x:f>AA667*AB667+AC667*AD667+AE667*AF667+AG667*AH667+AI667*AJ667</x:f>
        <x:v>0</x:v>
      </x:c>
      <x:c r="AR667" s="333" t="n">
        <x:f>IF(OR(J667="Strength",J667="Hypertrophy"),MAX(IF(AB667&gt;0,AA667*(1+AB667/30),0),IF(AD667&gt;0,AC667*(1+AD667/30),0),IF(AF667&gt;0,AE667*(1+AF667/30),0),IF(AH667&gt;0,AG667*(1+AH667/30),0),IF(AJ667&gt;0,AI667*(1+AJ667/30),0)),0)</x:f>
        <x:v>0</x:v>
      </x:c>
      <x:c r="AS667" s="315" t="str">
        <x:f>IF(AN667&lt;&gt;"Yes","Not logged",IF(AL667&gt;='Setup'!$B$14,"STOP / MODIFY",IF(Z667=0,"Complete",IF(OR(AO667=0,AK667=""),"Add set data + RIR",IF(AND(MAX(AB667,AD667,AF667,AH667,AJ667)&gt;=P667,AK667&gt;=Q667+1),"Progress",IF(OR(MAX(AB667,AD667,AF667,AH667,AJ667)&lt;O667,AK667&lt;Q667-1),"Regress","Hold"))))))</x:f>
        <x:v>Not logged</x:v>
      </x:c>
      <x:c r="AT667" s="335" t="n">
        <x:f>IF(OR(Z667=0,AN667&lt;&gt;"Yes",AO667=0,AK667=""),0,IF(AL667&gt;='Setup'!$B$14,-2*'Setup'!$B$11,IF(AND(MAX(AB667,AD667,AF667,AH667,AJ667)&gt;=P667,AK667&gt;=Q667+1),'Setup'!$B$10,IF(OR(MAX(AB667,AD667,AF667,AH667,AJ667)&lt;O667,AK667&lt;Q667-1),-'Setup'!$B$11,0))))</x:f>
        <x:v>0</x:v>
      </x:c>
      <x:c r="AU667" s="333" t="n">
        <x:f>IF(Z667=0,0,IF(AN667&lt;&gt;"Yes",Z667,IF(COUNT(AA667,AC667,AE667,AG667,AI667)=0,Z667,ROUND((MAX(AA667,AC667,AE667,AG667,AI667)*(1+AT667))/'Setup'!$B$9,0)*'Setup'!$B$9)))</x:f>
        <x:v>0</x:v>
      </x:c>
      <x:c r="AV667" s="336"/>
    </x:row>
    <x:row r="668">
      <x:c r="A668" s="310" t="n">
        <x:f>'Setup'!$B$3+(C668-1)*7+(D668-1)</x:f>
        <x:v>46326</x:v>
      </x:c>
      <x:c r="B668" s="311" t="str">
        <x:v>12|6|9</x:v>
      </x:c>
      <x:c r="C668" s="311" t="n">
        <x:v>12</x:v>
      </x:c>
      <x:c r="D668" s="311" t="n">
        <x:v>6</x:v>
      </x:c>
      <x:c r="E668" s="311" t="str">
        <x:v>Taper + Performance</x:v>
      </x:c>
      <x:c r="F668" s="311" t="str">
        <x:v>Athletic Full Body</x:v>
      </x:c>
      <x:c r="G668" s="311" t="str">
        <x:v>Speed, multidirectional power, conditioning</x:v>
      </x:c>
      <x:c r="H668" s="311" t="n">
        <x:v>9</x:v>
      </x:c>
      <x:c r="I668" s="311" t="str">
        <x:v>RowErg Sprint Intervals</x:v>
      </x:c>
      <x:c r="J668" s="311" t="str">
        <x:v>Athletic</x:v>
      </x:c>
      <x:c r="K668" s="311" t="str">
        <x:v>Full Body</x:v>
      </x:c>
      <x:c r="L668" s="311" t="str">
        <x:v>Straight sets, leave 4 RIR</x:v>
      </x:c>
      <x:c r="M668" s="311" t="str"/>
      <x:c r="N668" s="311" t="n">
        <x:v>4</x:v>
      </x:c>
      <x:c r="O668" s="311" t="n">
        <x:v>20</x:v>
      </x:c>
      <x:c r="P668" s="311" t="n">
        <x:v>20</x:v>
      </x:c>
      <x:c r="Q668" s="311" t="n">
        <x:v>4</x:v>
      </x:c>
      <x:c r="R668" s="311" t="n">
        <x:v>70</x:v>
      </x:c>
      <x:c r="S668" s="311" t="str">
        <x:v>Powerful</x:v>
      </x:c>
      <x:c r="T668" s="330" t="n">
        <x:v>0.95</x:v>
      </x:c>
      <x:c r="U668" s="330" t="n">
        <x:v>0</x:v>
      </x:c>
      <x:c r="V668" s="331" t="str">
        <x:v>watts / meters</x:v>
      </x:c>
      <x:c r="W668" s="332" t="n">
        <x:f>'Readiness'!K78</x:f>
        <x:v>0</x:v>
      </x:c>
      <x:c r="X668" s="314" t="n">
        <x:f>'Readiness'!L78</x:f>
        <x:v>1</x:v>
      </x:c>
      <x:c r="Y668" s="315" t="n">
        <x:f>IF(J668="Mobility",N668,MAX(1,ROUND(N668*X668,0)))</x:f>
        <x:v>4</x:v>
      </x:c>
      <x:c r="Z668" s="333" t="n">
        <x:f>0</x:f>
        <x:v>0</x:v>
      </x:c>
      <x:c r="AA668" s="334"/>
      <x:c r="AB668" s="334"/>
      <x:c r="AC668" s="334"/>
      <x:c r="AD668" s="334"/>
      <x:c r="AE668" s="334"/>
      <x:c r="AF668" s="334"/>
      <x:c r="AG668" s="334"/>
      <x:c r="AH668" s="334"/>
      <x:c r="AI668" s="334"/>
      <x:c r="AJ668" s="312"/>
      <x:c r="AK668" s="312"/>
      <x:c r="AL668" s="312"/>
      <x:c r="AM668" s="312"/>
      <x:c r="AN668" s="312"/>
      <x:c r="AO668" s="315" t="n">
        <x:f>COUNT(AB668,AD668,AF668,AH668,AJ668)</x:f>
        <x:v>0</x:v>
      </x:c>
      <x:c r="AP668" s="315" t="n">
        <x:f>SUM(AB668,AD668,AF668,AH668,AJ668)</x:f>
        <x:v>0</x:v>
      </x:c>
      <x:c r="AQ668" s="333" t="n">
        <x:f>AA668*AB668+AC668*AD668+AE668*AF668+AG668*AH668+AI668*AJ668</x:f>
        <x:v>0</x:v>
      </x:c>
      <x:c r="AR668" s="333" t="n">
        <x:f>IF(OR(J668="Strength",J668="Hypertrophy"),MAX(IF(AB668&gt;0,AA668*(1+AB668/30),0),IF(AD668&gt;0,AC668*(1+AD668/30),0),IF(AF668&gt;0,AE668*(1+AF668/30),0),IF(AH668&gt;0,AG668*(1+AH668/30),0),IF(AJ668&gt;0,AI668*(1+AJ668/30),0)),0)</x:f>
        <x:v>0</x:v>
      </x:c>
      <x:c r="AS668" s="315" t="str">
        <x:f>IF(AN668&lt;&gt;"Yes","Not logged",IF(AL668&gt;='Setup'!$B$14,"STOP / MODIFY",IF(Z668=0,"Complete",IF(OR(AO668=0,AK668=""),"Add set data + RIR",IF(AND(MAX(AB668,AD668,AF668,AH668,AJ668)&gt;=P668,AK668&gt;=Q668+1),"Progress",IF(OR(MAX(AB668,AD668,AF668,AH668,AJ668)&lt;O668,AK668&lt;Q668-1),"Regress","Hold"))))))</x:f>
        <x:v>Not logged</x:v>
      </x:c>
      <x:c r="AT668" s="335" t="n">
        <x:f>IF(OR(Z668=0,AN668&lt;&gt;"Yes",AO668=0,AK668=""),0,IF(AL668&gt;='Setup'!$B$14,-2*'Setup'!$B$11,IF(AND(MAX(AB668,AD668,AF668,AH668,AJ668)&gt;=P668,AK668&gt;=Q668+1),'Setup'!$B$10,IF(OR(MAX(AB668,AD668,AF668,AH668,AJ668)&lt;O668,AK668&lt;Q668-1),-'Setup'!$B$11,0))))</x:f>
        <x:v>0</x:v>
      </x:c>
      <x:c r="AU668" s="333" t="n">
        <x:f>IF(Z668=0,0,IF(AN668&lt;&gt;"Yes",Z668,IF(COUNT(AA668,AC668,AE668,AG668,AI668)=0,Z668,ROUND((MAX(AA668,AC668,AE668,AG668,AI668)*(1+AT668))/'Setup'!$B$9,0)*'Setup'!$B$9)))</x:f>
        <x:v>0</x:v>
      </x:c>
      <x:c r="AV668" s="336"/>
    </x:row>
    <x:row r="669">
      <x:c r="A669" s="316" t="n">
        <x:f>'Setup'!$B$3+(C669-1)*7+(D669-1)</x:f>
        <x:v>46326</x:v>
      </x:c>
      <x:c r="B669" s="317" t="str">
        <x:v>12|6|10</x:v>
      </x:c>
      <x:c r="C669" s="317" t="n">
        <x:v>12</x:v>
      </x:c>
      <x:c r="D669" s="317" t="n">
        <x:v>6</x:v>
      </x:c>
      <x:c r="E669" s="317" t="str">
        <x:v>Taper + Performance</x:v>
      </x:c>
      <x:c r="F669" s="317" t="str">
        <x:v>Athletic Full Body</x:v>
      </x:c>
      <x:c r="G669" s="317" t="str">
        <x:v>Speed, multidirectional power, conditioning</x:v>
      </x:c>
      <x:c r="H669" s="317" t="n">
        <x:v>10</x:v>
      </x:c>
      <x:c r="I669" s="317" t="str">
        <x:v>Full-Body Mobility Flow</x:v>
      </x:c>
      <x:c r="J669" s="317" t="str">
        <x:v>Mobility</x:v>
      </x:c>
      <x:c r="K669" s="317" t="str">
        <x:v>Full Body</x:v>
      </x:c>
      <x:c r="L669" s="317" t="str">
        <x:v>Straight sets, leave 4 RIR</x:v>
      </x:c>
      <x:c r="M669" s="317" t="str"/>
      <x:c r="N669" s="317" t="n">
        <x:v>1</x:v>
      </x:c>
      <x:c r="O669" s="317" t="n">
        <x:v>8</x:v>
      </x:c>
      <x:c r="P669" s="317" t="n">
        <x:v>12</x:v>
      </x:c>
      <x:c r="Q669" s="317" t="str"/>
      <x:c r="R669" s="317" t="n">
        <x:v>0</x:v>
      </x:c>
      <x:c r="S669" s="317" t="str">
        <x:v>Easy</x:v>
      </x:c>
      <x:c r="T669" s="337" t="n">
        <x:v>0.95</x:v>
      </x:c>
      <x:c r="U669" s="337" t="n">
        <x:v>0</x:v>
      </x:c>
      <x:c r="V669" s="338" t="str">
        <x:v>minutes</x:v>
      </x:c>
      <x:c r="W669" s="339" t="n">
        <x:f>'Readiness'!K78</x:f>
        <x:v>0</x:v>
      </x:c>
      <x:c r="X669" s="320" t="n">
        <x:f>'Readiness'!L78</x:f>
        <x:v>1</x:v>
      </x:c>
      <x:c r="Y669" s="321" t="n">
        <x:f>IF(J669="Mobility",N669,MAX(1,ROUND(N669*X669,0)))</x:f>
        <x:v>1</x:v>
      </x:c>
      <x:c r="Z669" s="340" t="n">
        <x:f>0</x:f>
        <x:v>0</x:v>
      </x:c>
      <x:c r="AA669" s="341"/>
      <x:c r="AB669" s="341"/>
      <x:c r="AC669" s="341"/>
      <x:c r="AD669" s="341"/>
      <x:c r="AE669" s="341"/>
      <x:c r="AF669" s="341"/>
      <x:c r="AG669" s="341"/>
      <x:c r="AH669" s="341"/>
      <x:c r="AI669" s="341"/>
      <x:c r="AJ669" s="318"/>
      <x:c r="AK669" s="318"/>
      <x:c r="AL669" s="318"/>
      <x:c r="AM669" s="318"/>
      <x:c r="AN669" s="318"/>
      <x:c r="AO669" s="321" t="n">
        <x:f>COUNT(AB669,AD669,AF669,AH669,AJ669)</x:f>
        <x:v>0</x:v>
      </x:c>
      <x:c r="AP669" s="321" t="n">
        <x:f>SUM(AB669,AD669,AF669,AH669,AJ669)</x:f>
        <x:v>0</x:v>
      </x:c>
      <x:c r="AQ669" s="340" t="n">
        <x:f>AA669*AB669+AC669*AD669+AE669*AF669+AG669*AH669+AI669*AJ669</x:f>
        <x:v>0</x:v>
      </x:c>
      <x:c r="AR669" s="340" t="n">
        <x:f>IF(OR(J669="Strength",J669="Hypertrophy"),MAX(IF(AB669&gt;0,AA669*(1+AB669/30),0),IF(AD669&gt;0,AC669*(1+AD669/30),0),IF(AF669&gt;0,AE669*(1+AF669/30),0),IF(AH669&gt;0,AG669*(1+AH669/30),0),IF(AJ669&gt;0,AI669*(1+AJ669/30),0)),0)</x:f>
        <x:v>0</x:v>
      </x:c>
      <x:c r="AS669" s="321" t="str">
        <x:f>IF(AN669&lt;&gt;"Yes","Not logged",IF(AL669&gt;='Setup'!$B$14,"STOP / MODIFY",IF(Z669=0,"Complete",IF(OR(AO669=0,AK669=""),"Add set data + RIR",IF(AND(MAX(AB669,AD669,AF669,AH669,AJ669)&gt;=P669,AK669&gt;=Q669+1),"Progress",IF(OR(MAX(AB669,AD669,AF669,AH669,AJ669)&lt;O669,AK669&lt;Q669-1),"Regress","Hold"))))))</x:f>
        <x:v>Not logged</x:v>
      </x:c>
      <x:c r="AT669" s="342" t="n">
        <x:f>IF(OR(Z669=0,AN669&lt;&gt;"Yes",AO669=0,AK669=""),0,IF(AL669&gt;='Setup'!$B$14,-2*'Setup'!$B$11,IF(AND(MAX(AB669,AD669,AF669,AH669,AJ669)&gt;=P669,AK669&gt;=Q669+1),'Setup'!$B$10,IF(OR(MAX(AB669,AD669,AF669,AH669,AJ669)&lt;O669,AK669&lt;Q669-1),-'Setup'!$B$11,0))))</x:f>
        <x:v>0</x:v>
      </x:c>
      <x:c r="AU669" s="340" t="n">
        <x:f>IF(Z669=0,0,IF(AN669&lt;&gt;"Yes",Z669,IF(COUNT(AA669,AC669,AE669,AG669,AI669)=0,Z669,ROUND((MAX(AA669,AC669,AE669,AG669,AI669)*(1+AT669))/'Setup'!$B$9,0)*'Setup'!$B$9)))</x:f>
        <x:v>0</x:v>
      </x:c>
      <x:c r="AV669" s="343"/>
    </x:row>
  </x:sheetData>
  <x:mergeCells>
    <x:mergeCell ref="A1:AV1"/>
    <x:mergeCell ref="A2:AV2"/>
    <x:mergeCell ref="A4:AV4"/>
    <x:mergeCell ref="A6:I6"/>
    <x:mergeCell ref="J6:Z6"/>
    <x:mergeCell ref="AA6:AN6"/>
    <x:mergeCell ref="AO6:AU6"/>
  </x:mergeCells>
  <x:conditionalFormatting sqref="AS10:AS669">
    <x:cfRule type="containsText" dxfId="2" priority="1" operator="containsText" text="Progress"/>
    <x:cfRule type="containsText" dxfId="3" priority="2" operator="containsText" text="Regress"/>
    <x:cfRule type="containsText" dxfId="4" priority="3" operator="containsText" text="STOP"/>
  </x:conditionalFormatting>
  <x:conditionalFormatting sqref="AL10:AL669">
    <x:cfRule type="cellIs" dxfId="5" priority="4" operator="greaterThanOrEqual">
      <x:formula>'Setup'!$B$14</x:formula>
    </x:cfRule>
  </x:conditionalFormatting>
  <x:conditionalFormatting sqref="AN10:AN669">
    <x:cfRule type="containsText" dxfId="6" priority="5" operator="containsText" text="Yes"/>
  </x:conditionalFormatting>
  <x:dataValidations count="9">
    <x:dataValidation type="decimal" operator="between" sqref="AA10:AI669">
      <x:formula1>0</x:formula1>
      <x:formula2>5000</x:formula2>
    </x:dataValidation>
    <x:dataValidation type="whole" operator="between" sqref="AB10:AB669">
      <x:formula1>0</x:formula1>
      <x:formula2>100</x:formula2>
    </x:dataValidation>
    <x:dataValidation type="whole" operator="between" sqref="AD10:AD669">
      <x:formula1>0</x:formula1>
      <x:formula2>100</x:formula2>
    </x:dataValidation>
    <x:dataValidation type="whole" operator="between" sqref="AF10:AF669">
      <x:formula1>0</x:formula1>
      <x:formula2>100</x:formula2>
    </x:dataValidation>
    <x:dataValidation type="whole" operator="between" sqref="AH10:AH669">
      <x:formula1>0</x:formula1>
      <x:formula2>100</x:formula2>
    </x:dataValidation>
    <x:dataValidation type="whole" operator="between" sqref="AJ10:AJ669">
      <x:formula1>0</x:formula1>
      <x:formula2>100</x:formula2>
    </x:dataValidation>
    <x:dataValidation type="decimal" operator="between" sqref="AK10:AK669">
      <x:formula1>0</x:formula1>
      <x:formula2>10</x:formula2>
    </x:dataValidation>
    <x:dataValidation type="whole" operator="between" sqref="AL10:AL669">
      <x:formula1>0</x:formula1>
      <x:formula2>10</x:formula2>
    </x:dataValidation>
    <x:dataValidation type="list" sqref="AN10:AN669">
      <x:formula1>"Yes,No"</x:formula1>
    </x:dataValidation>
  </x:dataValidations>
  <x:pageMargins left="0.7" right="0.7" top="0.75" bottom="0.75" header="0.3" footer="0.3"/>
  <x:tableParts count="1">
    <x:tablePart xmlns:r="http://schemas.openxmlformats.org/officeDocument/2006/relationships" r:id="R15e63ef21814466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8" hidden="0" customWidth="1"/>
    <x:col min="2" max="2" width="20" hidden="0" customWidth="1"/>
    <x:col min="3" max="3" width="14" hidden="0" customWidth="1"/>
    <x:col min="4" max="4" width="16" hidden="0" customWidth="1"/>
    <x:col min="5" max="5" width="11" hidden="0" customWidth="1"/>
    <x:col min="6" max="6" width="16" hidden="0" customWidth="1"/>
    <x:col min="7" max="7" width="14" hidden="0" customWidth="1"/>
    <x:col min="8" max="8" width="15" hidden="0" customWidth="1"/>
    <x:col min="9" max="9" width="13" hidden="0" customWidth="1"/>
    <x:col min="10" max="10" width="13" hidden="0" customWidth="1"/>
    <x:col min="11" max="11" width="14" hidden="0" customWidth="1"/>
    <x:col min="12" max="12" width="14" hidden="0" customWidth="1"/>
    <x:col min="13" max="13" width="11" hidden="0" customWidth="1"/>
    <x:col min="14" max="14" width="15" hidden="0" customWidth="1"/>
    <x:col min="15" max="15" width="20" hidden="0" customWidth="1"/>
    <x:col min="16" max="16" width="13" hidden="0" customWidth="1"/>
    <x:col min="17" max="17" width="11" hidden="0" customWidth="1"/>
    <x:col min="18" max="18" width="34" hidden="0" customWidth="1"/>
  </x:cols>
  <x:sheetData>
    <x:row r="1" ht="34" customHeight="1">
      <x:c r="A1" s="78" t="str">
        <x:v>Weekly Review &amp; Recovery Decision</x:v>
      </x:c>
      <x:c r="B1" s="78" t="str">
        <x:v>Weekly Review &amp; Recovery Decision</x:v>
      </x:c>
      <x:c r="C1" s="78" t="str">
        <x:v>Weekly Review &amp; Recovery Decision</x:v>
      </x:c>
      <x:c r="D1" s="78" t="str">
        <x:v>Weekly Review &amp; Recovery Decision</x:v>
      </x:c>
      <x:c r="E1" s="78" t="str">
        <x:v>Weekly Review &amp; Recovery Decision</x:v>
      </x:c>
      <x:c r="F1" s="78" t="str">
        <x:v>Weekly Review &amp; Recovery Decision</x:v>
      </x:c>
      <x:c r="G1" s="78" t="str">
        <x:v>Weekly Review &amp; Recovery Decision</x:v>
      </x:c>
      <x:c r="H1" s="78" t="str">
        <x:v>Weekly Review &amp; Recovery Decision</x:v>
      </x:c>
      <x:c r="I1" s="78" t="str">
        <x:v>Weekly Review &amp; Recovery Decision</x:v>
      </x:c>
      <x:c r="J1" s="78" t="str">
        <x:v>Weekly Review &amp; Recovery Decision</x:v>
      </x:c>
      <x:c r="K1" s="78" t="str">
        <x:v>Weekly Review &amp; Recovery Decision</x:v>
      </x:c>
      <x:c r="L1" s="78" t="str">
        <x:v>Weekly Review &amp; Recovery Decision</x:v>
      </x:c>
      <x:c r="M1" s="78" t="str">
        <x:v>Weekly Review &amp; Recovery Decision</x:v>
      </x:c>
      <x:c r="N1" s="78" t="str">
        <x:v>Weekly Review &amp; Recovery Decision</x:v>
      </x:c>
      <x:c r="O1" s="78" t="str">
        <x:v>Weekly Review &amp; Recovery Decision</x:v>
      </x:c>
      <x:c r="P1" s="78" t="str">
        <x:v>Weekly Review &amp; Recovery Decision</x:v>
      </x:c>
      <x:c r="Q1" s="78" t="str">
        <x:v>Weekly Review &amp; Recovery Decision</x:v>
      </x:c>
      <x:c r="R1" s="78" t="str">
        <x:v>Weekly Review &amp; Recovery Decision</x:v>
      </x:c>
    </x:row>
    <x:row r="2" ht="28" customHeight="1">
      <x:c r="A2" s="79" t="str">
        <x:v>Bodyweight, waist, and notes are inputs. Everything else updates from Readiness and Training Log.</x:v>
      </x:c>
      <x:c r="B2" s="79" t="str">
        <x:v>Bodyweight, waist, and notes are inputs. Everything else updates from Readiness and Training Log.</x:v>
      </x:c>
      <x:c r="C2" s="79" t="str">
        <x:v>Bodyweight, waist, and notes are inputs. Everything else updates from Readiness and Training Log.</x:v>
      </x:c>
      <x:c r="D2" s="79" t="str">
        <x:v>Bodyweight, waist, and notes are inputs. Everything else updates from Readiness and Training Log.</x:v>
      </x:c>
      <x:c r="E2" s="79" t="str">
        <x:v>Bodyweight, waist, and notes are inputs. Everything else updates from Readiness and Training Log.</x:v>
      </x:c>
      <x:c r="F2" s="79" t="str">
        <x:v>Bodyweight, waist, and notes are inputs. Everything else updates from Readiness and Training Log.</x:v>
      </x:c>
      <x:c r="G2" s="79" t="str">
        <x:v>Bodyweight, waist, and notes are inputs. Everything else updates from Readiness and Training Log.</x:v>
      </x:c>
      <x:c r="H2" s="79" t="str">
        <x:v>Bodyweight, waist, and notes are inputs. Everything else updates from Readiness and Training Log.</x:v>
      </x:c>
      <x:c r="I2" s="79" t="str">
        <x:v>Bodyweight, waist, and notes are inputs. Everything else updates from Readiness and Training Log.</x:v>
      </x:c>
      <x:c r="J2" s="79" t="str">
        <x:v>Bodyweight, waist, and notes are inputs. Everything else updates from Readiness and Training Log.</x:v>
      </x:c>
      <x:c r="K2" s="79" t="str">
        <x:v>Bodyweight, waist, and notes are inputs. Everything else updates from Readiness and Training Log.</x:v>
      </x:c>
      <x:c r="L2" s="79" t="str">
        <x:v>Bodyweight, waist, and notes are inputs. Everything else updates from Readiness and Training Log.</x:v>
      </x:c>
      <x:c r="M2" s="79" t="str">
        <x:v>Bodyweight, waist, and notes are inputs. Everything else updates from Readiness and Training Log.</x:v>
      </x:c>
      <x:c r="N2" s="79" t="str">
        <x:v>Bodyweight, waist, and notes are inputs. Everything else updates from Readiness and Training Log.</x:v>
      </x:c>
      <x:c r="O2" s="79" t="str">
        <x:v>Bodyweight, waist, and notes are inputs. Everything else updates from Readiness and Training Log.</x:v>
      </x:c>
      <x:c r="P2" s="79" t="str">
        <x:v>Bodyweight, waist, and notes are inputs. Everything else updates from Readiness and Training Log.</x:v>
      </x:c>
      <x:c r="Q2" s="79" t="str">
        <x:v>Bodyweight, waist, and notes are inputs. Everything else updates from Readiness and Training Log.</x:v>
      </x:c>
      <x:c r="R2" s="79" t="str">
        <x:v>Bodyweight, waist, and notes are inputs. Everything else updates from Readiness and Training Log.</x:v>
      </x:c>
    </x:row>
    <x:row r="3">
      <x:c r="A3" s="80"/>
      <x:c r="B3" s="80"/>
      <x:c r="C3" s="80"/>
      <x:c r="D3" s="80"/>
      <x:c r="E3" s="80"/>
      <x:c r="F3" s="80"/>
      <x:c r="G3" s="80"/>
      <x:c r="H3" s="80"/>
      <x:c r="I3" s="80"/>
      <x:c r="J3" s="80"/>
      <x:c r="K3" s="80"/>
      <x:c r="L3" s="80"/>
      <x:c r="M3" s="80"/>
      <x:c r="N3" s="80"/>
      <x:c r="O3" s="80"/>
      <x:c r="P3" s="80"/>
      <x:c r="Q3" s="80"/>
      <x:c r="R3" s="80"/>
    </x:row>
    <x:row r="4">
      <x:c r="A4" s="80"/>
      <x:c r="B4" s="80"/>
      <x:c r="C4" s="80"/>
      <x:c r="D4" s="80"/>
      <x:c r="E4" s="80"/>
      <x:c r="F4" s="80"/>
      <x:c r="G4" s="80"/>
      <x:c r="H4" s="80"/>
      <x:c r="I4" s="80"/>
      <x:c r="J4" s="80"/>
      <x:c r="K4" s="80"/>
      <x:c r="L4" s="80"/>
      <x:c r="M4" s="80"/>
      <x:c r="N4" s="80"/>
      <x:c r="O4" s="80"/>
      <x:c r="P4" s="80"/>
      <x:c r="Q4" s="80"/>
      <x:c r="R4" s="80"/>
    </x:row>
    <x:row r="5" ht="30" customHeight="1">
      <x:c r="A5" s="95" t="str">
        <x:v>Week</x:v>
      </x:c>
      <x:c r="B5" s="96" t="str">
        <x:v>Phase</x:v>
      </x:c>
      <x:c r="C5" s="96" t="str">
        <x:v>Planned Sessions</x:v>
      </x:c>
      <x:c r="D5" s="96" t="str">
        <x:v>Completed Sessions</x:v>
      </x:c>
      <x:c r="E5" s="96" t="str">
        <x:v>Adherence</x:v>
      </x:c>
      <x:c r="F5" s="96" t="str">
        <x:v>Readiness Check-ins</x:v>
      </x:c>
      <x:c r="G5" s="96" t="str">
        <x:v>Avg Readiness</x:v>
      </x:c>
      <x:c r="H5" s="96" t="str">
        <x:v>Avg Session RPE</x:v>
      </x:c>
      <x:c r="I5" s="96" t="str">
        <x:v>Planned Sets</x:v>
      </x:c>
      <x:c r="J5" s="96" t="str">
        <x:v>Adjusted Sets</x:v>
      </x:c>
      <x:c r="K5" s="96" t="str">
        <x:v>Performed Sets</x:v>
      </x:c>
      <x:c r="L5" s="96" t="str">
        <x:v>Tonnage</x:v>
      </x:c>
      <x:c r="M5" s="96" t="str">
        <x:v>Max Pain</x:v>
      </x:c>
      <x:c r="N5" s="96" t="str">
        <x:v>Strength Index</x:v>
      </x:c>
      <x:c r="O5" s="96" t="str">
        <x:v>Recovery Flag</x:v>
      </x:c>
      <x:c r="P5" s="96" t="str">
        <x:v>Bodyweight</x:v>
      </x:c>
      <x:c r="Q5" s="96" t="str">
        <x:v>Waist</x:v>
      </x:c>
      <x:c r="R5" s="97" t="str">
        <x:v>Notes</x:v>
      </x:c>
    </x:row>
    <x:row r="6">
      <x:c r="A6" s="293" t="n">
        <x:v>1</x:v>
      </x:c>
      <x:c r="B6" s="309" t="str">
        <x:f>INDEX('Program Overview'!$B$5:$B$16,A6)</x:f>
        <x:v>Accumulation</x:v>
      </x:c>
      <x:c r="C6" s="309" t="n">
        <x:f>6</x:f>
        <x:v>6</x:v>
      </x:c>
      <x:c r="D6" s="309" t="n">
        <x:f>COUNTIF('Readiness'!P7:P12,"Yes")</x:f>
        <x:v>0</x:v>
      </x:c>
      <x:c r="E6" s="308" t="n">
        <x:f>D6/C6</x:f>
        <x:v>0</x:v>
      </x:c>
      <x:c r="F6" s="309" t="n">
        <x:f>COUNT('Readiness'!K7:K12)</x:f>
        <x:v>0</x:v>
      </x:c>
      <x:c r="G6" s="307" t="str">
        <x:f>IF(F6=0,"",AVERAGE('Readiness'!K7:K12))</x:f>
      </x:c>
      <x:c r="H6" s="326" t="str">
        <x:f>IFERROR(AVERAGE('Readiness'!N7:N12),"")</x:f>
      </x:c>
      <x:c r="I6" s="309" t="n">
        <x:f>SUM('Training Log'!N10:N65)</x:f>
        <x:v>185</x:v>
      </x:c>
      <x:c r="J6" s="309" t="n">
        <x:f>SUM('Training Log'!Y10:Y65)</x:f>
        <x:v>185</x:v>
      </x:c>
      <x:c r="K6" s="309" t="n">
        <x:f>SUM('Training Log'!AO10:AO65)</x:f>
        <x:v>0</x:v>
      </x:c>
      <x:c r="L6" s="326" t="n">
        <x:f>SUM('Training Log'!AQ10:AQ65)</x:f>
        <x:v>0</x:v>
      </x:c>
      <x:c r="M6" s="326" t="n">
        <x:f>MAX('Readiness'!J7:J12,'Training Log'!AL10:AL65)</x:f>
        <x:v>0</x:v>
      </x:c>
      <x:c r="N6" s="326" t="n">
        <x:f>MAX('Training Log'!AR30)+MAX('Training Log'!AR12)+0</x:f>
        <x:v>0</x:v>
      </x:c>
      <x:c r="O6" s="309" t="str">
        <x:f>IF(F6=0,"LOG READINESS",IF(OR(M6&gt;='Setup'!$B$14,G6&lt;'Setup'!$B$13,E6&lt;0.67),"DELOAD / MODIFY",IF(OR(G6&lt;'Setup'!$B$12,E6&lt;0.83),"REDUCE 15%","ON TRACK")))</x:f>
        <x:v>LOG READINESS</x:v>
      </x:c>
      <x:c r="P6" s="306"/>
      <x:c r="Q6" s="306"/>
      <x:c r="R6" s="329"/>
    </x:row>
    <x:row r="7">
      <x:c r="A7" s="295" t="n">
        <x:v>2</x:v>
      </x:c>
      <x:c r="B7" s="315" t="str">
        <x:f>INDEX('Program Overview'!$B$5:$B$16,A7)</x:f>
        <x:v>Accumulation</x:v>
      </x:c>
      <x:c r="C7" s="315" t="n">
        <x:f>6</x:f>
        <x:v>6</x:v>
      </x:c>
      <x:c r="D7" s="315" t="n">
        <x:f>COUNTIF('Readiness'!P13:P18,"Yes")</x:f>
        <x:v>0</x:v>
      </x:c>
      <x:c r="E7" s="314" t="n">
        <x:f>D7/C7</x:f>
        <x:v>0</x:v>
      </x:c>
      <x:c r="F7" s="315" t="n">
        <x:f>COUNT('Readiness'!K13:K18)</x:f>
        <x:v>0</x:v>
      </x:c>
      <x:c r="G7" s="313" t="str">
        <x:f>IF(F7=0,"",AVERAGE('Readiness'!K13:K18))</x:f>
      </x:c>
      <x:c r="H7" s="333" t="str">
        <x:f>IFERROR(AVERAGE('Readiness'!N13:N18),"")</x:f>
      </x:c>
      <x:c r="I7" s="315" t="n">
        <x:f>SUM('Training Log'!N66:N121)</x:f>
        <x:v>211</x:v>
      </x:c>
      <x:c r="J7" s="315" t="n">
        <x:f>SUM('Training Log'!Y66:Y121)</x:f>
        <x:v>211</x:v>
      </x:c>
      <x:c r="K7" s="315" t="n">
        <x:f>SUM('Training Log'!AO66:AO121)</x:f>
        <x:v>0</x:v>
      </x:c>
      <x:c r="L7" s="333" t="n">
        <x:f>SUM('Training Log'!AQ66:AQ121)</x:f>
        <x:v>0</x:v>
      </x:c>
      <x:c r="M7" s="333" t="n">
        <x:f>MAX('Readiness'!J13:J18,'Training Log'!AL66:AL121)</x:f>
        <x:v>0</x:v>
      </x:c>
      <x:c r="N7" s="333" t="n">
        <x:f>MAX('Training Log'!AR86)+MAX('Training Log'!AR68)+0</x:f>
        <x:v>0</x:v>
      </x:c>
      <x:c r="O7" s="315" t="str">
        <x:f>IF(F7=0,"LOG READINESS",IF(OR(M7&gt;='Setup'!$B$14,G7&lt;'Setup'!$B$13,E7&lt;0.67),"DELOAD / MODIFY",IF(OR(G7&lt;'Setup'!$B$12,E7&lt;0.83),"REDUCE 15%","ON TRACK")))</x:f>
        <x:v>LOG READINESS</x:v>
      </x:c>
      <x:c r="P7" s="312"/>
      <x:c r="Q7" s="312"/>
      <x:c r="R7" s="336"/>
    </x:row>
    <x:row r="8">
      <x:c r="A8" s="295" t="n">
        <x:v>3</x:v>
      </x:c>
      <x:c r="B8" s="315" t="str">
        <x:f>INDEX('Program Overview'!$B$5:$B$16,A8)</x:f>
        <x:v>Accumulation</x:v>
      </x:c>
      <x:c r="C8" s="315" t="n">
        <x:f>6</x:f>
        <x:v>6</x:v>
      </x:c>
      <x:c r="D8" s="315" t="n">
        <x:f>COUNTIF('Readiness'!P19:P24,"Yes")</x:f>
        <x:v>0</x:v>
      </x:c>
      <x:c r="E8" s="314" t="n">
        <x:f>D8/C8</x:f>
        <x:v>0</x:v>
      </x:c>
      <x:c r="F8" s="315" t="n">
        <x:f>COUNT('Readiness'!K19:K24)</x:f>
        <x:v>0</x:v>
      </x:c>
      <x:c r="G8" s="313" t="str">
        <x:f>IF(F8=0,"",AVERAGE('Readiness'!K19:K24))</x:f>
      </x:c>
      <x:c r="H8" s="333" t="str">
        <x:f>IFERROR(AVERAGE('Readiness'!N19:N24),"")</x:f>
      </x:c>
      <x:c r="I8" s="315" t="n">
        <x:f>SUM('Training Log'!N122:N177)</x:f>
        <x:v>185</x:v>
      </x:c>
      <x:c r="J8" s="315" t="n">
        <x:f>SUM('Training Log'!Y122:Y177)</x:f>
        <x:v>185</x:v>
      </x:c>
      <x:c r="K8" s="315" t="n">
        <x:f>SUM('Training Log'!AO122:AO177)</x:f>
        <x:v>0</x:v>
      </x:c>
      <x:c r="L8" s="333" t="n">
        <x:f>SUM('Training Log'!AQ122:AQ177)</x:f>
        <x:v>0</x:v>
      </x:c>
      <x:c r="M8" s="333" t="n">
        <x:f>MAX('Readiness'!J19:J24,'Training Log'!AL122:AL177)</x:f>
        <x:v>0</x:v>
      </x:c>
      <x:c r="N8" s="333" t="n">
        <x:f>MAX('Training Log'!AR142)+MAX('Training Log'!AR124)+0</x:f>
        <x:v>0</x:v>
      </x:c>
      <x:c r="O8" s="315" t="str">
        <x:f>IF(F8=0,"LOG READINESS",IF(OR(M8&gt;='Setup'!$B$14,G8&lt;'Setup'!$B$13,E8&lt;0.67),"DELOAD / MODIFY",IF(OR(G8&lt;'Setup'!$B$12,E8&lt;0.83),"REDUCE 15%","ON TRACK")))</x:f>
        <x:v>LOG READINESS</x:v>
      </x:c>
      <x:c r="P8" s="312"/>
      <x:c r="Q8" s="312"/>
      <x:c r="R8" s="336"/>
    </x:row>
    <x:row r="9">
      <x:c r="A9" s="295" t="n">
        <x:v>4</x:v>
      </x:c>
      <x:c r="B9" s="315" t="str">
        <x:f>INDEX('Program Overview'!$B$5:$B$16,A9)</x:f>
        <x:v>Deload 1</x:v>
      </x:c>
      <x:c r="C9" s="315" t="n">
        <x:f>6</x:f>
        <x:v>6</x:v>
      </x:c>
      <x:c r="D9" s="315" t="n">
        <x:f>COUNTIF('Readiness'!P25:P30,"Yes")</x:f>
        <x:v>0</x:v>
      </x:c>
      <x:c r="E9" s="314" t="n">
        <x:f>D9/C9</x:f>
        <x:v>0</x:v>
      </x:c>
      <x:c r="F9" s="315" t="n">
        <x:f>COUNT('Readiness'!K25:K30)</x:f>
        <x:v>0</x:v>
      </x:c>
      <x:c r="G9" s="313" t="str">
        <x:f>IF(F9=0,"",AVERAGE('Readiness'!K25:K30))</x:f>
      </x:c>
      <x:c r="H9" s="333" t="str">
        <x:f>IFERROR(AVERAGE('Readiness'!N25:N30),"")</x:f>
      </x:c>
      <x:c r="I9" s="315" t="n">
        <x:f>SUM('Training Log'!N178:N233)</x:f>
        <x:v>118</x:v>
      </x:c>
      <x:c r="J9" s="315" t="n">
        <x:f>SUM('Training Log'!Y178:Y233)</x:f>
        <x:v>118</x:v>
      </x:c>
      <x:c r="K9" s="315" t="n">
        <x:f>SUM('Training Log'!AO178:AO233)</x:f>
        <x:v>0</x:v>
      </x:c>
      <x:c r="L9" s="333" t="n">
        <x:f>SUM('Training Log'!AQ178:AQ233)</x:f>
        <x:v>0</x:v>
      </x:c>
      <x:c r="M9" s="333" t="n">
        <x:f>MAX('Readiness'!J25:J30,'Training Log'!AL178:AL233)</x:f>
        <x:v>0</x:v>
      </x:c>
      <x:c r="N9" s="333" t="n">
        <x:f>MAX('Training Log'!AR198)+MAX('Training Log'!AR180)+0</x:f>
        <x:v>0</x:v>
      </x:c>
      <x:c r="O9" s="315" t="str">
        <x:f>IF(F9=0,"LOG READINESS",IF(OR(M9&gt;='Setup'!$B$14,G9&lt;'Setup'!$B$13,E9&lt;0.67),"DELOAD / MODIFY",IF(OR(G9&lt;'Setup'!$B$12,E9&lt;0.83),"REDUCE 15%","ON TRACK")))</x:f>
        <x:v>LOG READINESS</x:v>
      </x:c>
      <x:c r="P9" s="312"/>
      <x:c r="Q9" s="312"/>
      <x:c r="R9" s="336"/>
    </x:row>
    <x:row r="10">
      <x:c r="A10" s="295" t="n">
        <x:v>5</x:v>
      </x:c>
      <x:c r="B10" s="315" t="str">
        <x:f>INDEX('Program Overview'!$B$5:$B$16,A10)</x:f>
        <x:v>Intensification</x:v>
      </x:c>
      <x:c r="C10" s="315" t="n">
        <x:f>6</x:f>
        <x:v>6</x:v>
      </x:c>
      <x:c r="D10" s="315" t="n">
        <x:f>COUNTIF('Readiness'!P31:P36,"Yes")</x:f>
        <x:v>0</x:v>
      </x:c>
      <x:c r="E10" s="314" t="n">
        <x:f>D10/C10</x:f>
        <x:v>0</x:v>
      </x:c>
      <x:c r="F10" s="315" t="n">
        <x:f>COUNT('Readiness'!K31:K36)</x:f>
        <x:v>0</x:v>
      </x:c>
      <x:c r="G10" s="313" t="str">
        <x:f>IF(F10=0,"",AVERAGE('Readiness'!K31:K36))</x:f>
      </x:c>
      <x:c r="H10" s="333" t="str">
        <x:f>IFERROR(AVERAGE('Readiness'!N31:N36),"")</x:f>
      </x:c>
      <x:c r="I10" s="315" t="n">
        <x:f>SUM('Training Log'!N234:N286)</x:f>
        <x:v>184</x:v>
      </x:c>
      <x:c r="J10" s="315" t="n">
        <x:f>SUM('Training Log'!Y234:Y286)</x:f>
        <x:v>184</x:v>
      </x:c>
      <x:c r="K10" s="315" t="n">
        <x:f>SUM('Training Log'!AO234:AO286)</x:f>
        <x:v>0</x:v>
      </x:c>
      <x:c r="L10" s="333" t="n">
        <x:f>SUM('Training Log'!AQ234:AQ286)</x:f>
        <x:v>0</x:v>
      </x:c>
      <x:c r="M10" s="333" t="n">
        <x:f>MAX('Readiness'!J31:J36,'Training Log'!AL234:AL286)</x:f>
        <x:v>0</x:v>
      </x:c>
      <x:c r="N10" s="333" t="n">
        <x:f>MAX('Training Log'!AR244)+MAX('Training Log'!AR235)+MAX('Training Log'!AR236)</x:f>
        <x:v>0</x:v>
      </x:c>
      <x:c r="O10" s="315" t="str">
        <x:f>IF(F10=0,"LOG READINESS",IF(OR(M10&gt;='Setup'!$B$14,G10&lt;'Setup'!$B$13,E10&lt;0.67),"DELOAD / MODIFY",IF(OR(G10&lt;'Setup'!$B$12,E10&lt;0.83),"REDUCE 15%","ON TRACK")))</x:f>
        <x:v>LOG READINESS</x:v>
      </x:c>
      <x:c r="P10" s="312"/>
      <x:c r="Q10" s="312"/>
      <x:c r="R10" s="336"/>
    </x:row>
    <x:row r="11">
      <x:c r="A11" s="295" t="n">
        <x:v>6</x:v>
      </x:c>
      <x:c r="B11" s="315" t="str">
        <x:f>INDEX('Program Overview'!$B$5:$B$16,A11)</x:f>
        <x:v>Intensification</x:v>
      </x:c>
      <x:c r="C11" s="315" t="n">
        <x:f>6</x:f>
        <x:v>6</x:v>
      </x:c>
      <x:c r="D11" s="315" t="n">
        <x:f>COUNTIF('Readiness'!P37:P42,"Yes")</x:f>
        <x:v>0</x:v>
      </x:c>
      <x:c r="E11" s="314" t="n">
        <x:f>D11/C11</x:f>
        <x:v>0</x:v>
      </x:c>
      <x:c r="F11" s="315" t="n">
        <x:f>COUNT('Readiness'!K37:K42)</x:f>
        <x:v>0</x:v>
      </x:c>
      <x:c r="G11" s="313" t="str">
        <x:f>IF(F11=0,"",AVERAGE('Readiness'!K37:K42))</x:f>
      </x:c>
      <x:c r="H11" s="333" t="str">
        <x:f>IFERROR(AVERAGE('Readiness'!N37:N42),"")</x:f>
      </x:c>
      <x:c r="I11" s="315" t="n">
        <x:f>SUM('Training Log'!N287:N339)</x:f>
        <x:v>212</x:v>
      </x:c>
      <x:c r="J11" s="315" t="n">
        <x:f>SUM('Training Log'!Y287:Y339)</x:f>
        <x:v>212</x:v>
      </x:c>
      <x:c r="K11" s="315" t="n">
        <x:f>SUM('Training Log'!AO287:AO339)</x:f>
        <x:v>0</x:v>
      </x:c>
      <x:c r="L11" s="333" t="n">
        <x:f>SUM('Training Log'!AQ287:AQ339)</x:f>
        <x:v>0</x:v>
      </x:c>
      <x:c r="M11" s="333" t="n">
        <x:f>MAX('Readiness'!J37:J42,'Training Log'!AL287:AL339)</x:f>
        <x:v>0</x:v>
      </x:c>
      <x:c r="N11" s="333" t="n">
        <x:f>MAX('Training Log'!AR297)+MAX('Training Log'!AR288)+MAX('Training Log'!AR289)</x:f>
        <x:v>0</x:v>
      </x:c>
      <x:c r="O11" s="315" t="str">
        <x:f>IF(F11=0,"LOG READINESS",IF(OR(M11&gt;='Setup'!$B$14,G11&lt;'Setup'!$B$13,E11&lt;0.67),"DELOAD / MODIFY",IF(OR(G11&lt;'Setup'!$B$12,E11&lt;0.83),"REDUCE 15%","ON TRACK")))</x:f>
        <x:v>LOG READINESS</x:v>
      </x:c>
      <x:c r="P11" s="312"/>
      <x:c r="Q11" s="312"/>
      <x:c r="R11" s="336"/>
    </x:row>
    <x:row r="12">
      <x:c r="A12" s="295" t="n">
        <x:v>7</x:v>
      </x:c>
      <x:c r="B12" s="315" t="str">
        <x:f>INDEX('Program Overview'!$B$5:$B$16,A12)</x:f>
        <x:v>Intensification</x:v>
      </x:c>
      <x:c r="C12" s="315" t="n">
        <x:f>6</x:f>
        <x:v>6</x:v>
      </x:c>
      <x:c r="D12" s="315" t="n">
        <x:f>COUNTIF('Readiness'!P43:P48,"Yes")</x:f>
        <x:v>0</x:v>
      </x:c>
      <x:c r="E12" s="314" t="n">
        <x:f>D12/C12</x:f>
        <x:v>0</x:v>
      </x:c>
      <x:c r="F12" s="315" t="n">
        <x:f>COUNT('Readiness'!K43:K48)</x:f>
        <x:v>0</x:v>
      </x:c>
      <x:c r="G12" s="313" t="str">
        <x:f>IF(F12=0,"",AVERAGE('Readiness'!K43:K48))</x:f>
      </x:c>
      <x:c r="H12" s="333" t="str">
        <x:f>IFERROR(AVERAGE('Readiness'!N43:N48),"")</x:f>
      </x:c>
      <x:c r="I12" s="315" t="n">
        <x:f>SUM('Training Log'!N340:N392)</x:f>
        <x:v>184</x:v>
      </x:c>
      <x:c r="J12" s="315" t="n">
        <x:f>SUM('Training Log'!Y340:Y392)</x:f>
        <x:v>184</x:v>
      </x:c>
      <x:c r="K12" s="315" t="n">
        <x:f>SUM('Training Log'!AO340:AO392)</x:f>
        <x:v>0</x:v>
      </x:c>
      <x:c r="L12" s="333" t="n">
        <x:f>SUM('Training Log'!AQ340:AQ392)</x:f>
        <x:v>0</x:v>
      </x:c>
      <x:c r="M12" s="333" t="n">
        <x:f>MAX('Readiness'!J43:J48,'Training Log'!AL340:AL392)</x:f>
        <x:v>0</x:v>
      </x:c>
      <x:c r="N12" s="333" t="n">
        <x:f>MAX('Training Log'!AR350)+MAX('Training Log'!AR341)+MAX('Training Log'!AR342)</x:f>
        <x:v>0</x:v>
      </x:c>
      <x:c r="O12" s="315" t="str">
        <x:f>IF(F12=0,"LOG READINESS",IF(OR(M12&gt;='Setup'!$B$14,G12&lt;'Setup'!$B$13,E12&lt;0.67),"DELOAD / MODIFY",IF(OR(G12&lt;'Setup'!$B$12,E12&lt;0.83),"REDUCE 15%","ON TRACK")))</x:f>
        <x:v>LOG READINESS</x:v>
      </x:c>
      <x:c r="P12" s="312"/>
      <x:c r="Q12" s="312"/>
      <x:c r="R12" s="336"/>
    </x:row>
    <x:row r="13">
      <x:c r="A13" s="295" t="n">
        <x:v>8</x:v>
      </x:c>
      <x:c r="B13" s="315" t="str">
        <x:f>INDEX('Program Overview'!$B$5:$B$16,A13)</x:f>
        <x:v>Deload 2</x:v>
      </x:c>
      <x:c r="C13" s="315" t="n">
        <x:f>6</x:f>
        <x:v>6</x:v>
      </x:c>
      <x:c r="D13" s="315" t="n">
        <x:f>COUNTIF('Readiness'!P49:P54,"Yes")</x:f>
        <x:v>0</x:v>
      </x:c>
      <x:c r="E13" s="314" t="n">
        <x:f>D13/C13</x:f>
        <x:v>0</x:v>
      </x:c>
      <x:c r="F13" s="315" t="n">
        <x:f>COUNT('Readiness'!K49:K54)</x:f>
        <x:v>0</x:v>
      </x:c>
      <x:c r="G13" s="313" t="str">
        <x:f>IF(F13=0,"",AVERAGE('Readiness'!K49:K54))</x:f>
      </x:c>
      <x:c r="H13" s="333" t="str">
        <x:f>IFERROR(AVERAGE('Readiness'!N49:N54),"")</x:f>
      </x:c>
      <x:c r="I13" s="315" t="n">
        <x:f>SUM('Training Log'!N393:N445)</x:f>
        <x:v>112</x:v>
      </x:c>
      <x:c r="J13" s="315" t="n">
        <x:f>SUM('Training Log'!Y393:Y445)</x:f>
        <x:v>112</x:v>
      </x:c>
      <x:c r="K13" s="315" t="n">
        <x:f>SUM('Training Log'!AO393:AO445)</x:f>
        <x:v>0</x:v>
      </x:c>
      <x:c r="L13" s="333" t="n">
        <x:f>SUM('Training Log'!AQ393:AQ445)</x:f>
        <x:v>0</x:v>
      </x:c>
      <x:c r="M13" s="333" t="n">
        <x:f>MAX('Readiness'!J49:J54,'Training Log'!AL393:AL445)</x:f>
        <x:v>0</x:v>
      </x:c>
      <x:c r="N13" s="333" t="n">
        <x:f>MAX('Training Log'!AR403)+MAX('Training Log'!AR394)+MAX('Training Log'!AR395)</x:f>
        <x:v>0</x:v>
      </x:c>
      <x:c r="O13" s="315" t="str">
        <x:f>IF(F13=0,"LOG READINESS",IF(OR(M13&gt;='Setup'!$B$14,G13&lt;'Setup'!$B$13,E13&lt;0.67),"DELOAD / MODIFY",IF(OR(G13&lt;'Setup'!$B$12,E13&lt;0.83),"REDUCE 15%","ON TRACK")))</x:f>
        <x:v>LOG READINESS</x:v>
      </x:c>
      <x:c r="P13" s="312"/>
      <x:c r="Q13" s="312"/>
      <x:c r="R13" s="336"/>
    </x:row>
    <x:row r="14">
      <x:c r="A14" s="295" t="n">
        <x:v>9</x:v>
      </x:c>
      <x:c r="B14" s="315" t="str">
        <x:f>INDEX('Program Overview'!$B$5:$B$16,A14)</x:f>
        <x:v>Realization</x:v>
      </x:c>
      <x:c r="C14" s="315" t="n">
        <x:f>6</x:f>
        <x:v>6</x:v>
      </x:c>
      <x:c r="D14" s="315" t="n">
        <x:f>COUNTIF('Readiness'!P55:P60,"Yes")</x:f>
        <x:v>0</x:v>
      </x:c>
      <x:c r="E14" s="314" t="n">
        <x:f>D14/C14</x:f>
        <x:v>0</x:v>
      </x:c>
      <x:c r="F14" s="315" t="n">
        <x:f>COUNT('Readiness'!K55:K60)</x:f>
        <x:v>0</x:v>
      </x:c>
      <x:c r="G14" s="313" t="str">
        <x:f>IF(F14=0,"",AVERAGE('Readiness'!K55:K60))</x:f>
      </x:c>
      <x:c r="H14" s="333" t="str">
        <x:f>IFERROR(AVERAGE('Readiness'!N55:N60),"")</x:f>
      </x:c>
      <x:c r="I14" s="315" t="n">
        <x:f>SUM('Training Log'!N446:N501)</x:f>
        <x:v>190</x:v>
      </x:c>
      <x:c r="J14" s="315" t="n">
        <x:f>SUM('Training Log'!Y446:Y501)</x:f>
        <x:v>190</x:v>
      </x:c>
      <x:c r="K14" s="315" t="n">
        <x:f>SUM('Training Log'!AO446:AO501)</x:f>
        <x:v>0</x:v>
      </x:c>
      <x:c r="L14" s="333" t="n">
        <x:f>SUM('Training Log'!AQ446:AQ501)</x:f>
        <x:v>0</x:v>
      </x:c>
      <x:c r="M14" s="333" t="n">
        <x:f>MAX('Readiness'!J55:J60,'Training Log'!AL446:AL501)</x:f>
        <x:v>0</x:v>
      </x:c>
      <x:c r="N14" s="333" t="n">
        <x:f>MAX('Training Log'!AR466)+MAX('Training Log'!AR448)+MAX('Training Log'!AR475)</x:f>
        <x:v>0</x:v>
      </x:c>
      <x:c r="O14" s="315" t="str">
        <x:f>IF(F14=0,"LOG READINESS",IF(OR(M14&gt;='Setup'!$B$14,G14&lt;'Setup'!$B$13,E14&lt;0.67),"DELOAD / MODIFY",IF(OR(G14&lt;'Setup'!$B$12,E14&lt;0.83),"REDUCE 15%","ON TRACK")))</x:f>
        <x:v>LOG READINESS</x:v>
      </x:c>
      <x:c r="P14" s="312"/>
      <x:c r="Q14" s="312"/>
      <x:c r="R14" s="336"/>
    </x:row>
    <x:row r="15">
      <x:c r="A15" s="295" t="n">
        <x:v>10</x:v>
      </x:c>
      <x:c r="B15" s="315" t="str">
        <x:f>INDEX('Program Overview'!$B$5:$B$16,A15)</x:f>
        <x:v>Realization</x:v>
      </x:c>
      <x:c r="C15" s="315" t="n">
        <x:f>6</x:f>
        <x:v>6</x:v>
      </x:c>
      <x:c r="D15" s="315" t="n">
        <x:f>COUNTIF('Readiness'!P61:P66,"Yes")</x:f>
        <x:v>0</x:v>
      </x:c>
      <x:c r="E15" s="314" t="n">
        <x:f>D15/C15</x:f>
        <x:v>0</x:v>
      </x:c>
      <x:c r="F15" s="315" t="n">
        <x:f>COUNT('Readiness'!K61:K66)</x:f>
        <x:v>0</x:v>
      </x:c>
      <x:c r="G15" s="313" t="str">
        <x:f>IF(F15=0,"",AVERAGE('Readiness'!K61:K66))</x:f>
      </x:c>
      <x:c r="H15" s="333" t="str">
        <x:f>IFERROR(AVERAGE('Readiness'!N61:N66),"")</x:f>
      </x:c>
      <x:c r="I15" s="315" t="n">
        <x:f>SUM('Training Log'!N502:N557)</x:f>
        <x:v>212</x:v>
      </x:c>
      <x:c r="J15" s="315" t="n">
        <x:f>SUM('Training Log'!Y502:Y557)</x:f>
        <x:v>212</x:v>
      </x:c>
      <x:c r="K15" s="315" t="n">
        <x:f>SUM('Training Log'!AO502:AO557)</x:f>
        <x:v>0</x:v>
      </x:c>
      <x:c r="L15" s="333" t="n">
        <x:f>SUM('Training Log'!AQ502:AQ557)</x:f>
        <x:v>0</x:v>
      </x:c>
      <x:c r="M15" s="333" t="n">
        <x:f>MAX('Readiness'!J61:J66,'Training Log'!AL502:AL557)</x:f>
        <x:v>0</x:v>
      </x:c>
      <x:c r="N15" s="333" t="n">
        <x:f>MAX('Training Log'!AR522)+MAX('Training Log'!AR504)+MAX('Training Log'!AR531)</x:f>
        <x:v>0</x:v>
      </x:c>
      <x:c r="O15" s="315" t="str">
        <x:f>IF(F15=0,"LOG READINESS",IF(OR(M15&gt;='Setup'!$B$14,G15&lt;'Setup'!$B$13,E15&lt;0.67),"DELOAD / MODIFY",IF(OR(G15&lt;'Setup'!$B$12,E15&lt;0.83),"REDUCE 15%","ON TRACK")))</x:f>
        <x:v>LOG READINESS</x:v>
      </x:c>
      <x:c r="P15" s="312"/>
      <x:c r="Q15" s="312"/>
      <x:c r="R15" s="336"/>
    </x:row>
    <x:row r="16">
      <x:c r="A16" s="295" t="n">
        <x:v>11</x:v>
      </x:c>
      <x:c r="B16" s="315" t="str">
        <x:f>INDEX('Program Overview'!$B$5:$B$16,A16)</x:f>
        <x:v>Realization</x:v>
      </x:c>
      <x:c r="C16" s="315" t="n">
        <x:f>6</x:f>
        <x:v>6</x:v>
      </x:c>
      <x:c r="D16" s="315" t="n">
        <x:f>COUNTIF('Readiness'!P67:P72,"Yes")</x:f>
        <x:v>0</x:v>
      </x:c>
      <x:c r="E16" s="314" t="n">
        <x:f>D16/C16</x:f>
        <x:v>0</x:v>
      </x:c>
      <x:c r="F16" s="315" t="n">
        <x:f>COUNT('Readiness'!K67:K72)</x:f>
        <x:v>0</x:v>
      </x:c>
      <x:c r="G16" s="313" t="str">
        <x:f>IF(F16=0,"",AVERAGE('Readiness'!K67:K72))</x:f>
      </x:c>
      <x:c r="H16" s="333" t="str">
        <x:f>IFERROR(AVERAGE('Readiness'!N67:N72),"")</x:f>
      </x:c>
      <x:c r="I16" s="315" t="n">
        <x:f>SUM('Training Log'!N558:N613)</x:f>
        <x:v>190</x:v>
      </x:c>
      <x:c r="J16" s="315" t="n">
        <x:f>SUM('Training Log'!Y558:Y613)</x:f>
        <x:v>190</x:v>
      </x:c>
      <x:c r="K16" s="315" t="n">
        <x:f>SUM('Training Log'!AO558:AO613)</x:f>
        <x:v>0</x:v>
      </x:c>
      <x:c r="L16" s="333" t="n">
        <x:f>SUM('Training Log'!AQ558:AQ613)</x:f>
        <x:v>0</x:v>
      </x:c>
      <x:c r="M16" s="333" t="n">
        <x:f>MAX('Readiness'!J67:J72,'Training Log'!AL558:AL613)</x:f>
        <x:v>0</x:v>
      </x:c>
      <x:c r="N16" s="333" t="n">
        <x:f>MAX('Training Log'!AR578)+MAX('Training Log'!AR560)+MAX('Training Log'!AR587)</x:f>
        <x:v>0</x:v>
      </x:c>
      <x:c r="O16" s="315" t="str">
        <x:f>IF(F16=0,"LOG READINESS",IF(OR(M16&gt;='Setup'!$B$14,G16&lt;'Setup'!$B$13,E16&lt;0.67),"DELOAD / MODIFY",IF(OR(G16&lt;'Setup'!$B$12,E16&lt;0.83),"REDUCE 15%","ON TRACK")))</x:f>
        <x:v>LOG READINESS</x:v>
      </x:c>
      <x:c r="P16" s="312"/>
      <x:c r="Q16" s="312"/>
      <x:c r="R16" s="336"/>
    </x:row>
    <x:row r="17">
      <x:c r="A17" s="298" t="n">
        <x:v>12</x:v>
      </x:c>
      <x:c r="B17" s="321" t="str">
        <x:f>INDEX('Program Overview'!$B$5:$B$16,A17)</x:f>
        <x:v>Taper + Performance</x:v>
      </x:c>
      <x:c r="C17" s="321" t="n">
        <x:f>6</x:f>
        <x:v>6</x:v>
      </x:c>
      <x:c r="D17" s="321" t="n">
        <x:f>COUNTIF('Readiness'!P73:P78,"Yes")</x:f>
        <x:v>0</x:v>
      </x:c>
      <x:c r="E17" s="320" t="n">
        <x:f>D17/C17</x:f>
        <x:v>0</x:v>
      </x:c>
      <x:c r="F17" s="321" t="n">
        <x:f>COUNT('Readiness'!K73:K78)</x:f>
        <x:v>0</x:v>
      </x:c>
      <x:c r="G17" s="319" t="str">
        <x:f>IF(F17=0,"",AVERAGE('Readiness'!K73:K78))</x:f>
      </x:c>
      <x:c r="H17" s="340" t="str">
        <x:f>IFERROR(AVERAGE('Readiness'!N73:N78),"")</x:f>
      </x:c>
      <x:c r="I17" s="321" t="n">
        <x:f>SUM('Training Log'!N614:N669)</x:f>
        <x:v>137</x:v>
      </x:c>
      <x:c r="J17" s="321" t="n">
        <x:f>SUM('Training Log'!Y614:Y669)</x:f>
        <x:v>137</x:v>
      </x:c>
      <x:c r="K17" s="321" t="n">
        <x:f>SUM('Training Log'!AO614:AO669)</x:f>
        <x:v>0</x:v>
      </x:c>
      <x:c r="L17" s="340" t="n">
        <x:f>SUM('Training Log'!AQ614:AQ669)</x:f>
        <x:v>0</x:v>
      </x:c>
      <x:c r="M17" s="340" t="n">
        <x:f>MAX('Readiness'!J73:J78,'Training Log'!AL614:AL669)</x:f>
        <x:v>0</x:v>
      </x:c>
      <x:c r="N17" s="340" t="n">
        <x:f>MAX('Training Log'!AR634)+MAX('Training Log'!AR616)+MAX('Training Log'!AR643)</x:f>
        <x:v>0</x:v>
      </x:c>
      <x:c r="O17" s="321" t="str">
        <x:f>IF(F17=0,"LOG READINESS",IF(OR(M17&gt;='Setup'!$B$14,G17&lt;'Setup'!$B$13,E17&lt;0.67),"DELOAD / MODIFY",IF(OR(G17&lt;'Setup'!$B$12,E17&lt;0.83),"REDUCE 15%","ON TRACK")))</x:f>
        <x:v>LOG READINESS</x:v>
      </x:c>
      <x:c r="P17" s="318"/>
      <x:c r="Q17" s="318"/>
      <x:c r="R17" s="343"/>
    </x:row>
  </x:sheetData>
  <x:mergeCells>
    <x:mergeCell ref="A1:R1"/>
    <x:mergeCell ref="A2:R2"/>
  </x:mergeCells>
  <x:conditionalFormatting sqref="O6:O17">
    <x:cfRule type="containsText" dxfId="7" priority="1" operator="containsText" text="ON TRACK"/>
    <x:cfRule type="containsText" dxfId="8" priority="2" operator="containsText" text="REDUCE"/>
    <x:cfRule type="containsText" dxfId="9" priority="3" operator="containsText" text="DELOAD"/>
    <x:cfRule type="containsText" dxfId="10" priority="4" operator="containsText" text="LOG"/>
  </x:conditionalFormatting>
  <x:pageMargins left="0.7" right="0.7" top="0.75" bottom="0.75" header="0.3" footer="0.3"/>
  <x:tableParts count="1">
    <x:tablePart xmlns:r="http://schemas.openxmlformats.org/officeDocument/2006/relationships" r:id="R9462e4f6afdc418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32" hidden="0" customWidth="1"/>
    <x:col min="2" max="2" width="14" hidden="0" customWidth="1"/>
    <x:col min="3" max="3" width="16" hidden="0" customWidth="1"/>
    <x:col min="4" max="4" width="22" hidden="0" customWidth="1"/>
    <x:col min="5" max="5" width="18" hidden="0" customWidth="1"/>
    <x:col min="6" max="6" width="28" hidden="0" customWidth="1"/>
    <x:col min="7" max="7" width="28" hidden="0" customWidth="1"/>
    <x:col min="8" max="8" width="46" hidden="0" customWidth="1"/>
  </x:cols>
  <x:sheetData>
    <x:row r="1" ht="34" customHeight="1">
      <x:c r="A1" s="78" t="str">
        <x:v>Exercise Library &amp; Substitutions</x:v>
      </x:c>
      <x:c r="B1" s="78" t="str">
        <x:v>Exercise Library &amp; Substitutions</x:v>
      </x:c>
      <x:c r="C1" s="78" t="str">
        <x:v>Exercise Library &amp; Substitutions</x:v>
      </x:c>
      <x:c r="D1" s="78" t="str">
        <x:v>Exercise Library &amp; Substitutions</x:v>
      </x:c>
      <x:c r="E1" s="78" t="str">
        <x:v>Exercise Library &amp; Substitutions</x:v>
      </x:c>
      <x:c r="F1" s="78" t="str">
        <x:v>Exercise Library &amp; Substitutions</x:v>
      </x:c>
      <x:c r="G1" s="78" t="str">
        <x:v>Exercise Library &amp; Substitutions</x:v>
      </x:c>
      <x:c r="H1" s="78" t="str">
        <x:v>Exercise Library &amp; Substitutions</x:v>
      </x:c>
    </x:row>
    <x:row r="2" ht="28" customHeight="1">
      <x:c r="A2" s="79" t="str">
        <x:v>Use the closest pain-free variation that preserves the movement pattern and target muscle. Record the chosen version consistently.</x:v>
      </x:c>
      <x:c r="B2" s="79" t="str">
        <x:v>Use the closest pain-free variation that preserves the movement pattern and target muscle. Record the chosen version consistently.</x:v>
      </x:c>
      <x:c r="C2" s="79" t="str">
        <x:v>Use the closest pain-free variation that preserves the movement pattern and target muscle. Record the chosen version consistently.</x:v>
      </x:c>
      <x:c r="D2" s="79" t="str">
        <x:v>Use the closest pain-free variation that preserves the movement pattern and target muscle. Record the chosen version consistently.</x:v>
      </x:c>
      <x:c r="E2" s="79" t="str">
        <x:v>Use the closest pain-free variation that preserves the movement pattern and target muscle. Record the chosen version consistently.</x:v>
      </x:c>
      <x:c r="F2" s="79" t="str">
        <x:v>Use the closest pain-free variation that preserves the movement pattern and target muscle. Record the chosen version consistently.</x:v>
      </x:c>
      <x:c r="G2" s="79" t="str">
        <x:v>Use the closest pain-free variation that preserves the movement pattern and target muscle. Record the chosen version consistently.</x:v>
      </x:c>
      <x:c r="H2" s="79" t="str">
        <x:v>Use the closest pain-free variation that preserves the movement pattern and target muscle. Record the chosen version consistently.</x:v>
      </x:c>
    </x:row>
    <x:row r="3">
      <x:c r="A3" s="80"/>
      <x:c r="B3" s="80"/>
      <x:c r="C3" s="80"/>
      <x:c r="D3" s="80"/>
      <x:c r="E3" s="80"/>
      <x:c r="F3" s="80"/>
      <x:c r="G3" s="80"/>
      <x:c r="H3" s="80"/>
    </x:row>
    <x:row r="4">
      <x:c r="A4" s="80"/>
      <x:c r="B4" s="80"/>
      <x:c r="C4" s="80"/>
      <x:c r="D4" s="80"/>
      <x:c r="E4" s="80"/>
      <x:c r="F4" s="80"/>
      <x:c r="G4" s="80"/>
      <x:c r="H4" s="80"/>
    </x:row>
    <x:row r="5" ht="30" customHeight="1">
      <x:c r="A5" s="95" t="str">
        <x:v>Exercise</x:v>
      </x:c>
      <x:c r="B5" s="96" t="str">
        <x:v>Category</x:v>
      </x:c>
      <x:c r="C5" s="96" t="str">
        <x:v>Primary Muscle</x:v>
      </x:c>
      <x:c r="D5" s="96" t="str">
        <x:v>Pattern</x:v>
      </x:c>
      <x:c r="E5" s="96" t="str">
        <x:v>Metric</x:v>
      </x:c>
      <x:c r="F5" s="96" t="str">
        <x:v>Substitute 1</x:v>
      </x:c>
      <x:c r="G5" s="96" t="str">
        <x:v>Substitute 2</x:v>
      </x:c>
      <x:c r="H5" s="97" t="str">
        <x:v>Key execution cue</x:v>
      </x:c>
    </x:row>
    <x:row r="6">
      <x:c r="A6" s="271" t="str">
        <x:v>45-Degree Back Extension</x:v>
      </x:c>
      <x:c r="B6" s="272" t="str">
        <x:v>Hypertrophy</x:v>
      </x:c>
      <x:c r="C6" s="272" t="str">
        <x:v>Hamstrings</x:v>
      </x:c>
      <x:c r="D6" s="272" t="str">
        <x:v>Hinge / knee flexion</x:v>
      </x:c>
      <x:c r="E6" s="272" t="str">
        <x:v>load × reps</x:v>
      </x:c>
      <x:c r="F6" s="272" t="str">
        <x:v>Machine curl or back extension</x:v>
      </x:c>
      <x:c r="G6" s="272" t="str">
        <x:v>Dumbbell hinge variation</x:v>
      </x:c>
      <x:c r="H6" s="273" t="str">
        <x:v>Use a controlled eccentric and neutral trunk</x:v>
      </x:c>
    </x:row>
    <x:row r="7">
      <x:c r="A7" s="274" t="str">
        <x:v>90/90 Hip Switch</x:v>
      </x:c>
      <x:c r="B7" s="275" t="str">
        <x:v>Mobility</x:v>
      </x:c>
      <x:c r="C7" s="275" t="str">
        <x:v>Hips</x:v>
      </x:c>
      <x:c r="D7" s="275" t="str">
        <x:v>Mobility</x:v>
      </x:c>
      <x:c r="E7" s="275" t="str">
        <x:v>reps</x:v>
      </x:c>
      <x:c r="F7" s="275" t="str">
        <x:v>Pain-free equivalent</x:v>
      </x:c>
      <x:c r="G7" s="275" t="str">
        <x:v>Machine or cable equivalent</x:v>
      </x:c>
      <x:c r="H7" s="276" t="str">
        <x:v>Use controlled, repeatable technique</x:v>
      </x:c>
    </x:row>
    <x:row r="8">
      <x:c r="A8" s="274" t="str">
        <x:v>Ab Wheel Rollout</x:v>
      </x:c>
      <x:c r="B8" s="275" t="str">
        <x:v>Hypertrophy</x:v>
      </x:c>
      <x:c r="C8" s="275" t="str">
        <x:v>Core</x:v>
      </x:c>
      <x:c r="D8" s="275" t="str">
        <x:v>Trunk control</x:v>
      </x:c>
      <x:c r="E8" s="275" t="str">
        <x:v>reps</x:v>
      </x:c>
      <x:c r="F8" s="275" t="str">
        <x:v>Dead bug variation</x:v>
      </x:c>
      <x:c r="G8" s="275" t="str">
        <x:v>Cable anti-rotation variation</x:v>
      </x:c>
      <x:c r="H8" s="276" t="str">
        <x:v>Breathe behind the brace and avoid compensation</x:v>
      </x:c>
    </x:row>
    <x:row r="9">
      <x:c r="A9" s="274" t="str">
        <x:v>Acceleration Sprint</x:v>
      </x:c>
      <x:c r="B9" s="275" t="str">
        <x:v>Athletic</x:v>
      </x:c>
      <x:c r="C9" s="275" t="str">
        <x:v>Full Body</x:v>
      </x:c>
      <x:c r="D9" s="275" t="str">
        <x:v>Acceleration</x:v>
      </x:c>
      <x:c r="E9" s="275" t="str">
        <x:v>20 m time</x:v>
      </x:c>
      <x:c r="F9" s="275" t="str">
        <x:v>Hill Sprint</x:v>
      </x:c>
      <x:c r="G9" s="275" t="str">
        <x:v>Bike Sprint</x:v>
      </x:c>
      <x:c r="H9" s="276" t="str">
        <x:v>Full recovery, stop if mechanics or speed deteriorate</x:v>
      </x:c>
    </x:row>
    <x:row r="10">
      <x:c r="A10" s="274" t="str">
        <x:v>Ankle Dorsiflexion Mobilization</x:v>
      </x:c>
      <x:c r="B10" s="275" t="str">
        <x:v>Mobility</x:v>
      </x:c>
      <x:c r="C10" s="275" t="str">
        <x:v>Ankles</x:v>
      </x:c>
      <x:c r="D10" s="275" t="str">
        <x:v>Mobility</x:v>
      </x:c>
      <x:c r="E10" s="275" t="str">
        <x:v>reps</x:v>
      </x:c>
      <x:c r="F10" s="275" t="str">
        <x:v>Pain-free equivalent</x:v>
      </x:c>
      <x:c r="G10" s="275" t="str">
        <x:v>Machine or cable equivalent</x:v>
      </x:c>
      <x:c r="H10" s="276" t="str">
        <x:v>Use controlled, repeatable technique</x:v>
      </x:c>
    </x:row>
    <x:row r="11">
      <x:c r="A11" s="274" t="str">
        <x:v>Back Squat</x:v>
      </x:c>
      <x:c r="B11" s="275" t="str">
        <x:v>Strength</x:v>
      </x:c>
      <x:c r="C11" s="275" t="str">
        <x:v>Quads</x:v>
      </x:c>
      <x:c r="D11" s="275" t="str">
        <x:v>Squat</x:v>
      </x:c>
      <x:c r="E11" s="275" t="str">
        <x:v>load × reps</x:v>
      </x:c>
      <x:c r="F11" s="275" t="str">
        <x:v>Safety-Bar Squat</x:v>
      </x:c>
      <x:c r="G11" s="275" t="str">
        <x:v>Hack Squat</x:v>
      </x:c>
      <x:c r="H11" s="276" t="str">
        <x:v>Brace before descent, keep pressure through the whole foot</x:v>
      </x:c>
    </x:row>
    <x:row r="12">
      <x:c r="A12" s="274" t="str">
        <x:v>Backward Sled Drag</x:v>
      </x:c>
      <x:c r="B12" s="275" t="str">
        <x:v>Athletic</x:v>
      </x:c>
      <x:c r="C12" s="275" t="str">
        <x:v>Quads</x:v>
      </x:c>
      <x:c r="D12" s="275" t="str">
        <x:v>Loaded locomotion</x:v>
      </x:c>
      <x:c r="E12" s="275" t="str">
        <x:v>load + meters</x:v>
      </x:c>
      <x:c r="F12" s="275" t="str">
        <x:v>Reverse Sled Drag</x:v>
      </x:c>
      <x:c r="G12" s="275" t="str">
        <x:v>Backward Treadmill Walk</x:v>
      </x:c>
      <x:c r="H12" s="276" t="str">
        <x:v>Use continuous steps and keep the torso tall</x:v>
      </x:c>
    </x:row>
    <x:row r="13">
      <x:c r="A13" s="274" t="str">
        <x:v>Barbell Hip Thrust</x:v>
      </x:c>
      <x:c r="B13" s="275" t="str">
        <x:v>Hypertrophy</x:v>
      </x:c>
      <x:c r="C13" s="275" t="str">
        <x:v>Glutes</x:v>
      </x:c>
      <x:c r="D13" s="275" t="str">
        <x:v>Hypertrophy</x:v>
      </x:c>
      <x:c r="E13" s="275" t="str">
        <x:v>load × reps</x:v>
      </x:c>
      <x:c r="F13" s="275" t="str">
        <x:v>Pain-free equivalent</x:v>
      </x:c>
      <x:c r="G13" s="275" t="str">
        <x:v>Machine or cable equivalent</x:v>
      </x:c>
      <x:c r="H13" s="276" t="str">
        <x:v>Use controlled, repeatable technique</x:v>
      </x:c>
    </x:row>
    <x:row r="14">
      <x:c r="A14" s="274" t="str">
        <x:v>Barbell Row</x:v>
      </x:c>
      <x:c r="B14" s="275" t="str">
        <x:v>Strength</x:v>
      </x:c>
      <x:c r="C14" s="275" t="str">
        <x:v>Back</x:v>
      </x:c>
      <x:c r="D14" s="275" t="str">
        <x:v>Horizontal pull</x:v>
      </x:c>
      <x:c r="E14" s="275" t="str">
        <x:v>load × reps</x:v>
      </x:c>
      <x:c r="F14" s="275" t="str">
        <x:v>Chest-Supported Dumbbell Row</x:v>
      </x:c>
      <x:c r="G14" s="275" t="str">
        <x:v>Machine High Row</x:v>
      </x:c>
      <x:c r="H14" s="276" t="str">
        <x:v>Keep torso stable and pull toward lower ribs</x:v>
      </x:c>
    </x:row>
    <x:row r="15">
      <x:c r="A15" s="274" t="str">
        <x:v>Bench Press</x:v>
      </x:c>
      <x:c r="B15" s="275" t="str">
        <x:v>Strength</x:v>
      </x:c>
      <x:c r="C15" s="275" t="str">
        <x:v>Chest</x:v>
      </x:c>
      <x:c r="D15" s="275" t="str">
        <x:v>Horizontal push</x:v>
      </x:c>
      <x:c r="E15" s="275" t="str">
        <x:v>load × reps</x:v>
      </x:c>
      <x:c r="F15" s="275" t="str">
        <x:v>Dumbbell Bench Press</x:v>
      </x:c>
      <x:c r="G15" s="275" t="str">
        <x:v>Machine Chest Press</x:v>
      </x:c>
      <x:c r="H15" s="276" t="str">
        <x:v>Set shoulder blades, touch consistently, press fast</x:v>
      </x:c>
    </x:row>
    <x:row r="16">
      <x:c r="A16" s="274" t="str">
        <x:v>Box Jump</x:v>
      </x:c>
      <x:c r="B16" s="275" t="str">
        <x:v>Power</x:v>
      </x:c>
      <x:c r="C16" s="275" t="str">
        <x:v>Quads</x:v>
      </x:c>
      <x:c r="D16" s="275" t="str">
        <x:v>Vertical jump</x:v>
      </x:c>
      <x:c r="E16" s="275" t="str">
        <x:v>height</x:v>
      </x:c>
      <x:c r="F16" s="275" t="str">
        <x:v>Countermovement Jump</x:v>
      </x:c>
      <x:c r="G16" s="275" t="str">
        <x:v>Low Box Jump</x:v>
      </x:c>
      <x:c r="H16" s="276" t="str">
        <x:v>Use a safe box, land quietly, step down</x:v>
      </x:c>
    </x:row>
    <x:row r="17">
      <x:c r="A17" s="274" t="str">
        <x:v>Broad Jump</x:v>
      </x:c>
      <x:c r="B17" s="275" t="str">
        <x:v>Power</x:v>
      </x:c>
      <x:c r="C17" s="275" t="str">
        <x:v>Quads</x:v>
      </x:c>
      <x:c r="D17" s="275" t="str">
        <x:v>Horizontal jump</x:v>
      </x:c>
      <x:c r="E17" s="275" t="str">
        <x:v>distance</x:v>
      </x:c>
      <x:c r="F17" s="275" t="str">
        <x:v>Low-Intensity Broad Jump</x:v>
      </x:c>
      <x:c r="G17" s="275" t="str">
        <x:v>Kettlebell Swing</x:v>
      </x:c>
      <x:c r="H17" s="276" t="str">
        <x:v>Project forward, land softly, own the landing</x:v>
      </x:c>
    </x:row>
    <x:row r="18">
      <x:c r="A18" s="274" t="str">
        <x:v>Bulgarian Split Squat</x:v>
      </x:c>
      <x:c r="B18" s="275" t="str">
        <x:v>Hypertrophy</x:v>
      </x:c>
      <x:c r="C18" s="275" t="str">
        <x:v>Quads</x:v>
      </x:c>
      <x:c r="D18" s="275" t="str">
        <x:v>Single-leg squat</x:v>
      </x:c>
      <x:c r="E18" s="275" t="str">
        <x:v>load × reps</x:v>
      </x:c>
      <x:c r="F18" s="275" t="str">
        <x:v>Reverse Lunge</x:v>
      </x:c>
      <x:c r="G18" s="275" t="str">
        <x:v>Leg Press</x:v>
      </x:c>
      <x:c r="H18" s="276" t="str">
        <x:v>Use a long stable stance and control the bottom</x:v>
      </x:c>
    </x:row>
    <x:row r="19">
      <x:c r="A19" s="274" t="str">
        <x:v>Cable Fly</x:v>
      </x:c>
      <x:c r="B19" s="275" t="str">
        <x:v>Hypertrophy</x:v>
      </x:c>
      <x:c r="C19" s="275" t="str">
        <x:v>Chest</x:v>
      </x:c>
      <x:c r="D19" s="275" t="str">
        <x:v>Push</x:v>
      </x:c>
      <x:c r="E19" s="275" t="str">
        <x:v>load × reps</x:v>
      </x:c>
      <x:c r="F19" s="275" t="str">
        <x:v>Dumbbell or machine equivalent</x:v>
      </x:c>
      <x:c r="G19" s="275" t="str">
        <x:v>Pain-free push-up variation</x:v>
      </x:c>
      <x:c r="H19" s="276" t="str">
        <x:v>Use a stable range and controlled eccentric</x:v>
      </x:c>
    </x:row>
    <x:row r="20">
      <x:c r="A20" s="274" t="str">
        <x:v>Cable Hip Adduction</x:v>
      </x:c>
      <x:c r="B20" s="275" t="str">
        <x:v>Hypertrophy</x:v>
      </x:c>
      <x:c r="C20" s="275" t="str">
        <x:v>Adductors</x:v>
      </x:c>
      <x:c r="D20" s="275" t="str">
        <x:v>Hypertrophy</x:v>
      </x:c>
      <x:c r="E20" s="275" t="str">
        <x:v>load × reps</x:v>
      </x:c>
      <x:c r="F20" s="275" t="str">
        <x:v>Pain-free equivalent</x:v>
      </x:c>
      <x:c r="G20" s="275" t="str">
        <x:v>Machine or cable equivalent</x:v>
      </x:c>
      <x:c r="H20" s="276" t="str">
        <x:v>Use controlled, repeatable technique</x:v>
      </x:c>
    </x:row>
    <x:row r="21">
      <x:c r="A21" s="274" t="str">
        <x:v>Cable Lateral Raise</x:v>
      </x:c>
      <x:c r="B21" s="275" t="str">
        <x:v>Hypertrophy</x:v>
      </x:c>
      <x:c r="C21" s="275" t="str">
        <x:v>Shoulders</x:v>
      </x:c>
      <x:c r="D21" s="275" t="str">
        <x:v>Shoulder abduction</x:v>
      </x:c>
      <x:c r="E21" s="275" t="str">
        <x:v>load × reps</x:v>
      </x:c>
      <x:c r="F21" s="275" t="str">
        <x:v>Dumbbell Lateral Raise</x:v>
      </x:c>
      <x:c r="G21" s="275" t="str">
        <x:v>Machine Lateral Raise</x:v>
      </x:c>
      <x:c r="H21" s="276" t="str">
        <x:v>Lead with elbows and keep traps relaxed</x:v>
      </x:c>
    </x:row>
    <x:row r="22">
      <x:c r="A22" s="274" t="str">
        <x:v>Chest-Supported Dumbbell Row</x:v>
      </x:c>
      <x:c r="B22" s="275" t="str">
        <x:v>Hypertrophy</x:v>
      </x:c>
      <x:c r="C22" s="275" t="str">
        <x:v>Back</x:v>
      </x:c>
      <x:c r="D22" s="275" t="str">
        <x:v>Horizontal pull</x:v>
      </x:c>
      <x:c r="E22" s="275" t="str">
        <x:v>load × reps</x:v>
      </x:c>
      <x:c r="F22" s="275" t="str">
        <x:v>Machine High Row</x:v>
      </x:c>
      <x:c r="G22" s="275" t="str">
        <x:v>One-Arm Cable Row</x:v>
      </x:c>
      <x:c r="H22" s="276" t="str">
        <x:v>Keep chest planted and pause at the top</x:v>
      </x:c>
    </x:row>
    <x:row r="23">
      <x:c r="A23" s="274" t="str">
        <x:v>Conventional Deadlift</x:v>
      </x:c>
      <x:c r="B23" s="275" t="str">
        <x:v>Strength</x:v>
      </x:c>
      <x:c r="C23" s="275" t="str">
        <x:v>Hamstrings</x:v>
      </x:c>
      <x:c r="D23" s="275" t="str">
        <x:v>Hinge</x:v>
      </x:c>
      <x:c r="E23" s="275" t="str">
        <x:v>load × reps</x:v>
      </x:c>
      <x:c r="F23" s="275" t="str">
        <x:v>Trap-Bar Deadlift</x:v>
      </x:c>
      <x:c r="G23" s="275" t="str">
        <x:v>Romanian Deadlift</x:v>
      </x:c>
      <x:c r="H23" s="276" t="str">
        <x:v>Wedge into the bar, keep it close, stop before form loss</x:v>
      </x:c>
    </x:row>
    <x:row r="24">
      <x:c r="A24" s="274" t="str">
        <x:v>Copenhagen Plank</x:v>
      </x:c>
      <x:c r="B24" s="275" t="str">
        <x:v>Mobility</x:v>
      </x:c>
      <x:c r="C24" s="275" t="str">
        <x:v>Core</x:v>
      </x:c>
      <x:c r="D24" s="275" t="str">
        <x:v>Trunk control</x:v>
      </x:c>
      <x:c r="E24" s="275" t="str">
        <x:v>seconds</x:v>
      </x:c>
      <x:c r="F24" s="275" t="str">
        <x:v>Dead bug variation</x:v>
      </x:c>
      <x:c r="G24" s="275" t="str">
        <x:v>Cable anti-rotation variation</x:v>
      </x:c>
      <x:c r="H24" s="276" t="str">
        <x:v>Breathe behind the brace and avoid compensation</x:v>
      </x:c>
    </x:row>
    <x:row r="25">
      <x:c r="A25" s="274" t="str">
        <x:v>Couch Stretch</x:v>
      </x:c>
      <x:c r="B25" s="275" t="str">
        <x:v>Mobility</x:v>
      </x:c>
      <x:c r="C25" s="275" t="str">
        <x:v>Hips</x:v>
      </x:c>
      <x:c r="D25" s="275" t="str">
        <x:v>Mobility</x:v>
      </x:c>
      <x:c r="E25" s="275" t="str">
        <x:v>seconds</x:v>
      </x:c>
      <x:c r="F25" s="275" t="str">
        <x:v>Pain-free equivalent</x:v>
      </x:c>
      <x:c r="G25" s="275" t="str">
        <x:v>Machine or cable equivalent</x:v>
      </x:c>
      <x:c r="H25" s="276" t="str">
        <x:v>Use controlled, repeatable technique</x:v>
      </x:c>
    </x:row>
    <x:row r="26">
      <x:c r="A26" s="274" t="str">
        <x:v>Doorway Pec Stretch</x:v>
      </x:c>
      <x:c r="B26" s="275" t="str">
        <x:v>Mobility</x:v>
      </x:c>
      <x:c r="C26" s="275" t="str">
        <x:v>Chest</x:v>
      </x:c>
      <x:c r="D26" s="275" t="str">
        <x:v>Push</x:v>
      </x:c>
      <x:c r="E26" s="275" t="str">
        <x:v>seconds</x:v>
      </x:c>
      <x:c r="F26" s="275" t="str">
        <x:v>Dumbbell or machine equivalent</x:v>
      </x:c>
      <x:c r="G26" s="275" t="str">
        <x:v>Pain-free push-up variation</x:v>
      </x:c>
      <x:c r="H26" s="276" t="str">
        <x:v>Use a stable range and controlled eccentric</x:v>
      </x:c>
    </x:row>
    <x:row r="27">
      <x:c r="A27" s="274" t="str">
        <x:v>Dumbbell Lateral Raise</x:v>
      </x:c>
      <x:c r="B27" s="275" t="str">
        <x:v>Hypertrophy</x:v>
      </x:c>
      <x:c r="C27" s="275" t="str">
        <x:v>Shoulders</x:v>
      </x:c>
      <x:c r="D27" s="275" t="str">
        <x:v>Shoulder abduction</x:v>
      </x:c>
      <x:c r="E27" s="275" t="str">
        <x:v>load × reps</x:v>
      </x:c>
      <x:c r="F27" s="275" t="str">
        <x:v>Cable Lateral Raise</x:v>
      </x:c>
      <x:c r="G27" s="275" t="str">
        <x:v>Machine Lateral Raise</x:v>
      </x:c>
      <x:c r="H27" s="276" t="str">
        <x:v>Raise in the scapular plane without swinging</x:v>
      </x:c>
    </x:row>
    <x:row r="28">
      <x:c r="A28" s="274" t="str">
        <x:v>EZ-Bar Curl</x:v>
      </x:c>
      <x:c r="B28" s="275" t="str">
        <x:v>Hypertrophy</x:v>
      </x:c>
      <x:c r="C28" s="275" t="str">
        <x:v>Biceps</x:v>
      </x:c>
      <x:c r="D28" s="275" t="str">
        <x:v>Elbow flexion</x:v>
      </x:c>
      <x:c r="E28" s="275" t="str">
        <x:v>load × reps</x:v>
      </x:c>
      <x:c r="F28" s="275" t="str">
        <x:v>Dumbbell Curl</x:v>
      </x:c>
      <x:c r="G28" s="275" t="str">
        <x:v>Cable Curl</x:v>
      </x:c>
      <x:c r="H28" s="276" t="str">
        <x:v>Keep shoulders quiet and control the lowering phase</x:v>
      </x:c>
    </x:row>
    <x:row r="29">
      <x:c r="A29" s="274" t="str">
        <x:v>Face Pull</x:v>
      </x:c>
      <x:c r="B29" s="275" t="str">
        <x:v>Hypertrophy</x:v>
      </x:c>
      <x:c r="C29" s="275" t="str">
        <x:v>Rear Delts</x:v>
      </x:c>
      <x:c r="D29" s="275" t="str">
        <x:v>Hypertrophy</x:v>
      </x:c>
      <x:c r="E29" s="275" t="str">
        <x:v>load × reps</x:v>
      </x:c>
      <x:c r="F29" s="275" t="str">
        <x:v>Pain-free equivalent</x:v>
      </x:c>
      <x:c r="G29" s="275" t="str">
        <x:v>Machine or cable equivalent</x:v>
      </x:c>
      <x:c r="H29" s="276" t="str">
        <x:v>Use controlled, repeatable technique</x:v>
      </x:c>
    </x:row>
    <x:row r="30">
      <x:c r="A30" s="274" t="str">
        <x:v>Farmer Carry</x:v>
      </x:c>
      <x:c r="B30" s="275" t="str">
        <x:v>Athletic</x:v>
      </x:c>
      <x:c r="C30" s="275" t="str">
        <x:v>Full Body</x:v>
      </x:c>
      <x:c r="D30" s="275" t="str">
        <x:v>Carry</x:v>
      </x:c>
      <x:c r="E30" s="275" t="str">
        <x:v>load + meters</x:v>
      </x:c>
      <x:c r="F30" s="275" t="str">
        <x:v>Trap-Bar Carry</x:v>
      </x:c>
      <x:c r="G30" s="275" t="str">
        <x:v>Suitcase Carry</x:v>
      </x:c>
      <x:c r="H30" s="276" t="str">
        <x:v>Tall posture, quiet trunk, fast controlled steps</x:v>
      </x:c>
    </x:row>
    <x:row r="31">
      <x:c r="A31" s="274" t="str">
        <x:v>Front Squat</x:v>
      </x:c>
      <x:c r="B31" s="275" t="str">
        <x:v>Strength</x:v>
      </x:c>
      <x:c r="C31" s="275" t="str">
        <x:v>Quads</x:v>
      </x:c>
      <x:c r="D31" s="275" t="str">
        <x:v>Squat</x:v>
      </x:c>
      <x:c r="E31" s="275" t="str">
        <x:v>load × reps</x:v>
      </x:c>
      <x:c r="F31" s="275" t="str">
        <x:v>Safety-Bar Squat</x:v>
      </x:c>
      <x:c r="G31" s="275" t="str">
        <x:v>Hack Squat</x:v>
      </x:c>
      <x:c r="H31" s="276" t="str">
        <x:v>Stay tall, elbows high, brace through the full rep</x:v>
      </x:c>
    </x:row>
    <x:row r="32">
      <x:c r="A32" s="274" t="str">
        <x:v>Front-Foot Elevated Split Squat</x:v>
      </x:c>
      <x:c r="B32" s="275" t="str">
        <x:v>Hypertrophy</x:v>
      </x:c>
      <x:c r="C32" s="275" t="str">
        <x:v>Quads</x:v>
      </x:c>
      <x:c r="D32" s="275" t="str">
        <x:v>Squat / knee extension</x:v>
      </x:c>
      <x:c r="E32" s="275" t="str">
        <x:v>load × reps</x:v>
      </x:c>
      <x:c r="F32" s="275" t="str">
        <x:v>Machine equivalent</x:v>
      </x:c>
      <x:c r="G32" s="275" t="str">
        <x:v>Supported unilateral variation</x:v>
      </x:c>
      <x:c r="H32" s="276" t="str">
        <x:v>Control depth and keep the knee tracking naturally</x:v>
      </x:c>
    </x:row>
    <x:row r="33">
      <x:c r="A33" s="274" t="str">
        <x:v>Full-Body Mobility Flow</x:v>
      </x:c>
      <x:c r="B33" s="275" t="str">
        <x:v>Mobility</x:v>
      </x:c>
      <x:c r="C33" s="275" t="str">
        <x:v>Full Body</x:v>
      </x:c>
      <x:c r="D33" s="275" t="str">
        <x:v>Athletic</x:v>
      </x:c>
      <x:c r="E33" s="275" t="str">
        <x:v>minutes</x:v>
      </x:c>
      <x:c r="F33" s="275" t="str">
        <x:v>Low-impact equivalent</x:v>
      </x:c>
      <x:c r="G33" s="275" t="str">
        <x:v>Bike or sled variation</x:v>
      </x:c>
      <x:c r="H33" s="276" t="str">
        <x:v>Prioritize quality, full recovery, and safe mechanics</x:v>
      </x:c>
    </x:row>
    <x:row r="34">
      <x:c r="A34" s="274" t="str">
        <x:v>Hack Squat</x:v>
      </x:c>
      <x:c r="B34" s="275" t="str">
        <x:v>Hypertrophy</x:v>
      </x:c>
      <x:c r="C34" s="275" t="str">
        <x:v>Quads</x:v>
      </x:c>
      <x:c r="D34" s="275" t="str">
        <x:v>Squat</x:v>
      </x:c>
      <x:c r="E34" s="275" t="str">
        <x:v>load × reps</x:v>
      </x:c>
      <x:c r="F34" s="275" t="str">
        <x:v>Leg Press</x:v>
      </x:c>
      <x:c r="G34" s="275" t="str">
        <x:v>Front Squat</x:v>
      </x:c>
      <x:c r="H34" s="276" t="str">
        <x:v>Use controlled depth without the pelvis rolling under</x:v>
      </x:c>
    </x:row>
    <x:row r="35">
      <x:c r="A35" s="274" t="str">
        <x:v>Half-Kneeling Landmine Press</x:v>
      </x:c>
      <x:c r="B35" s="275" t="str">
        <x:v>Hypertrophy</x:v>
      </x:c>
      <x:c r="C35" s="275" t="str">
        <x:v>Shoulders</x:v>
      </x:c>
      <x:c r="D35" s="275" t="str">
        <x:v>Shoulder</x:v>
      </x:c>
      <x:c r="E35" s="275" t="str">
        <x:v>load × reps</x:v>
      </x:c>
      <x:c r="F35" s="275" t="str">
        <x:v>Cable or dumbbell equivalent</x:v>
      </x:c>
      <x:c r="G35" s="275" t="str">
        <x:v>Machine equivalent</x:v>
      </x:c>
      <x:c r="H35" s="276" t="str">
        <x:v>Stay in a pain-free range with controlled motion</x:v>
      </x:c>
    </x:row>
    <x:row r="36">
      <x:c r="A36" s="274" t="str">
        <x:v>Hammer Curl</x:v>
      </x:c>
      <x:c r="B36" s="275" t="str">
        <x:v>Hypertrophy</x:v>
      </x:c>
      <x:c r="C36" s="275" t="str">
        <x:v>Biceps</x:v>
      </x:c>
      <x:c r="D36" s="275" t="str">
        <x:v>Elbow flexion</x:v>
      </x:c>
      <x:c r="E36" s="275" t="str">
        <x:v>load × reps</x:v>
      </x:c>
      <x:c r="F36" s="275" t="str">
        <x:v>Cable curl</x:v>
      </x:c>
      <x:c r="G36" s="275" t="str">
        <x:v>Dumbbell curl</x:v>
      </x:c>
      <x:c r="H36" s="276" t="str">
        <x:v>Keep the upper arm quiet and control the eccentric</x:v>
      </x:c>
    </x:row>
    <x:row r="37">
      <x:c r="A37" s="274" t="str">
        <x:v>Incline Barbell Bench Press</x:v>
      </x:c>
      <x:c r="B37" s="275" t="str">
        <x:v>Hypertrophy</x:v>
      </x:c>
      <x:c r="C37" s="275" t="str">
        <x:v>Chest</x:v>
      </x:c>
      <x:c r="D37" s="275" t="str">
        <x:v>Incline push</x:v>
      </x:c>
      <x:c r="E37" s="275" t="str">
        <x:v>load × reps</x:v>
      </x:c>
      <x:c r="F37" s="275" t="str">
        <x:v>Incline Dumbbell Bench Press</x:v>
      </x:c>
      <x:c r="G37" s="275" t="str">
        <x:v>Machine Chest Press</x:v>
      </x:c>
      <x:c r="H37" s="276" t="str">
        <x:v>Use a modest incline and consistent touch point</x:v>
      </x:c>
    </x:row>
    <x:row r="38">
      <x:c r="A38" s="274" t="str">
        <x:v>Incline Dumbbell Bench Press</x:v>
      </x:c>
      <x:c r="B38" s="275" t="str">
        <x:v>Hypertrophy</x:v>
      </x:c>
      <x:c r="C38" s="275" t="str">
        <x:v>Chest</x:v>
      </x:c>
      <x:c r="D38" s="275" t="str">
        <x:v>Incline push</x:v>
      </x:c>
      <x:c r="E38" s="275" t="str">
        <x:v>load × reps</x:v>
      </x:c>
      <x:c r="F38" s="275" t="str">
        <x:v>Incline Barbell Bench Press</x:v>
      </x:c>
      <x:c r="G38" s="275" t="str">
        <x:v>Machine Chest Press</x:v>
      </x:c>
      <x:c r="H38" s="276" t="str">
        <x:v>Keep shoulders set and lower under control</x:v>
      </x:c>
    </x:row>
    <x:row r="39">
      <x:c r="A39" s="274" t="str">
        <x:v>Incline Dumbbell Curl</x:v>
      </x:c>
      <x:c r="B39" s="275" t="str">
        <x:v>Hypertrophy</x:v>
      </x:c>
      <x:c r="C39" s="275" t="str">
        <x:v>Biceps</x:v>
      </x:c>
      <x:c r="D39" s="275" t="str">
        <x:v>Elbow flexion</x:v>
      </x:c>
      <x:c r="E39" s="275" t="str">
        <x:v>load × reps</x:v>
      </x:c>
      <x:c r="F39" s="275" t="str">
        <x:v>Cable curl</x:v>
      </x:c>
      <x:c r="G39" s="275" t="str">
        <x:v>Dumbbell curl</x:v>
      </x:c>
      <x:c r="H39" s="276" t="str">
        <x:v>Keep the upper arm quiet and control the eccentric</x:v>
      </x:c>
    </x:row>
    <x:row r="40">
      <x:c r="A40" s="274" t="str">
        <x:v>Kettlebell Bottom-Up Carry</x:v>
      </x:c>
      <x:c r="B40" s="275" t="str">
        <x:v>Athletic</x:v>
      </x:c>
      <x:c r="C40" s="275" t="str">
        <x:v>Shoulders</x:v>
      </x:c>
      <x:c r="D40" s="275" t="str">
        <x:v>Shoulder stability carry</x:v>
      </x:c>
      <x:c r="E40" s="275" t="str">
        <x:v>load + meters</x:v>
      </x:c>
      <x:c r="F40" s="275" t="str">
        <x:v>Kettlebell Rack Carry</x:v>
      </x:c>
      <x:c r="G40" s="275" t="str">
        <x:v>Dumbbell Waiter Carry</x:v>
      </x:c>
      <x:c r="H40" s="276" t="str">
        <x:v>Keep the wrist stacked and ribs controlled</x:v>
      </x:c>
    </x:row>
    <x:row r="41">
      <x:c r="A41" s="274" t="str">
        <x:v>Kettlebell Suitcase Carry</x:v>
      </x:c>
      <x:c r="B41" s="275" t="str">
        <x:v>Athletic</x:v>
      </x:c>
      <x:c r="C41" s="275" t="str">
        <x:v>Core</x:v>
      </x:c>
      <x:c r="D41" s="275" t="str">
        <x:v>Unilateral carry</x:v>
      </x:c>
      <x:c r="E41" s="275" t="str">
        <x:v>load + meters</x:v>
      </x:c>
      <x:c r="F41" s="275" t="str">
        <x:v>Dumbbell Suitcase Carry</x:v>
      </x:c>
      <x:c r="G41" s="275" t="str">
        <x:v>Farmer Carry</x:v>
      </x:c>
      <x:c r="H41" s="276" t="str">
        <x:v>Stay tall and resist side bending</x:v>
      </x:c>
    </x:row>
    <x:row r="42">
      <x:c r="A42" s="274" t="str">
        <x:v>Kettlebell Swing</x:v>
      </x:c>
      <x:c r="B42" s="275" t="str">
        <x:v>Power</x:v>
      </x:c>
      <x:c r="C42" s="275" t="str">
        <x:v>Hamstrings</x:v>
      </x:c>
      <x:c r="D42" s="275" t="str">
        <x:v>Ballistic hinge</x:v>
      </x:c>
      <x:c r="E42" s="275" t="str">
        <x:v>load × reps</x:v>
      </x:c>
      <x:c r="F42" s="275" t="str">
        <x:v>Cable Pull-Through</x:v>
      </x:c>
      <x:c r="G42" s="275" t="str">
        <x:v>Broad Jump</x:v>
      </x:c>
      <x:c r="H42" s="276" t="str">
        <x:v>Hinge, snap hips, let the bell float</x:v>
      </x:c>
    </x:row>
    <x:row r="43">
      <x:c r="A43" s="274" t="str">
        <x:v>Lat Pulldown</x:v>
      </x:c>
      <x:c r="B43" s="275" t="str">
        <x:v>Hypertrophy</x:v>
      </x:c>
      <x:c r="C43" s="275" t="str">
        <x:v>Back</x:v>
      </x:c>
      <x:c r="D43" s="275" t="str">
        <x:v>Vertical pull</x:v>
      </x:c>
      <x:c r="E43" s="275" t="str">
        <x:v>load × reps</x:v>
      </x:c>
      <x:c r="F43" s="275" t="str">
        <x:v>Neutral-Grip Lat Pulldown</x:v>
      </x:c>
      <x:c r="G43" s="275" t="str">
        <x:v>Pull-Up</x:v>
      </x:c>
      <x:c r="H43" s="276" t="str">
        <x:v>Keep ribs down and drive elbows toward hips</x:v>
      </x:c>
    </x:row>
    <x:row r="44">
      <x:c r="A44" s="274" t="str">
        <x:v>Lateral Bound</x:v>
      </x:c>
      <x:c r="B44" s="275" t="str">
        <x:v>Power</x:v>
      </x:c>
      <x:c r="C44" s="275" t="str">
        <x:v>Glutes</x:v>
      </x:c>
      <x:c r="D44" s="275" t="str">
        <x:v>Power</x:v>
      </x:c>
      <x:c r="E44" s="275" t="str">
        <x:v>distance</x:v>
      </x:c>
      <x:c r="F44" s="275" t="str">
        <x:v>Pain-free equivalent</x:v>
      </x:c>
      <x:c r="G44" s="275" t="str">
        <x:v>Machine or cable equivalent</x:v>
      </x:c>
      <x:c r="H44" s="276" t="str">
        <x:v>Use controlled, repeatable technique</x:v>
      </x:c>
    </x:row>
    <x:row r="45">
      <x:c r="A45" s="274" t="str">
        <x:v>Leg Extension</x:v>
      </x:c>
      <x:c r="B45" s="275" t="str">
        <x:v>Hypertrophy</x:v>
      </x:c>
      <x:c r="C45" s="275" t="str">
        <x:v>Quads</x:v>
      </x:c>
      <x:c r="D45" s="275" t="str">
        <x:v>Knee extension</x:v>
      </x:c>
      <x:c r="E45" s="275" t="str">
        <x:v>load × reps</x:v>
      </x:c>
      <x:c r="F45" s="275" t="str">
        <x:v>Reverse Sled Drag</x:v>
      </x:c>
      <x:c r="G45" s="275" t="str">
        <x:v>Spanish Squat</x:v>
      </x:c>
      <x:c r="H45" s="276" t="str">
        <x:v>Use a smooth rep and pain-free range</x:v>
      </x:c>
    </x:row>
    <x:row r="46">
      <x:c r="A46" s="274" t="str">
        <x:v>Leg Press</x:v>
      </x:c>
      <x:c r="B46" s="275" t="str">
        <x:v>Hypertrophy</x:v>
      </x:c>
      <x:c r="C46" s="275" t="str">
        <x:v>Quads</x:v>
      </x:c>
      <x:c r="D46" s="275" t="str">
        <x:v>Squat</x:v>
      </x:c>
      <x:c r="E46" s="275" t="str">
        <x:v>load × reps</x:v>
      </x:c>
      <x:c r="F46" s="275" t="str">
        <x:v>Hack Squat</x:v>
      </x:c>
      <x:c r="G46" s="275" t="str">
        <x:v>Goblet Squat</x:v>
      </x:c>
      <x:c r="H46" s="276" t="str">
        <x:v>Control depth and keep hips on the pad</x:v>
      </x:c>
    </x:row>
    <x:row r="47">
      <x:c r="A47" s="274" t="str">
        <x:v>Lying Leg Curl</x:v>
      </x:c>
      <x:c r="B47" s="275" t="str">
        <x:v>Hypertrophy</x:v>
      </x:c>
      <x:c r="C47" s="275" t="str">
        <x:v>Hamstrings</x:v>
      </x:c>
      <x:c r="D47" s="275" t="str">
        <x:v>Knee flexion</x:v>
      </x:c>
      <x:c r="E47" s="275" t="str">
        <x:v>load × reps</x:v>
      </x:c>
      <x:c r="F47" s="275" t="str">
        <x:v>Seated Leg Curl</x:v>
      </x:c>
      <x:c r="G47" s="275" t="str">
        <x:v>Slider Leg Curl</x:v>
      </x:c>
      <x:c r="H47" s="276" t="str">
        <x:v>Keep hips down and squeeze without jerking</x:v>
      </x:c>
    </x:row>
    <x:row r="48">
      <x:c r="A48" s="274" t="str">
        <x:v>Machine Chest Press</x:v>
      </x:c>
      <x:c r="B48" s="275" t="str">
        <x:v>Hypertrophy</x:v>
      </x:c>
      <x:c r="C48" s="275" t="str">
        <x:v>Chest</x:v>
      </x:c>
      <x:c r="D48" s="275" t="str">
        <x:v>Push</x:v>
      </x:c>
      <x:c r="E48" s="275" t="str">
        <x:v>load × reps</x:v>
      </x:c>
      <x:c r="F48" s="275" t="str">
        <x:v>Dumbbell or machine equivalent</x:v>
      </x:c>
      <x:c r="G48" s="275" t="str">
        <x:v>Pain-free push-up variation</x:v>
      </x:c>
      <x:c r="H48" s="276" t="str">
        <x:v>Use a stable range and controlled eccentric</x:v>
      </x:c>
    </x:row>
    <x:row r="49">
      <x:c r="A49" s="274" t="str">
        <x:v>Machine High Row</x:v>
      </x:c>
      <x:c r="B49" s="275" t="str">
        <x:v>Hypertrophy</x:v>
      </x:c>
      <x:c r="C49" s="275" t="str">
        <x:v>Back</x:v>
      </x:c>
      <x:c r="D49" s="275" t="str">
        <x:v>Pull</x:v>
      </x:c>
      <x:c r="E49" s="275" t="str">
        <x:v>load × reps</x:v>
      </x:c>
      <x:c r="F49" s="275" t="str">
        <x:v>Cable or machine equivalent</x:v>
      </x:c>
      <x:c r="G49" s="275" t="str">
        <x:v>Bodyweight pull variation</x:v>
      </x:c>
      <x:c r="H49" s="276" t="str">
        <x:v>Move through the shoulder blade and avoid momentum</x:v>
      </x:c>
    </x:row>
    <x:row r="50">
      <x:c r="A50" s="274" t="str">
        <x:v>Medicine Ball Chest Pass</x:v>
      </x:c>
      <x:c r="B50" s="275" t="str">
        <x:v>Power</x:v>
      </x:c>
      <x:c r="C50" s="275" t="str">
        <x:v>Chest</x:v>
      </x:c>
      <x:c r="D50" s="275" t="str">
        <x:v>Push</x:v>
      </x:c>
      <x:c r="E50" s="275" t="str">
        <x:v>throw quality</x:v>
      </x:c>
      <x:c r="F50" s="275" t="str">
        <x:v>Dumbbell or machine equivalent</x:v>
      </x:c>
      <x:c r="G50" s="275" t="str">
        <x:v>Pain-free push-up variation</x:v>
      </x:c>
      <x:c r="H50" s="276" t="str">
        <x:v>Use a stable range and controlled eccentric</x:v>
      </x:c>
    </x:row>
    <x:row r="51">
      <x:c r="A51" s="274" t="str">
        <x:v>Medicine Ball Rotational Throw</x:v>
      </x:c>
      <x:c r="B51" s="275" t="str">
        <x:v>Power</x:v>
      </x:c>
      <x:c r="C51" s="275" t="str">
        <x:v>Core</x:v>
      </x:c>
      <x:c r="D51" s="275" t="str">
        <x:v>Trunk control</x:v>
      </x:c>
      <x:c r="E51" s="275" t="str">
        <x:v>throw quality</x:v>
      </x:c>
      <x:c r="F51" s="275" t="str">
        <x:v>Dead bug variation</x:v>
      </x:c>
      <x:c r="G51" s="275" t="str">
        <x:v>Cable anti-rotation variation</x:v>
      </x:c>
      <x:c r="H51" s="276" t="str">
        <x:v>Breathe behind the brace and avoid compensation</x:v>
      </x:c>
    </x:row>
    <x:row r="52">
      <x:c r="A52" s="274" t="str">
        <x:v>Medicine Ball Slam</x:v>
      </x:c>
      <x:c r="B52" s="275" t="str">
        <x:v>Power</x:v>
      </x:c>
      <x:c r="C52" s="275" t="str">
        <x:v>Back</x:v>
      </x:c>
      <x:c r="D52" s="275" t="str">
        <x:v>Pull</x:v>
      </x:c>
      <x:c r="E52" s="275" t="str">
        <x:v>throw quality</x:v>
      </x:c>
      <x:c r="F52" s="275" t="str">
        <x:v>Cable or machine equivalent</x:v>
      </x:c>
      <x:c r="G52" s="275" t="str">
        <x:v>Bodyweight pull variation</x:v>
      </x:c>
      <x:c r="H52" s="276" t="str">
        <x:v>Move through the shoulder blade and avoid momentum</x:v>
      </x:c>
    </x:row>
    <x:row r="53">
      <x:c r="A53" s="274" t="str">
        <x:v>Neutral-Grip Lat Pulldown</x:v>
      </x:c>
      <x:c r="B53" s="275" t="str">
        <x:v>Hypertrophy</x:v>
      </x:c>
      <x:c r="C53" s="275" t="str">
        <x:v>Back</x:v>
      </x:c>
      <x:c r="D53" s="275" t="str">
        <x:v>Vertical pull</x:v>
      </x:c>
      <x:c r="E53" s="275" t="str">
        <x:v>load × reps</x:v>
      </x:c>
      <x:c r="F53" s="275" t="str">
        <x:v>Lat Pulldown</x:v>
      </x:c>
      <x:c r="G53" s="275" t="str">
        <x:v>Assisted Pull-Up</x:v>
      </x:c>
      <x:c r="H53" s="276" t="str">
        <x:v>Initiate from shoulder blades, avoid swinging</x:v>
      </x:c>
    </x:row>
    <x:row r="54">
      <x:c r="A54" s="274" t="str">
        <x:v>Nordic Hamstring Curl</x:v>
      </x:c>
      <x:c r="B54" s="275" t="str">
        <x:v>Strength</x:v>
      </x:c>
      <x:c r="C54" s="275" t="str">
        <x:v>Hamstrings</x:v>
      </x:c>
      <x:c r="D54" s="275" t="str">
        <x:v>Knee flexion</x:v>
      </x:c>
      <x:c r="E54" s="275" t="str">
        <x:v>reps</x:v>
      </x:c>
      <x:c r="F54" s="275" t="str">
        <x:v>Lying Leg Curl</x:v>
      </x:c>
      <x:c r="G54" s="275" t="str">
        <x:v>Slider Leg Curl</x:v>
      </x:c>
      <x:c r="H54" s="276" t="str">
        <x:v>Control the eccentric and use assistance as needed</x:v>
      </x:c>
    </x:row>
    <x:row r="55">
      <x:c r="A55" s="274" t="str">
        <x:v>One-Arm Cable Row</x:v>
      </x:c>
      <x:c r="B55" s="275" t="str">
        <x:v>Hypertrophy</x:v>
      </x:c>
      <x:c r="C55" s="275" t="str">
        <x:v>Back</x:v>
      </x:c>
      <x:c r="D55" s="275" t="str">
        <x:v>Pull</x:v>
      </x:c>
      <x:c r="E55" s="275" t="str">
        <x:v>load × reps</x:v>
      </x:c>
      <x:c r="F55" s="275" t="str">
        <x:v>Cable or machine equivalent</x:v>
      </x:c>
      <x:c r="G55" s="275" t="str">
        <x:v>Bodyweight pull variation</x:v>
      </x:c>
      <x:c r="H55" s="276" t="str">
        <x:v>Move through the shoulder blade and avoid momentum</x:v>
      </x:c>
    </x:row>
    <x:row r="56">
      <x:c r="A56" s="274" t="str">
        <x:v>Open-Book Thoracic Rotation</x:v>
      </x:c>
      <x:c r="B56" s="275" t="str">
        <x:v>Mobility</x:v>
      </x:c>
      <x:c r="C56" s="275" t="str">
        <x:v>Thoracic</x:v>
      </x:c>
      <x:c r="D56" s="275" t="str">
        <x:v>Mobility</x:v>
      </x:c>
      <x:c r="E56" s="275" t="str">
        <x:v>reps</x:v>
      </x:c>
      <x:c r="F56" s="275" t="str">
        <x:v>Pain-free equivalent</x:v>
      </x:c>
      <x:c r="G56" s="275" t="str">
        <x:v>Machine or cable equivalent</x:v>
      </x:c>
      <x:c r="H56" s="276" t="str">
        <x:v>Use controlled, repeatable technique</x:v>
      </x:c>
    </x:row>
    <x:row r="57">
      <x:c r="A57" s="274" t="str">
        <x:v>Overhead Cable Triceps Extension</x:v>
      </x:c>
      <x:c r="B57" s="275" t="str">
        <x:v>Hypertrophy</x:v>
      </x:c>
      <x:c r="C57" s="275" t="str">
        <x:v>Triceps</x:v>
      </x:c>
      <x:c r="D57" s="275" t="str">
        <x:v>Elbow extension</x:v>
      </x:c>
      <x:c r="E57" s="275" t="str">
        <x:v>load × reps</x:v>
      </x:c>
      <x:c r="F57" s="275" t="str">
        <x:v>Cable extension</x:v>
      </x:c>
      <x:c r="G57" s="275" t="str">
        <x:v>Close-grip push-up</x:v>
      </x:c>
      <x:c r="H57" s="276" t="str">
        <x:v>Keep the upper arm stable and stop with joint pain</x:v>
      </x:c>
    </x:row>
    <x:row r="58">
      <x:c r="A58" s="274" t="str">
        <x:v>Overhead Press</x:v>
      </x:c>
      <x:c r="B58" s="275" t="str">
        <x:v>Strength</x:v>
      </x:c>
      <x:c r="C58" s="275" t="str">
        <x:v>Shoulders</x:v>
      </x:c>
      <x:c r="D58" s="275" t="str">
        <x:v>Vertical push</x:v>
      </x:c>
      <x:c r="E58" s="275" t="str">
        <x:v>load × reps</x:v>
      </x:c>
      <x:c r="F58" s="275" t="str">
        <x:v>Landmine Press</x:v>
      </x:c>
      <x:c r="G58" s="275" t="str">
        <x:v>Seated Dumbbell Shoulder Press</x:v>
      </x:c>
      <x:c r="H58" s="276" t="str">
        <x:v>Stack ribs over pelvis and finish with biceps by ears</x:v>
      </x:c>
    </x:row>
    <x:row r="59">
      <x:c r="A59" s="274" t="str">
        <x:v>Pallof Press</x:v>
      </x:c>
      <x:c r="B59" s="275" t="str">
        <x:v>Hypertrophy</x:v>
      </x:c>
      <x:c r="C59" s="275" t="str">
        <x:v>Core</x:v>
      </x:c>
      <x:c r="D59" s="275" t="str">
        <x:v>Trunk control</x:v>
      </x:c>
      <x:c r="E59" s="275" t="str">
        <x:v>load × reps</x:v>
      </x:c>
      <x:c r="F59" s="275" t="str">
        <x:v>Dead bug variation</x:v>
      </x:c>
      <x:c r="G59" s="275" t="str">
        <x:v>Cable anti-rotation variation</x:v>
      </x:c>
      <x:c r="H59" s="276" t="str">
        <x:v>Breathe behind the brace and avoid compensation</x:v>
      </x:c>
    </x:row>
    <x:row r="60">
      <x:c r="A60" s="274" t="str">
        <x:v>Passive Hang</x:v>
      </x:c>
      <x:c r="B60" s="275" t="str">
        <x:v>Mobility</x:v>
      </x:c>
      <x:c r="C60" s="275" t="str">
        <x:v>Shoulders</x:v>
      </x:c>
      <x:c r="D60" s="275" t="str">
        <x:v>Shoulder</x:v>
      </x:c>
      <x:c r="E60" s="275" t="str">
        <x:v>seconds</x:v>
      </x:c>
      <x:c r="F60" s="275" t="str">
        <x:v>Cable or dumbbell equivalent</x:v>
      </x:c>
      <x:c r="G60" s="275" t="str">
        <x:v>Machine equivalent</x:v>
      </x:c>
      <x:c r="H60" s="276" t="str">
        <x:v>Stay in a pain-free range with controlled motion</x:v>
      </x:c>
    </x:row>
    <x:row r="61">
      <x:c r="A61" s="274" t="str">
        <x:v>Pause Squat</x:v>
      </x:c>
      <x:c r="B61" s="275" t="str">
        <x:v>Strength</x:v>
      </x:c>
      <x:c r="C61" s="275" t="str">
        <x:v>Quads</x:v>
      </x:c>
      <x:c r="D61" s="275" t="str">
        <x:v>Squat</x:v>
      </x:c>
      <x:c r="E61" s="275" t="str">
        <x:v>load × reps</x:v>
      </x:c>
      <x:c r="F61" s="275" t="str">
        <x:v>Tempo Back Squat</x:v>
      </x:c>
      <x:c r="G61" s="275" t="str">
        <x:v>Goblet Squat</x:v>
      </x:c>
      <x:c r="H61" s="276" t="str">
        <x:v>Hold tension in the bottom, then drive without bouncing</x:v>
      </x:c>
    </x:row>
    <x:row r="62">
      <x:c r="A62" s="274" t="str">
        <x:v>Plyometric Push-Up</x:v>
      </x:c>
      <x:c r="B62" s="275" t="str">
        <x:v>Power</x:v>
      </x:c>
      <x:c r="C62" s="275" t="str">
        <x:v>Chest</x:v>
      </x:c>
      <x:c r="D62" s="275" t="str">
        <x:v>Push</x:v>
      </x:c>
      <x:c r="E62" s="275" t="str">
        <x:v>reps</x:v>
      </x:c>
      <x:c r="F62" s="275" t="str">
        <x:v>Dumbbell or machine equivalent</x:v>
      </x:c>
      <x:c r="G62" s="275" t="str">
        <x:v>Pain-free push-up variation</x:v>
      </x:c>
      <x:c r="H62" s="276" t="str">
        <x:v>Use a stable range and controlled eccentric</x:v>
      </x:c>
    </x:row>
    <x:row r="63">
      <x:c r="A63" s="274" t="str">
        <x:v>Pogo Jump</x:v>
      </x:c>
      <x:c r="B63" s="275" t="str">
        <x:v>Power</x:v>
      </x:c>
      <x:c r="C63" s="275" t="str">
        <x:v>Calves</x:v>
      </x:c>
      <x:c r="D63" s="275" t="str">
        <x:v>Ankle plantarflexion</x:v>
      </x:c>
      <x:c r="E63" s="275" t="str">
        <x:v>contacts</x:v>
      </x:c>
      <x:c r="F63" s="275" t="str">
        <x:v>Seated calf raise</x:v>
      </x:c>
      <x:c r="G63" s="275" t="str">
        <x:v>Single-leg calf raise</x:v>
      </x:c>
      <x:c r="H63" s="276" t="str">
        <x:v>Pause in the stretch and at peak contraction</x:v>
      </x:c>
    </x:row>
    <x:row r="64">
      <x:c r="A64" s="274" t="str">
        <x:v>Pull-Up</x:v>
      </x:c>
      <x:c r="B64" s="275" t="str">
        <x:v>Hypertrophy</x:v>
      </x:c>
      <x:c r="C64" s="275" t="str">
        <x:v>Back</x:v>
      </x:c>
      <x:c r="D64" s="275" t="str">
        <x:v>Pull</x:v>
      </x:c>
      <x:c r="E64" s="275" t="str">
        <x:v>reps</x:v>
      </x:c>
      <x:c r="F64" s="275" t="str">
        <x:v>Cable or machine equivalent</x:v>
      </x:c>
      <x:c r="G64" s="275" t="str">
        <x:v>Bodyweight pull variation</x:v>
      </x:c>
      <x:c r="H64" s="276" t="str">
        <x:v>Move through the shoulder blade and avoid momentum</x:v>
      </x:c>
    </x:row>
    <x:row r="65">
      <x:c r="A65" s="274" t="str">
        <x:v>Push Press</x:v>
      </x:c>
      <x:c r="B65" s="275" t="str">
        <x:v>Power</x:v>
      </x:c>
      <x:c r="C65" s="275" t="str">
        <x:v>Shoulders</x:v>
      </x:c>
      <x:c r="D65" s="275" t="str">
        <x:v>Power push</x:v>
      </x:c>
      <x:c r="E65" s="275" t="str">
        <x:v>load × reps</x:v>
      </x:c>
      <x:c r="F65" s="275" t="str">
        <x:v>Landmine Push Press</x:v>
      </x:c>
      <x:c r="G65" s="275" t="str">
        <x:v>Medicine Ball Push Throw</x:v>
      </x:c>
      <x:c r="H65" s="276" t="str">
        <x:v>Dip vertically and transfer leg drive into the press</x:v>
      </x:c>
    </x:row>
    <x:row r="66">
      <x:c r="A66" s="274" t="str">
        <x:v>Rear Delt Cable Fly</x:v>
      </x:c>
      <x:c r="B66" s="275" t="str">
        <x:v>Hypertrophy</x:v>
      </x:c>
      <x:c r="C66" s="275" t="str">
        <x:v>Rear Delts</x:v>
      </x:c>
      <x:c r="D66" s="275" t="str">
        <x:v>Hypertrophy</x:v>
      </x:c>
      <x:c r="E66" s="275" t="str">
        <x:v>load × reps</x:v>
      </x:c>
      <x:c r="F66" s="275" t="str">
        <x:v>Pain-free equivalent</x:v>
      </x:c>
      <x:c r="G66" s="275" t="str">
        <x:v>Machine or cable equivalent</x:v>
      </x:c>
      <x:c r="H66" s="276" t="str">
        <x:v>Use controlled, repeatable technique</x:v>
      </x:c>
    </x:row>
    <x:row r="67">
      <x:c r="A67" s="274" t="str">
        <x:v>Romanian Deadlift</x:v>
      </x:c>
      <x:c r="B67" s="275" t="str">
        <x:v>Strength</x:v>
      </x:c>
      <x:c r="C67" s="275" t="str">
        <x:v>Hamstrings</x:v>
      </x:c>
      <x:c r="D67" s="275" t="str">
        <x:v>Hinge</x:v>
      </x:c>
      <x:c r="E67" s="275" t="str">
        <x:v>load × reps</x:v>
      </x:c>
      <x:c r="F67" s="275" t="str">
        <x:v>Dumbbell Romanian Deadlift</x:v>
      </x:c>
      <x:c r="G67" s="275" t="str">
        <x:v>45-Degree Back Extension</x:v>
      </x:c>
      <x:c r="H67" s="276" t="str">
        <x:v>Push hips back, keep lats tight, stop at hamstring limit</x:v>
      </x:c>
    </x:row>
    <x:row r="68">
      <x:c r="A68" s="274" t="str">
        <x:v>RowErg Sprint Intervals</x:v>
      </x:c>
      <x:c r="B68" s="275" t="str">
        <x:v>Athletic</x:v>
      </x:c>
      <x:c r="C68" s="275" t="str">
        <x:v>Full Body</x:v>
      </x:c>
      <x:c r="D68" s="275" t="str">
        <x:v>Full-body conditioning</x:v>
      </x:c>
      <x:c r="E68" s="275" t="str">
        <x:v>watts / meters</x:v>
      </x:c>
      <x:c r="F68" s="275" t="str">
        <x:v>Air Bike Sprint</x:v>
      </x:c>
      <x:c r="G68" s="275" t="str">
        <x:v>Sled Sprint</x:v>
      </x:c>
      <x:c r="H68" s="276" t="str">
        <x:v>Push with the legs, finish with the hips, and repeat quality output</x:v>
      </x:c>
    </x:row>
    <x:row r="69">
      <x:c r="A69" s="274" t="str">
        <x:v>Scapular Pull-Up</x:v>
      </x:c>
      <x:c r="B69" s="275" t="str">
        <x:v>Mobility</x:v>
      </x:c>
      <x:c r="C69" s="275" t="str">
        <x:v>Shoulders</x:v>
      </x:c>
      <x:c r="D69" s="275" t="str">
        <x:v>Shoulder</x:v>
      </x:c>
      <x:c r="E69" s="275" t="str">
        <x:v>reps</x:v>
      </x:c>
      <x:c r="F69" s="275" t="str">
        <x:v>Cable or dumbbell equivalent</x:v>
      </x:c>
      <x:c r="G69" s="275" t="str">
        <x:v>Machine equivalent</x:v>
      </x:c>
      <x:c r="H69" s="276" t="str">
        <x:v>Stay in a pain-free range with controlled motion</x:v>
      </x:c>
    </x:row>
    <x:row r="70">
      <x:c r="A70" s="274" t="str">
        <x:v>Seated Calf Raise</x:v>
      </x:c>
      <x:c r="B70" s="275" t="str">
        <x:v>Hypertrophy</x:v>
      </x:c>
      <x:c r="C70" s="275" t="str">
        <x:v>Calves</x:v>
      </x:c>
      <x:c r="D70" s="275" t="str">
        <x:v>Ankle plantarflexion</x:v>
      </x:c>
      <x:c r="E70" s="275" t="str">
        <x:v>load × reps</x:v>
      </x:c>
      <x:c r="F70" s="275" t="str">
        <x:v>Seated calf raise</x:v>
      </x:c>
      <x:c r="G70" s="275" t="str">
        <x:v>Single-leg calf raise</x:v>
      </x:c>
      <x:c r="H70" s="276" t="str">
        <x:v>Pause in the stretch and at peak contraction</x:v>
      </x:c>
    </x:row>
    <x:row r="71">
      <x:c r="A71" s="274" t="str">
        <x:v>Seated Dumbbell Shoulder Press</x:v>
      </x:c>
      <x:c r="B71" s="275" t="str">
        <x:v>Hypertrophy</x:v>
      </x:c>
      <x:c r="C71" s="275" t="str">
        <x:v>Shoulders</x:v>
      </x:c>
      <x:c r="D71" s="275" t="str">
        <x:v>Shoulder</x:v>
      </x:c>
      <x:c r="E71" s="275" t="str">
        <x:v>load × reps</x:v>
      </x:c>
      <x:c r="F71" s="275" t="str">
        <x:v>Cable or dumbbell equivalent</x:v>
      </x:c>
      <x:c r="G71" s="275" t="str">
        <x:v>Machine equivalent</x:v>
      </x:c>
      <x:c r="H71" s="276" t="str">
        <x:v>Stay in a pain-free range with controlled motion</x:v>
      </x:c>
    </x:row>
    <x:row r="72">
      <x:c r="A72" s="274" t="str">
        <x:v>Serratus Wall Slide</x:v>
      </x:c>
      <x:c r="B72" s="275" t="str">
        <x:v>Mobility</x:v>
      </x:c>
      <x:c r="C72" s="275" t="str">
        <x:v>Shoulders</x:v>
      </x:c>
      <x:c r="D72" s="275" t="str">
        <x:v>Shoulder</x:v>
      </x:c>
      <x:c r="E72" s="275" t="str">
        <x:v>reps</x:v>
      </x:c>
      <x:c r="F72" s="275" t="str">
        <x:v>Cable or dumbbell equivalent</x:v>
      </x:c>
      <x:c r="G72" s="275" t="str">
        <x:v>Machine equivalent</x:v>
      </x:c>
      <x:c r="H72" s="276" t="str">
        <x:v>Stay in a pain-free range with controlled motion</x:v>
      </x:c>
    </x:row>
    <x:row r="73">
      <x:c r="A73" s="274" t="str">
        <x:v>Shoulder CARs</x:v>
      </x:c>
      <x:c r="B73" s="275" t="str">
        <x:v>Mobility</x:v>
      </x:c>
      <x:c r="C73" s="275" t="str">
        <x:v>Shoulders</x:v>
      </x:c>
      <x:c r="D73" s="275" t="str">
        <x:v>Shoulder</x:v>
      </x:c>
      <x:c r="E73" s="275" t="str">
        <x:v>reps</x:v>
      </x:c>
      <x:c r="F73" s="275" t="str">
        <x:v>Cable or dumbbell equivalent</x:v>
      </x:c>
      <x:c r="G73" s="275" t="str">
        <x:v>Machine equivalent</x:v>
      </x:c>
      <x:c r="H73" s="276" t="str">
        <x:v>Stay in a pain-free range with controlled motion</x:v>
      </x:c>
    </x:row>
    <x:row r="74">
      <x:c r="A74" s="274" t="str">
        <x:v>Single-Leg Romanian Deadlift</x:v>
      </x:c>
      <x:c r="B74" s="275" t="str">
        <x:v>Hypertrophy</x:v>
      </x:c>
      <x:c r="C74" s="275" t="str">
        <x:v>Hamstrings</x:v>
      </x:c>
      <x:c r="D74" s="275" t="str">
        <x:v>Hinge / knee flexion</x:v>
      </x:c>
      <x:c r="E74" s="275" t="str">
        <x:v>load × reps</x:v>
      </x:c>
      <x:c r="F74" s="275" t="str">
        <x:v>Machine curl or back extension</x:v>
      </x:c>
      <x:c r="G74" s="275" t="str">
        <x:v>Dumbbell hinge variation</x:v>
      </x:c>
      <x:c r="H74" s="276" t="str">
        <x:v>Use a controlled eccentric and neutral trunk</x:v>
      </x:c>
    </x:row>
    <x:row r="75">
      <x:c r="A75" s="274" t="str">
        <x:v>SkiErg Power Intervals</x:v>
      </x:c>
      <x:c r="B75" s="275" t="str">
        <x:v>Athletic</x:v>
      </x:c>
      <x:c r="C75" s="275" t="str">
        <x:v>Full Body</x:v>
      </x:c>
      <x:c r="D75" s="275" t="str">
        <x:v>Upper-body conditioning</x:v>
      </x:c>
      <x:c r="E75" s="275" t="str">
        <x:v>watts / meters</x:v>
      </x:c>
      <x:c r="F75" s="275" t="str">
        <x:v>Battle Rope Intervals</x:v>
      </x:c>
      <x:c r="G75" s="275" t="str">
        <x:v>Air Bike Sprint</x:v>
      </x:c>
      <x:c r="H75" s="276" t="str">
        <x:v>Drive powerfully, recover fully, and keep output repeatable</x:v>
      </x:c>
    </x:row>
    <x:row r="76">
      <x:c r="A76" s="274" t="str">
        <x:v>Sled Push</x:v>
      </x:c>
      <x:c r="B76" s="275" t="str">
        <x:v>Athletic</x:v>
      </x:c>
      <x:c r="C76" s="275" t="str">
        <x:v>Quads</x:v>
      </x:c>
      <x:c r="D76" s="275" t="str">
        <x:v>Loaded locomotion</x:v>
      </x:c>
      <x:c r="E76" s="275" t="str">
        <x:v>load + meters</x:v>
      </x:c>
      <x:c r="F76" s="275" t="str">
        <x:v>Incline Treadmill Push</x:v>
      </x:c>
      <x:c r="G76" s="275" t="str">
        <x:v>Farmer Carry</x:v>
      </x:c>
      <x:c r="H76" s="276" t="str">
        <x:v>Rigid torso, strong steps, keep quality high</x:v>
      </x:c>
    </x:row>
    <x:row r="77">
      <x:c r="A77" s="274" t="str">
        <x:v>Speed Bench Press</x:v>
      </x:c>
      <x:c r="B77" s="275" t="str">
        <x:v>Power</x:v>
      </x:c>
      <x:c r="C77" s="275" t="str">
        <x:v>Chest</x:v>
      </x:c>
      <x:c r="D77" s="275" t="str">
        <x:v>Power push</x:v>
      </x:c>
      <x:c r="E77" s="275" t="str">
        <x:v>load × reps</x:v>
      </x:c>
      <x:c r="F77" s="275" t="str">
        <x:v>Plyometric Push-Up</x:v>
      </x:c>
      <x:c r="G77" s="275" t="str">
        <x:v>Medicine Ball Chest Pass</x:v>
      </x:c>
      <x:c r="H77" s="276" t="str">
        <x:v>Every rep fast, stop the set when speed falls</x:v>
      </x:c>
    </x:row>
    <x:row r="78">
      <x:c r="A78" s="274" t="str">
        <x:v>Standing Calf Raise</x:v>
      </x:c>
      <x:c r="B78" s="275" t="str">
        <x:v>Hypertrophy</x:v>
      </x:c>
      <x:c r="C78" s="275" t="str">
        <x:v>Calves</x:v>
      </x:c>
      <x:c r="D78" s="275" t="str">
        <x:v>Ankle plantarflexion</x:v>
      </x:c>
      <x:c r="E78" s="275" t="str">
        <x:v>load × reps</x:v>
      </x:c>
      <x:c r="F78" s="275" t="str">
        <x:v>Seated calf raise</x:v>
      </x:c>
      <x:c r="G78" s="275" t="str">
        <x:v>Single-leg calf raise</x:v>
      </x:c>
      <x:c r="H78" s="276" t="str">
        <x:v>Pause in the stretch and at peak contraction</x:v>
      </x:c>
    </x:row>
    <x:row r="79">
      <x:c r="A79" s="274" t="str">
        <x:v>Straight-Arm Pulldown</x:v>
      </x:c>
      <x:c r="B79" s="275" t="str">
        <x:v>Hypertrophy</x:v>
      </x:c>
      <x:c r="C79" s="275" t="str">
        <x:v>Back</x:v>
      </x:c>
      <x:c r="D79" s="275" t="str">
        <x:v>Pull</x:v>
      </x:c>
      <x:c r="E79" s="275" t="str">
        <x:v>load × reps</x:v>
      </x:c>
      <x:c r="F79" s="275" t="str">
        <x:v>Cable or machine equivalent</x:v>
      </x:c>
      <x:c r="G79" s="275" t="str">
        <x:v>Bodyweight pull variation</x:v>
      </x:c>
      <x:c r="H79" s="276" t="str">
        <x:v>Move through the shoulder blade and avoid momentum</x:v>
      </x:c>
    </x:row>
    <x:row r="80">
      <x:c r="A80" s="274" t="str">
        <x:v>Triceps Pressdown</x:v>
      </x:c>
      <x:c r="B80" s="275" t="str">
        <x:v>Hypertrophy</x:v>
      </x:c>
      <x:c r="C80" s="275" t="str">
        <x:v>Triceps</x:v>
      </x:c>
      <x:c r="D80" s="275" t="str">
        <x:v>Elbow extension</x:v>
      </x:c>
      <x:c r="E80" s="275" t="str">
        <x:v>load × reps</x:v>
      </x:c>
      <x:c r="F80" s="275" t="str">
        <x:v>Cable Overhead Extension</x:v>
      </x:c>
      <x:c r="G80" s="275" t="str">
        <x:v>Close-Grip Push-Up</x:v>
      </x:c>
      <x:c r="H80" s="276" t="str">
        <x:v>Keep upper arms still and fully shorten the triceps</x:v>
      </x:c>
    </x:row>
    <x:row r="81">
      <x:c r="A81" s="274" t="str">
        <x:v>Walking Lunge</x:v>
      </x:c>
      <x:c r="B81" s="275" t="str">
        <x:v>Hypertrophy</x:v>
      </x:c>
      <x:c r="C81" s="275" t="str">
        <x:v>Quads</x:v>
      </x:c>
      <x:c r="D81" s="275" t="str">
        <x:v>Squat / knee extension</x:v>
      </x:c>
      <x:c r="E81" s="275" t="str">
        <x:v>load × reps</x:v>
      </x:c>
      <x:c r="F81" s="275" t="str">
        <x:v>Machine equivalent</x:v>
      </x:c>
      <x:c r="G81" s="275" t="str">
        <x:v>Supported unilateral variation</x:v>
      </x:c>
      <x:c r="H81" s="276" t="str">
        <x:v>Control depth and keep the knee tracking naturally</x:v>
      </x:c>
    </x:row>
    <x:row r="82">
      <x:c r="A82" s="277" t="str">
        <x:v>Weighted Pull-Up</x:v>
      </x:c>
      <x:c r="B82" s="278" t="str">
        <x:v>Strength</x:v>
      </x:c>
      <x:c r="C82" s="278" t="str">
        <x:v>Back</x:v>
      </x:c>
      <x:c r="D82" s="278" t="str">
        <x:v>Vertical pull</x:v>
      </x:c>
      <x:c r="E82" s="278" t="str">
        <x:v>load × reps</x:v>
      </x:c>
      <x:c r="F82" s="278" t="str">
        <x:v>Neutral-Grip Lat Pulldown</x:v>
      </x:c>
      <x:c r="G82" s="278" t="str">
        <x:v>Assisted Pull-Up</x:v>
      </x:c>
      <x:c r="H82" s="279" t="str">
        <x:v>Start from active shoulders, drive elbows toward ribs</x:v>
      </x:c>
    </x:row>
  </x:sheetData>
  <x:mergeCells>
    <x:mergeCell ref="A1:H1"/>
    <x:mergeCell ref="A2:H2"/>
  </x:mergeCells>
  <x:conditionalFormatting sqref="A6:H82">
    <x:cfRule type="expression" dxfId="11" priority="1">
      <x:formula>$B6="Mobility"</x:formula>
    </x:cfRule>
    <x:cfRule type="expression" dxfId="12" priority="2">
      <x:formula>OR($B6="Power",$B6="Athletic")</x:formula>
    </x:cfRule>
  </x:conditionalFormatting>
  <x:pageMargins left="0.7" right="0.7" top="0.75" bottom="0.75" header="0.3" footer="0.3"/>
  <x:tableParts count="1">
    <x:tablePart xmlns:r="http://schemas.openxmlformats.org/officeDocument/2006/relationships" r:id="Rd954420238d946e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8" hidden="0" customWidth="1"/>
    <x:col min="2" max="2" width="48" hidden="0" customWidth="1"/>
    <x:col min="3" max="3" width="26" hidden="0" customWidth="1"/>
    <x:col min="4" max="4" width="14" hidden="0" customWidth="1"/>
    <x:col min="5" max="5" width="14" hidden="0" customWidth="1"/>
    <x:col min="6" max="6" width="14" hidden="0" customWidth="1"/>
    <x:col min="7" max="7" width="14" hidden="0" customWidth="1"/>
    <x:col min="8" max="8" width="14" hidden="0" customWidth="1"/>
  </x:cols>
  <x:sheetData>
    <x:row r="1" ht="34" customHeight="1">
      <x:c r="A1" s="78" t="str">
        <x:v>Autoregulation Rules, Intensity Methods &amp; Evidence</x:v>
      </x:c>
      <x:c r="B1" s="78" t="str">
        <x:v>Autoregulation Rules, Intensity Methods &amp; Evidence</x:v>
      </x:c>
      <x:c r="C1" s="78" t="str">
        <x:v>Autoregulation Rules, Intensity Methods &amp; Evidence</x:v>
      </x:c>
      <x:c r="D1" s="78" t="str">
        <x:v>Autoregulation Rules, Intensity Methods &amp; Evidence</x:v>
      </x:c>
      <x:c r="E1" s="78" t="str">
        <x:v>Autoregulation Rules, Intensity Methods &amp; Evidence</x:v>
      </x:c>
      <x:c r="F1" s="78" t="str">
        <x:v>Autoregulation Rules, Intensity Methods &amp; Evidence</x:v>
      </x:c>
      <x:c r="G1" s="78" t="str">
        <x:v>Autoregulation Rules, Intensity Methods &amp; Evidence</x:v>
      </x:c>
      <x:c r="H1" s="78" t="str">
        <x:v>Autoregulation Rules, Intensity Methods &amp; Evidence</x:v>
      </x:c>
    </x:row>
    <x:row r="2" ht="28" customHeight="1">
      <x:c r="A2" s="79" t="str">
        <x:v>Visible rules keep the model auditable. Change progression thresholds only on Setup.</x:v>
      </x:c>
      <x:c r="B2" s="79" t="str">
        <x:v>Visible rules keep the model auditable. Change progression thresholds only on Setup.</x:v>
      </x:c>
      <x:c r="C2" s="79" t="str">
        <x:v>Visible rules keep the model auditable. Change progression thresholds only on Setup.</x:v>
      </x:c>
      <x:c r="D2" s="79" t="str">
        <x:v>Visible rules keep the model auditable. Change progression thresholds only on Setup.</x:v>
      </x:c>
      <x:c r="E2" s="79" t="str">
        <x:v>Visible rules keep the model auditable. Change progression thresholds only on Setup.</x:v>
      </x:c>
      <x:c r="F2" s="79" t="str">
        <x:v>Visible rules keep the model auditable. Change progression thresholds only on Setup.</x:v>
      </x:c>
      <x:c r="G2" s="79" t="str">
        <x:v>Visible rules keep the model auditable. Change progression thresholds only on Setup.</x:v>
      </x:c>
      <x:c r="H2" s="79" t="str">
        <x:v>Visible rules keep the model auditable. Change progression thresholds only on Setup.</x:v>
      </x:c>
    </x:row>
    <x:row r="3">
      <x:c r="A3" s="80"/>
      <x:c r="B3" s="80"/>
      <x:c r="C3" s="80"/>
      <x:c r="D3" s="80"/>
      <x:c r="E3" s="80"/>
      <x:c r="F3" s="80"/>
      <x:c r="G3" s="80"/>
      <x:c r="H3" s="80"/>
    </x:row>
    <x:row r="4" ht="24" customHeight="1">
      <x:c r="A4" s="81" t="str">
        <x:v>Load recommendation algorithm</x:v>
      </x:c>
      <x:c r="B4" s="81" t="str">
        <x:v>Load recommendation algorithm</x:v>
      </x:c>
      <x:c r="C4" s="81" t="str">
        <x:v>Load recommendation algorithm</x:v>
      </x:c>
      <x:c r="D4" s="81" t="str">
        <x:v>Load recommendation algorithm</x:v>
      </x:c>
      <x:c r="E4" s="81" t="str">
        <x:v>Load recommendation algorithm</x:v>
      </x:c>
      <x:c r="F4" s="81" t="str">
        <x:v>Load recommendation algorithm</x:v>
      </x:c>
      <x:c r="G4" s="81" t="str">
        <x:v>Load recommendation algorithm</x:v>
      </x:c>
      <x:c r="H4" s="81" t="str">
        <x:v>Load recommendation algorithm</x:v>
      </x:c>
    </x:row>
    <x:row r="5" ht="30" customHeight="1">
      <x:c r="A5" s="95" t="str">
        <x:v>Condition</x:v>
      </x:c>
      <x:c r="B5" s="96" t="str">
        <x:v>Required entries</x:v>
      </x:c>
      <x:c r="C5" s="96" t="str">
        <x:v>Decision</x:v>
      </x:c>
      <x:c r="D5" s="96" t="str">
        <x:v>Next load</x:v>
      </x:c>
      <x:c r="E5" s="96" t="str">
        <x:v>Reason</x:v>
      </x:c>
      <x:c r="F5" s="96" t="str">
        <x:v>Compound lifts</x:v>
      </x:c>
      <x:c r="G5" s="96" t="str">
        <x:v>Isolation lifts</x:v>
      </x:c>
      <x:c r="H5" s="97" t="str">
        <x:v>Power work</x:v>
      </x:c>
    </x:row>
    <x:row r="6">
      <x:c r="A6" s="98" t="str">
        <x:v>Top of rep range + final RIR at least target + 1</x:v>
      </x:c>
      <x:c r="B6" s="84" t="str">
        <x:v>Loads, reps, final RIR, Completed Yes</x:v>
      </x:c>
      <x:c r="C6" s="84" t="str">
        <x:v>Progress</x:v>
      </x:c>
      <x:c r="D6" s="84" t="str">
        <x:v>+ Setup progression step</x:v>
      </x:c>
      <x:c r="E6" s="84" t="str">
        <x:v>You exceeded both rep and effort targets</x:v>
      </x:c>
      <x:c r="F6" s="84" t="str">
        <x:v>Allowed</x:v>
      </x:c>
      <x:c r="G6" s="84" t="str">
        <x:v>Allowed</x:v>
      </x:c>
      <x:c r="H6" s="85" t="str">
        <x:v>Use speed/quality, not this rule</x:v>
      </x:c>
    </x:row>
    <x:row r="7">
      <x:c r="A7" s="99" t="str">
        <x:v>Within target reps and effort</x:v>
      </x:c>
      <x:c r="B7" s="88" t="str">
        <x:v>Same</x:v>
      </x:c>
      <x:c r="C7" s="88" t="str">
        <x:v>Hold</x:v>
      </x:c>
      <x:c r="D7" s="88" t="str">
        <x:v>No change</x:v>
      </x:c>
      <x:c r="E7" s="88" t="str">
        <x:v>Stimulus is on target</x:v>
      </x:c>
      <x:c r="F7" s="88" t="str">
        <x:v>Preferred</x:v>
      </x:c>
      <x:c r="G7" s="88" t="str">
        <x:v>Preferred</x:v>
      </x:c>
      <x:c r="H7" s="89" t="str">
        <x:v>Repeat while crisp</x:v>
      </x:c>
    </x:row>
    <x:row r="8">
      <x:c r="A8" s="99" t="str">
        <x:v>Below low reps or final RIR below target − 1</x:v>
      </x:c>
      <x:c r="B8" s="88" t="str">
        <x:v>Same</x:v>
      </x:c>
      <x:c r="C8" s="88" t="str">
        <x:v>Regress</x:v>
      </x:c>
      <x:c r="D8" s="88" t="str">
        <x:v>− Setup regression step</x:v>
      </x:c>
      <x:c r="E8" s="88" t="str">
        <x:v>Load or fatigue exceeded prescription</x:v>
      </x:c>
      <x:c r="F8" s="88" t="str">
        <x:v>Required</x:v>
      </x:c>
      <x:c r="G8" s="88" t="str">
        <x:v>Required</x:v>
      </x:c>
      <x:c r="H8" s="89" t="str">
        <x:v>Reduce contacts or intensity</x:v>
      </x:c>
    </x:row>
    <x:row r="9">
      <x:c r="A9" s="99" t="str">
        <x:v>Pain at or above threshold</x:v>
      </x:c>
      <x:c r="B9" s="88" t="str">
        <x:v>Pain entry</x:v>
      </x:c>
      <x:c r="C9" s="88" t="str">
        <x:v>Stop / modify</x:v>
      </x:c>
      <x:c r="D9" s="88" t="str">
        <x:v>− 2 × regression step</x:v>
      </x:c>
      <x:c r="E9" s="88" t="str">
        <x:v>Pain outranks progression</x:v>
      </x:c>
      <x:c r="F9" s="88" t="str">
        <x:v>Substitute or stop</x:v>
      </x:c>
      <x:c r="G9" s="88" t="str">
        <x:v>Substitute or stop</x:v>
      </x:c>
      <x:c r="H9" s="89" t="str">
        <x:v>Stop explosive work</x:v>
      </x:c>
    </x:row>
    <x:row r="10">
      <x:c r="A10" s="100" t="str">
        <x:v>Not completed or missing set data/RIR</x:v>
      </x:c>
      <x:c r="B10" s="92" t="str">
        <x:v>Incomplete</x:v>
      </x:c>
      <x:c r="C10" s="92" t="str">
        <x:v>Carry forward</x:v>
      </x:c>
      <x:c r="D10" s="92" t="str">
        <x:v>Recommended load repeats</x:v>
      </x:c>
      <x:c r="E10" s="92" t="str">
        <x:v>No performance claim without data</x:v>
      </x:c>
      <x:c r="F10" s="92" t="str">
        <x:v>Repeat</x:v>
      </x:c>
      <x:c r="G10" s="92" t="str">
        <x:v>Repeat</x:v>
      </x:c>
      <x:c r="H10" s="93" t="str">
        <x:v>Repeat</x:v>
      </x:c>
    </x:row>
    <x:row r="11">
      <x:c r="A11" s="80"/>
      <x:c r="B11" s="80"/>
      <x:c r="C11" s="80"/>
      <x:c r="D11" s="80"/>
      <x:c r="E11" s="80"/>
      <x:c r="F11" s="80"/>
      <x:c r="G11" s="80"/>
      <x:c r="H11" s="80"/>
    </x:row>
    <x:row r="12" ht="24" customHeight="1">
      <x:c r="A12" s="94" t="str">
        <x:v>Readiness and deload logic</x:v>
      </x:c>
      <x:c r="B12" s="94" t="str">
        <x:v>Readiness and deload logic</x:v>
      </x:c>
      <x:c r="C12" s="94" t="str">
        <x:v>Readiness and deload logic</x:v>
      </x:c>
      <x:c r="D12" s="94" t="str">
        <x:v>Readiness and deload logic</x:v>
      </x:c>
      <x:c r="E12" s="94" t="str">
        <x:v>Readiness and deload logic</x:v>
      </x:c>
      <x:c r="F12" s="94" t="str">
        <x:v>Readiness and deload logic</x:v>
      </x:c>
      <x:c r="G12" s="94" t="str">
        <x:v>Readiness and deload logic</x:v>
      </x:c>
      <x:c r="H12" s="94" t="str">
        <x:v>Readiness and deload logic</x:v>
      </x:c>
    </x:row>
    <x:row r="13" ht="30" customHeight="1">
      <x:c r="A13" s="95" t="str">
        <x:v>Readiness state</x:v>
      </x:c>
      <x:c r="B13" s="96" t="str">
        <x:v>Score / pain</x:v>
      </x:c>
      <x:c r="C13" s="96" t="str">
        <x:v>Volume modifier</x:v>
      </x:c>
      <x:c r="D13" s="96" t="str">
        <x:v>Effort target</x:v>
      </x:c>
      <x:c r="E13" s="96" t="str">
        <x:v>Intensity techniques</x:v>
      </x:c>
      <x:c r="F13" s="96" t="str">
        <x:v>Power work</x:v>
      </x:c>
      <x:c r="G13" s="96" t="str">
        <x:v>Weekly flag</x:v>
      </x:c>
      <x:c r="H13" s="97" t="str">
        <x:v>Action</x:v>
      </x:c>
    </x:row>
    <x:row r="14">
      <x:c r="A14" s="98" t="str">
        <x:v>Green</x:v>
      </x:c>
      <x:c r="B14" s="84" t="str">
        <x:v>At or above green threshold</x:v>
      </x:c>
      <x:c r="C14" s="84" t="str">
        <x:v>100%</x:v>
      </x:c>
      <x:c r="D14" s="84" t="str">
        <x:v>As written</x:v>
      </x:c>
      <x:c r="E14" s="84" t="str">
        <x:v>As programmed</x:v>
      </x:c>
      <x:c r="F14" s="84" t="str">
        <x:v>As programmed</x:v>
      </x:c>
      <x:c r="G14" s="84" t="str">
        <x:v>On track</x:v>
      </x:c>
      <x:c r="H14" s="85" t="str">
        <x:v>Train normally</x:v>
      </x:c>
    </x:row>
    <x:row r="15">
      <x:c r="A15" s="99" t="str">
        <x:v>Yellow</x:v>
      </x:c>
      <x:c r="B15" s="88" t="str">
        <x:v>Between red and green</x:v>
      </x:c>
      <x:c r="C15" s="88" t="str">
        <x:v>85%</x:v>
      </x:c>
      <x:c r="D15" s="88" t="str">
        <x:v>Leave 3+ RIR</x:v>
      </x:c>
      <x:c r="E15" s="88" t="str">
        <x:v>Skip optional methods</x:v>
      </x:c>
      <x:c r="F15" s="88" t="str">
        <x:v>Reduce contacts if slow</x:v>
      </x:c>
      <x:c r="G15" s="88" t="str">
        <x:v>Reduce 15%</x:v>
      </x:c>
      <x:c r="H15" s="89" t="str">
        <x:v>Trim one set from multi-set work</x:v>
      </x:c>
    </x:row>
    <x:row r="16">
      <x:c r="A16" s="99" t="str">
        <x:v>Red</x:v>
      </x:c>
      <x:c r="B16" s="88" t="str">
        <x:v>Below red threshold</x:v>
      </x:c>
      <x:c r="C16" s="88" t="str">
        <x:v>70%</x:v>
      </x:c>
      <x:c r="D16" s="88" t="str">
        <x:v>Leave 4+ RIR</x:v>
      </x:c>
      <x:c r="E16" s="88" t="str">
        <x:v>None</x:v>
      </x:c>
      <x:c r="F16" s="88" t="str">
        <x:v>Technique only</x:v>
      </x:c>
      <x:c r="G16" s="88" t="str">
        <x:v>Deload / modify</x:v>
      </x:c>
      <x:c r="H16" s="89" t="str">
        <x:v>Recovery-mode session</x:v>
      </x:c>
    </x:row>
    <x:row r="17">
      <x:c r="A17" s="100" t="str">
        <x:v>Pain flag</x:v>
      </x:c>
      <x:c r="B17" s="92" t="str">
        <x:v>Pain at/above threshold</x:v>
      </x:c>
      <x:c r="C17" s="92" t="str">
        <x:v>60% maximum</x:v>
      </x:c>
      <x:c r="D17" s="92" t="str">
        <x:v>Pain-free only</x:v>
      </x:c>
      <x:c r="E17" s="92" t="str">
        <x:v>None</x:v>
      </x:c>
      <x:c r="F17" s="92" t="str">
        <x:v>Stop</x:v>
      </x:c>
      <x:c r="G17" s="92" t="str">
        <x:v>Deload / modify</x:v>
      </x:c>
      <x:c r="H17" s="93" t="str">
        <x:v>Stop or substitute the painful pattern</x:v>
      </x:c>
    </x:row>
    <x:row r="18">
      <x:c r="A18" s="80"/>
      <x:c r="B18" s="80"/>
      <x:c r="C18" s="80"/>
      <x:c r="D18" s="80"/>
      <x:c r="E18" s="80"/>
      <x:c r="F18" s="80"/>
      <x:c r="G18" s="80"/>
      <x:c r="H18" s="80"/>
    </x:row>
    <x:row r="19" ht="24" customHeight="1">
      <x:c r="A19" s="344" t="str">
        <x:v>Intensity-method guardrails</x:v>
      </x:c>
      <x:c r="B19" s="344" t="str">
        <x:v>Intensity-method guardrails</x:v>
      </x:c>
      <x:c r="C19" s="344" t="str">
        <x:v>Intensity-method guardrails</x:v>
      </x:c>
      <x:c r="D19" s="344" t="str">
        <x:v>Intensity-method guardrails</x:v>
      </x:c>
      <x:c r="E19" s="344" t="str">
        <x:v>Intensity-method guardrails</x:v>
      </x:c>
      <x:c r="F19" s="344" t="str">
        <x:v>Intensity-method guardrails</x:v>
      </x:c>
      <x:c r="G19" s="344" t="str">
        <x:v>Intensity-method guardrails</x:v>
      </x:c>
      <x:c r="H19" s="344" t="str">
        <x:v>Intensity-method guardrails</x:v>
      </x:c>
    </x:row>
    <x:row r="20" ht="30" customHeight="1">
      <x:c r="A20" s="95" t="str">
        <x:v>Method</x:v>
      </x:c>
      <x:c r="B20" s="96" t="str">
        <x:v>Where used</x:v>
      </x:c>
      <x:c r="C20" s="96" t="str">
        <x:v>Execution</x:v>
      </x:c>
      <x:c r="D20" s="96" t="str">
        <x:v>Stop point</x:v>
      </x:c>
      <x:c r="E20" s="96" t="str">
        <x:v>Rest</x:v>
      </x:c>
      <x:c r="F20" s="96" t="str">
        <x:v>Do not use when</x:v>
      </x:c>
      <x:c r="G20" s="96" t="str">
        <x:v>Why included</x:v>
      </x:c>
      <x:c r="H20" s="97" t="str">
        <x:v>Frequency</x:v>
      </x:c>
    </x:row>
    <x:row r="21">
      <x:c r="A21" s="98" t="str">
        <x:v>Superset</x:v>
      </x:c>
      <x:c r="B21" s="84" t="str">
        <x:v>Noncompeting or accessory pair</x:v>
      </x:c>
      <x:c r="C21" s="84" t="str">
        <x:v>Complete A1 then A2</x:v>
      </x:c>
      <x:c r="D21" s="84" t="str">
        <x:v>Preserve target RIR</x:v>
      </x:c>
      <x:c r="E21" s="84" t="str">
        <x:v>0–30 s inside pair, 60–90 s after</x:v>
      </x:c>
      <x:c r="F21" s="84" t="str">
        <x:v>Technique deteriorates</x:v>
      </x:c>
      <x:c r="G21" s="84" t="str">
        <x:v>Time efficiency and local volume</x:v>
      </x:c>
      <x:c r="H21" s="85" t="str">
        <x:v>Throughout</x:v>
      </x:c>
    </x:row>
    <x:row r="22">
      <x:c r="A22" s="99" t="str">
        <x:v>Drop set</x:v>
      </x:c>
      <x:c r="B22" s="88" t="str">
        <x:v>Stable isolation final set</x:v>
      </x:c>
      <x:c r="C22" s="88" t="str">
        <x:v>Reduce load 20–25% once</x:v>
      </x:c>
      <x:c r="D22" s="88" t="str">
        <x:v>Technical failure, no forced reps</x:v>
      </x:c>
      <x:c r="E22" s="88" t="str">
        <x:v>Minimal</x:v>
      </x:c>
      <x:c r="F22" s="88" t="str">
        <x:v>Pain, red readiness, compound lift</x:v>
      </x:c>
      <x:c r="G22" s="88" t="str">
        <x:v>Efficient high-effort volume</x:v>
      </x:c>
      <x:c r="H22" s="89" t="str">
        <x:v>Weeks 3, 7, 11</x:v>
      </x:c>
    </x:row>
    <x:row r="23">
      <x:c r="A23" s="99" t="str">
        <x:v>Rest-pause</x:v>
      </x:c>
      <x:c r="B23" s="88" t="str">
        <x:v>Stable isolation final set</x:v>
      </x:c>
      <x:c r="C23" s="88" t="str">
        <x:v>Pause 10–15 s, one mini-set</x:v>
      </x:c>
      <x:c r="D23" s="88" t="str">
        <x:v>One mini-set only</x:v>
      </x:c>
      <x:c r="E23" s="88" t="str">
        <x:v>10–15 s</x:v>
      </x:c>
      <x:c r="F23" s="88" t="str">
        <x:v>Pain or poor control</x:v>
      </x:c>
      <x:c r="G23" s="88" t="str">
        <x:v>High-recruitment volume with less time</x:v>
      </x:c>
      <x:c r="H23" s="89" t="str">
        <x:v>Weeks 3, 7, 11</x:v>
      </x:c>
    </x:row>
    <x:row r="24">
      <x:c r="A24" s="99" t="str">
        <x:v>Myo-rep</x:v>
      </x:c>
      <x:c r="B24" s="88" t="str">
        <x:v>Stable isolation</x:v>
      </x:c>
      <x:c r="C24" s="88" t="str">
        <x:v>Activation set then three short mini-sets</x:v>
      </x:c>
      <x:c r="D24" s="88" t="str">
        <x:v>Mini-set rep quality drops</x:v>
      </x:c>
      <x:c r="E24" s="88" t="str">
        <x:v>10–20 s</x:v>
      </x:c>
      <x:c r="F24" s="88" t="str">
        <x:v>Compound lift or red readiness</x:v>
      </x:c>
      <x:c r="G24" s="88" t="str">
        <x:v>Dense accessory volume</x:v>
      </x:c>
      <x:c r="H24" s="89" t="str">
        <x:v>Weeks 3, 7, 11</x:v>
      </x:c>
    </x:row>
    <x:row r="25">
      <x:c r="A25" s="100" t="str">
        <x:v>Cluster</x:v>
      </x:c>
      <x:c r="B25" s="92" t="str">
        <x:v>Explosive press only</x:v>
      </x:c>
      <x:c r="C25" s="92" t="str">
        <x:v>Small rep clusters with 15 s intra-set</x:v>
      </x:c>
      <x:c r="D25" s="92" t="str">
        <x:v>Bar speed slows</x:v>
      </x:c>
      <x:c r="E25" s="92" t="str">
        <x:v>15 s within, full between</x:v>
      </x:c>
      <x:c r="F25" s="92" t="str">
        <x:v>No technical proficiency</x:v>
      </x:c>
      <x:c r="G25" s="92" t="str">
        <x:v>Power quality at moderate load</x:v>
      </x:c>
      <x:c r="H25" s="93" t="str">
        <x:v>Weeks 10–11</x:v>
      </x:c>
    </x:row>
    <x:row r="26">
      <x:c r="A26" s="80"/>
      <x:c r="B26" s="80"/>
      <x:c r="C26" s="80"/>
      <x:c r="D26" s="80"/>
      <x:c r="E26" s="80"/>
      <x:c r="F26" s="80"/>
      <x:c r="G26" s="80"/>
      <x:c r="H26" s="80"/>
    </x:row>
    <x:row r="27" ht="24" customHeight="1">
      <x:c r="A27" s="345" t="str">
        <x:v>Evidence and design notes</x:v>
      </x:c>
      <x:c r="B27" s="345" t="str">
        <x:v>Evidence and design notes</x:v>
      </x:c>
      <x:c r="C27" s="345" t="str">
        <x:v>Evidence and design notes</x:v>
      </x:c>
      <x:c r="D27" s="345" t="str">
        <x:v>Evidence and design notes</x:v>
      </x:c>
      <x:c r="E27" s="345" t="str">
        <x:v>Evidence and design notes</x:v>
      </x:c>
      <x:c r="F27" s="345" t="str">
        <x:v>Evidence and design notes</x:v>
      </x:c>
      <x:c r="G27" s="345" t="str">
        <x:v>Evidence and design notes</x:v>
      </x:c>
      <x:c r="H27" s="345" t="str">
        <x:v>Evidence and design notes</x:v>
      </x:c>
    </x:row>
    <x:row r="28" ht="30" customHeight="1">
      <x:c r="A28" s="95" t="str">
        <x:v>Source</x:v>
      </x:c>
      <x:c r="B28" s="96" t="str">
        <x:v>Design implication</x:v>
      </x:c>
      <x:c r="C28" s="96" t="str">
        <x:v>Plain-text URL</x:v>
      </x:c>
      <x:c r="D28" s="96" t="str"/>
      <x:c r="E28" s="96" t="str"/>
      <x:c r="F28" s="96" t="str"/>
      <x:c r="G28" s="96" t="str"/>
      <x:c r="H28" s="97" t="str"/>
    </x:row>
    <x:row r="29">
      <x:c r="A29" s="346" t="str">
        <x:v>ACSM 2026 Position Stand</x:v>
      </x:c>
      <x:c r="B29" s="346" t="str">
        <x:v>All major muscle groups at least twice weekly; higher loads favor strength, higher weekly volume favors hypertrophy, moderate loads moved fast favor power.</x:v>
      </x:c>
      <x:c r="C29" s="347" t="str">
        <x:v>https://pubmed.ncbi.nlm.nih.gov/41843416/</x:v>
      </x:c>
      <x:c r="D29" s="347" t="str"/>
      <x:c r="E29" s="347" t="str"/>
      <x:c r="F29" s="347" t="str"/>
      <x:c r="G29" s="347" t="str"/>
      <x:c r="H29" s="347" t="str"/>
    </x:row>
    <x:row r="30">
      <x:c r="A30" s="346" t="str">
        <x:v>ACSM 2026 public summary</x:v>
      </x:c>
      <x:c r="B30" s="346" t="str">
        <x:v>Approximately 10 weekly sets per muscle is a useful hypertrophy anchor, and individualization and adherence matter.</x:v>
      </x:c>
      <x:c r="C30" s="347" t="str">
        <x:v>https://acsm.org/resistance-training-guidelines-update-2026/</x:v>
      </x:c>
      <x:c r="D30" s="347" t="str"/>
      <x:c r="E30" s="347" t="str"/>
      <x:c r="F30" s="347" t="str"/>
      <x:c r="G30" s="347" t="str"/>
      <x:c r="H30" s="347" t="str"/>
    </x:row>
    <x:row r="31">
      <x:c r="A31" s="346" t="str">
        <x:v>Currier et al. 2023 network meta-analysis</x:v>
      </x:c>
      <x:c r="B31" s="346" t="str">
        <x:v>Heavier loading maximizes strength, while many loading prescriptions can build muscle when effort and volume are adequate.</x:v>
      </x:c>
      <x:c r="C31" s="347" t="str">
        <x:v>https://pubmed.ncbi.nlm.nih.gov/37414459/</x:v>
      </x:c>
      <x:c r="D31" s="347" t="str"/>
      <x:c r="E31" s="347" t="str"/>
      <x:c r="F31" s="347" t="str"/>
      <x:c r="G31" s="347" t="str"/>
      <x:c r="H31" s="347" t="str"/>
    </x:row>
    <x:row r="32">
      <x:c r="A32" s="346" t="str">
        <x:v>Refalo et al. 2023 meta-analysis</x:v>
      </x:c>
      <x:c r="B32" s="346" t="str">
        <x:v>Momentary failure is not required for hypertrophy, supporting programmed RIR and limited final-set intensity methods.</x:v>
      </x:c>
      <x:c r="C32" s="347" t="str">
        <x:v>https://pubmed.ncbi.nlm.nih.gov/36334240/</x:v>
      </x:c>
      <x:c r="D32" s="347" t="str"/>
      <x:c r="E32" s="347" t="str"/>
      <x:c r="F32" s="347" t="str"/>
      <x:c r="G32" s="347" t="str"/>
      <x:c r="H32" s="347" t="str"/>
    </x:row>
    <x:row r="33">
      <x:c r="A33" s="346" t="str">
        <x:v>Pelland et al. 2026 dose-response</x:v>
      </x:c>
      <x:c r="B33" s="346" t="str">
        <x:v>Weekly set volume has a positive dose-response with hypertrophy and strength, with diminishing practical returns and individual tolerance limits.</x:v>
      </x:c>
      <x:c r="C33" s="347" t="str">
        <x:v>https://pubmed.ncbi.nlm.nih.gov/41343037/</x:v>
      </x:c>
      <x:c r="D33" s="347" t="str"/>
      <x:c r="E33" s="347" t="str"/>
      <x:c r="F33" s="347" t="str"/>
      <x:c r="G33" s="347" t="str"/>
      <x:c r="H33" s="347" t="str"/>
    </x:row>
    <x:row r="34">
      <x:c r="A34" s="346" t="str">
        <x:v>Coleman et al. 2024 deload trial</x:v>
      </x:c>
      <x:c r="B34" s="346" t="str">
        <x:v>A fixed one-week deload is not automatically performance-enhancing. Here deloads are fatigue-management weeks, and readiness can override them.</x:v>
      </x:c>
      <x:c r="C34" s="347" t="str">
        <x:v>https://pubmed.ncbi.nlm.nih.gov/38274324/</x:v>
      </x:c>
      <x:c r="D34" s="347" t="str"/>
      <x:c r="E34" s="347" t="str"/>
      <x:c r="F34" s="347" t="str"/>
      <x:c r="G34" s="347" t="str"/>
      <x:c r="H34" s="347" t="str"/>
    </x:row>
  </x:sheetData>
  <x:mergeCells>
    <x:mergeCell ref="A1:H1"/>
    <x:mergeCell ref="A2:H2"/>
    <x:mergeCell ref="A4:H4"/>
    <x:mergeCell ref="A12:H12"/>
    <x:mergeCell ref="A19:H19"/>
    <x:mergeCell ref="A27:H27"/>
    <x:mergeCell ref="C29:H29"/>
    <x:mergeCell ref="C30:H30"/>
    <x:mergeCell ref="C31:H31"/>
    <x:mergeCell ref="C32:H32"/>
    <x:mergeCell ref="C33:H33"/>
    <x:mergeCell ref="C34:H34"/>
  </x:mergeCells>
  <x:pageMargins left="0.7" right="0.7" top="0.75" bottom="0.75" header="0.3" footer="0.3"/>
</x:worksheet>
</file>